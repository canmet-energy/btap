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ptool\"/>
    </mc:Choice>
  </mc:AlternateContent>
  <bookViews>
    <workbookView xWindow="480" yWindow="192" windowWidth="13392" windowHeight="6912" tabRatio="627" firstSheet="9" activeTab="12"/>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A360" i="54" l="1"/>
  <c r="D842" i="54" l="1"/>
  <c r="D841" i="54"/>
  <c r="D840" i="54"/>
  <c r="D839" i="54"/>
  <c r="D838" i="54"/>
  <c r="D837" i="54"/>
  <c r="D836" i="54"/>
  <c r="D835" i="54"/>
  <c r="D834" i="54"/>
  <c r="D833" i="54"/>
  <c r="D832" i="54"/>
  <c r="D831" i="54"/>
  <c r="D830" i="54"/>
  <c r="D829" i="54"/>
  <c r="D828" i="54"/>
  <c r="D827" i="54"/>
  <c r="D826" i="54"/>
  <c r="D825" i="54"/>
  <c r="D824" i="54"/>
  <c r="D823" i="54"/>
  <c r="D822" i="54"/>
  <c r="D821"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60" i="54"/>
  <c r="D759" i="54"/>
  <c r="D758" i="54"/>
  <c r="D757" i="54"/>
  <c r="D738" i="54"/>
  <c r="D737" i="54"/>
  <c r="D736" i="54"/>
  <c r="D735" i="54"/>
  <c r="D734" i="54"/>
  <c r="D733" i="54"/>
  <c r="D732" i="54"/>
  <c r="D731" i="54"/>
  <c r="D730" i="54"/>
  <c r="D729" i="54"/>
  <c r="D728" i="54"/>
  <c r="D727" i="54"/>
  <c r="D726" i="54"/>
  <c r="D725" i="54"/>
  <c r="D724" i="54"/>
  <c r="D723" i="54"/>
  <c r="D722" i="54"/>
  <c r="D721"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2" i="54"/>
  <c r="D611" i="54"/>
  <c r="D610"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581" i="54"/>
  <c r="D580" i="54"/>
  <c r="D579"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6" i="54" s="1"/>
  <c r="A857" i="54" s="1"/>
  <c r="A858" i="54" s="1"/>
  <c r="A859" i="54" s="1"/>
  <c r="A860" i="54" s="1"/>
  <c r="A861" i="54" s="1"/>
  <c r="A862" i="54" s="1"/>
  <c r="A863" i="54" s="1"/>
  <c r="A864"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P2" i="55"/>
  <c r="P58" i="55"/>
  <c r="P254" i="55"/>
  <c r="P450" i="55"/>
  <c r="P282" i="55"/>
  <c r="P86" i="55"/>
  <c r="P30"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A130" i="52" s="1"/>
  <c r="C211" i="39"/>
  <c r="C210" i="39"/>
  <c r="C209" i="39"/>
  <c r="C208" i="39"/>
  <c r="C207" i="39"/>
  <c r="C206" i="39"/>
  <c r="C205" i="39"/>
  <c r="C204" i="39"/>
  <c r="C203" i="39"/>
  <c r="C202" i="39"/>
  <c r="C201" i="39"/>
  <c r="C200" i="39"/>
  <c r="M205" i="39"/>
  <c r="M204" i="39"/>
  <c r="M206" i="39"/>
  <c r="M211" i="39"/>
  <c r="M207" i="39"/>
  <c r="M202" i="39"/>
  <c r="M201" i="39"/>
  <c r="M209" i="39"/>
  <c r="M210" i="39"/>
  <c r="M22" i="39"/>
  <c r="M208" i="39"/>
  <c r="M203" i="39"/>
  <c r="M200" i="39"/>
  <c r="M39" i="39"/>
  <c r="A89" i="52" l="1"/>
  <c r="A90" i="52" s="1"/>
  <c r="A91" i="52" s="1"/>
  <c r="A92" i="52" s="1"/>
  <c r="A93" i="52" s="1"/>
  <c r="A94" i="52" s="1"/>
  <c r="A95" i="52" s="1"/>
  <c r="A96" i="52" s="1"/>
  <c r="A97" i="52" s="1"/>
  <c r="A98" i="52" s="1"/>
  <c r="A99" i="52" s="1"/>
  <c r="A100" i="52" s="1"/>
  <c r="A101" i="52" s="1"/>
  <c r="A102" i="52" s="1"/>
  <c r="A131" i="52"/>
  <c r="C197" i="39"/>
  <c r="K7" i="51"/>
  <c r="K6" i="51"/>
  <c r="K21" i="51"/>
  <c r="K9" i="51"/>
  <c r="K20" i="51"/>
  <c r="K5" i="51"/>
  <c r="K18" i="51"/>
  <c r="K19" i="51"/>
  <c r="K8" i="51"/>
  <c r="K2" i="51"/>
  <c r="K16" i="51"/>
  <c r="K3" i="51"/>
  <c r="K11" i="51"/>
  <c r="K10" i="51"/>
  <c r="K15" i="51"/>
  <c r="K4" i="51"/>
  <c r="K17" i="51"/>
  <c r="K14" i="51"/>
  <c r="K12" i="51"/>
  <c r="K13"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A132" i="52"/>
  <c r="A133" i="52" s="1"/>
  <c r="A134" i="52" s="1"/>
  <c r="A135" i="52" s="1"/>
  <c r="A136" i="52" s="1"/>
  <c r="A137" i="52" s="1"/>
  <c r="A138" i="52" s="1"/>
  <c r="A139" i="52" s="1"/>
  <c r="A140" i="52" s="1"/>
  <c r="A141" i="52" s="1"/>
  <c r="A142" i="52" s="1"/>
  <c r="A144" i="52" s="1"/>
  <c r="A145" i="52" s="1"/>
  <c r="A146" i="52" s="1"/>
  <c r="A147" i="52" s="1"/>
  <c r="A148" i="52" s="1"/>
  <c r="A149" i="52" s="1"/>
  <c r="A150" i="52" s="1"/>
  <c r="A151" i="52" s="1"/>
  <c r="A152" i="52" s="1"/>
  <c r="A153" i="52" s="1"/>
  <c r="A154" i="52" s="1"/>
  <c r="A155"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M140" i="39"/>
  <c r="M165" i="39"/>
  <c r="L157" i="43"/>
  <c r="M78" i="39"/>
  <c r="L118" i="43"/>
  <c r="M147" i="39"/>
  <c r="M91" i="39"/>
  <c r="L103" i="43"/>
  <c r="M92" i="39"/>
  <c r="M46" i="39"/>
  <c r="M100" i="39"/>
  <c r="M171" i="39"/>
  <c r="M31" i="39"/>
  <c r="M17" i="39"/>
  <c r="M179" i="39"/>
  <c r="M64" i="39"/>
  <c r="L72" i="43"/>
  <c r="M128" i="39"/>
  <c r="L57" i="43"/>
  <c r="M96" i="39"/>
  <c r="L61" i="43"/>
  <c r="M97" i="39"/>
  <c r="L100" i="43"/>
  <c r="M172" i="39"/>
  <c r="L73" i="43"/>
  <c r="M131" i="39"/>
  <c r="M79" i="39"/>
  <c r="L154" i="43"/>
  <c r="L89" i="43"/>
  <c r="M75" i="39"/>
  <c r="M183" i="39"/>
  <c r="L123" i="43"/>
  <c r="L173" i="43"/>
  <c r="M174" i="39"/>
  <c r="L52" i="43"/>
  <c r="L77" i="43"/>
  <c r="M41" i="39"/>
  <c r="M59" i="39"/>
  <c r="M190" i="39"/>
  <c r="M57" i="39"/>
  <c r="M198" i="39"/>
  <c r="M36" i="39"/>
  <c r="L133" i="43"/>
  <c r="M110" i="39"/>
  <c r="M86" i="39"/>
  <c r="L75" i="43"/>
  <c r="L92" i="43"/>
  <c r="M158" i="39"/>
  <c r="L145" i="43"/>
  <c r="M167" i="39"/>
  <c r="L162" i="43"/>
  <c r="M90" i="39"/>
  <c r="L81" i="43"/>
  <c r="M18" i="39"/>
  <c r="M129" i="39"/>
  <c r="M15" i="39"/>
  <c r="L156" i="43"/>
  <c r="L135" i="43"/>
  <c r="L82" i="43"/>
  <c r="M191" i="39"/>
  <c r="M160" i="39"/>
  <c r="L66" i="43"/>
  <c r="M122" i="39"/>
  <c r="M126" i="39"/>
  <c r="L90" i="43"/>
  <c r="L139" i="43"/>
  <c r="L110" i="43"/>
  <c r="L181" i="43"/>
  <c r="M112" i="39"/>
  <c r="M32" i="39"/>
  <c r="L134" i="43"/>
  <c r="M145" i="39"/>
  <c r="L84" i="43"/>
  <c r="M50" i="39"/>
  <c r="M192" i="39"/>
  <c r="M56" i="39"/>
  <c r="L129" i="43"/>
  <c r="M48" i="39"/>
  <c r="L64" i="43"/>
  <c r="M141" i="39"/>
  <c r="M109" i="39"/>
  <c r="M130" i="39"/>
  <c r="L116" i="43"/>
  <c r="M176" i="39"/>
  <c r="M195" i="39"/>
  <c r="M186" i="39"/>
  <c r="L98" i="43"/>
  <c r="M157" i="39"/>
  <c r="M120" i="39"/>
  <c r="L143" i="43"/>
  <c r="M62" i="39"/>
  <c r="L70" i="43"/>
  <c r="L175" i="43"/>
  <c r="M20" i="39"/>
  <c r="M24" i="39"/>
  <c r="L180" i="43"/>
  <c r="M123" i="39"/>
  <c r="L85" i="43"/>
  <c r="M178" i="39"/>
  <c r="L107" i="43"/>
  <c r="M34" i="39"/>
  <c r="M106" i="39"/>
  <c r="L166" i="43"/>
  <c r="M45" i="39"/>
  <c r="L128" i="43"/>
  <c r="L87" i="43"/>
  <c r="M156" i="39"/>
  <c r="M4" i="39"/>
  <c r="L149" i="43"/>
  <c r="M197" i="39"/>
  <c r="L104" i="43"/>
  <c r="L126" i="43"/>
  <c r="M119" i="39"/>
  <c r="M188" i="39"/>
  <c r="L97" i="43"/>
  <c r="L174" i="43"/>
  <c r="M94" i="39"/>
  <c r="L147" i="43"/>
  <c r="M146" i="39"/>
  <c r="M113" i="39"/>
  <c r="M52" i="39"/>
  <c r="L155" i="43"/>
  <c r="L51" i="43"/>
  <c r="M33" i="39"/>
  <c r="M133" i="39"/>
  <c r="L78" i="43"/>
  <c r="M81" i="39"/>
  <c r="M29" i="39"/>
  <c r="M153" i="39"/>
  <c r="M84" i="39"/>
  <c r="M42" i="39"/>
  <c r="M28" i="39"/>
  <c r="M114" i="39"/>
  <c r="M149" i="39"/>
  <c r="M184" i="39"/>
  <c r="M98" i="39"/>
  <c r="L120" i="43"/>
  <c r="M124" i="39"/>
  <c r="M137" i="39"/>
  <c r="M187" i="39"/>
  <c r="L119" i="43"/>
  <c r="L68" i="43"/>
  <c r="M25" i="39"/>
  <c r="M99" i="39"/>
  <c r="L62" i="43"/>
  <c r="L111" i="43"/>
  <c r="M135" i="39"/>
  <c r="M16" i="39"/>
  <c r="L63" i="43"/>
  <c r="M77" i="39"/>
  <c r="M196" i="39"/>
  <c r="L94" i="43"/>
  <c r="M26" i="39"/>
  <c r="L95" i="43"/>
  <c r="M54" i="39"/>
  <c r="M85" i="39"/>
  <c r="L150" i="43"/>
  <c r="M132" i="39"/>
  <c r="L167" i="43"/>
  <c r="L67" i="43"/>
  <c r="M105" i="39"/>
  <c r="L93" i="43"/>
  <c r="L144" i="43"/>
  <c r="M138" i="39"/>
  <c r="M35" i="39"/>
  <c r="L113" i="43"/>
  <c r="M127" i="39"/>
  <c r="L141" i="43"/>
  <c r="M67" i="39"/>
  <c r="M21" i="39"/>
  <c r="M43" i="39"/>
  <c r="L160" i="43"/>
  <c r="M89" i="39"/>
  <c r="L88" i="43"/>
  <c r="M47" i="39"/>
  <c r="M63" i="39"/>
  <c r="M3" i="39"/>
  <c r="L102" i="43"/>
  <c r="M161" i="39"/>
  <c r="L106" i="43"/>
  <c r="M144" i="39"/>
  <c r="M115" i="39"/>
  <c r="L142" i="43"/>
  <c r="L151" i="43"/>
  <c r="M185" i="39"/>
  <c r="L131" i="43"/>
  <c r="L76" i="43"/>
  <c r="M69" i="39"/>
  <c r="M154" i="39"/>
  <c r="M55" i="39"/>
  <c r="M125" i="39"/>
  <c r="L132" i="43"/>
  <c r="M117" i="39"/>
  <c r="L179" i="43"/>
  <c r="L112" i="43"/>
  <c r="M102" i="39"/>
  <c r="L127" i="43"/>
  <c r="M71" i="39"/>
  <c r="M68" i="39"/>
  <c r="M136" i="39"/>
  <c r="M93" i="39"/>
  <c r="M74" i="39"/>
  <c r="L130" i="43"/>
  <c r="M101" i="39"/>
  <c r="M40" i="39"/>
  <c r="M65" i="39"/>
  <c r="M148" i="39"/>
  <c r="L105" i="43"/>
  <c r="L165" i="43"/>
  <c r="M150" i="39"/>
  <c r="L137" i="43"/>
  <c r="L114" i="43"/>
  <c r="L60" i="43"/>
  <c r="M6" i="39"/>
  <c r="M66" i="39"/>
  <c r="M95" i="39"/>
  <c r="M58" i="39"/>
  <c r="L108" i="43"/>
  <c r="M189" i="39"/>
  <c r="L136" i="43"/>
  <c r="M72" i="39"/>
  <c r="L176" i="43"/>
  <c r="M9" i="39"/>
  <c r="L161" i="43"/>
  <c r="L99" i="43"/>
  <c r="L121" i="43"/>
  <c r="M166" i="39"/>
  <c r="L158" i="43"/>
  <c r="L65" i="43"/>
  <c r="L79" i="43"/>
  <c r="M23" i="39"/>
  <c r="L148" i="43"/>
  <c r="M107" i="39"/>
  <c r="L159" i="43"/>
  <c r="L74" i="43"/>
  <c r="L182" i="43"/>
  <c r="M49" i="39"/>
  <c r="L109" i="43"/>
  <c r="M181" i="39"/>
  <c r="M5" i="39"/>
  <c r="L53" i="43"/>
  <c r="M177" i="39"/>
  <c r="M76" i="39"/>
  <c r="L115" i="43"/>
  <c r="L91" i="43"/>
  <c r="M159" i="39"/>
  <c r="M8" i="39"/>
  <c r="M152" i="39"/>
  <c r="L163" i="43"/>
  <c r="M70" i="39"/>
  <c r="M53" i="39"/>
  <c r="L153" i="43"/>
  <c r="M87" i="39"/>
  <c r="M199" i="39"/>
  <c r="M175" i="39"/>
  <c r="M51" i="39"/>
  <c r="M7" i="39"/>
  <c r="L124" i="43"/>
  <c r="M169" i="39"/>
  <c r="M19" i="39"/>
  <c r="M30" i="39"/>
  <c r="M118" i="39"/>
  <c r="M151" i="39"/>
  <c r="M27" i="39"/>
  <c r="M10" i="39"/>
  <c r="M108" i="39"/>
  <c r="M83" i="39"/>
  <c r="L122" i="43"/>
  <c r="M193" i="39"/>
  <c r="M168" i="39"/>
  <c r="L71" i="43"/>
  <c r="M116" i="39"/>
  <c r="L183" i="43"/>
  <c r="M173" i="39"/>
  <c r="M2" i="39"/>
  <c r="L55" i="43"/>
  <c r="L170" i="43"/>
  <c r="M134" i="39"/>
  <c r="M11" i="39"/>
  <c r="M180" i="39"/>
  <c r="M182" i="39"/>
  <c r="L169" i="43"/>
  <c r="M37" i="39"/>
  <c r="L96" i="43"/>
  <c r="M73" i="39"/>
  <c r="M142" i="39"/>
  <c r="L168" i="43"/>
  <c r="M12" i="39"/>
  <c r="M104" i="39"/>
  <c r="M103" i="39"/>
  <c r="M143" i="39"/>
  <c r="L171" i="43"/>
  <c r="L172" i="43"/>
  <c r="L138" i="43"/>
  <c r="L125" i="43"/>
  <c r="M88" i="39"/>
  <c r="L58" i="43"/>
  <c r="L83" i="43"/>
  <c r="M194" i="39"/>
  <c r="M82" i="39"/>
  <c r="M14" i="39"/>
  <c r="M60" i="39"/>
  <c r="L69" i="43"/>
  <c r="L178" i="43"/>
  <c r="M13" i="39"/>
  <c r="M163" i="39"/>
  <c r="M139" i="39"/>
  <c r="L117" i="43"/>
  <c r="M80" i="39"/>
  <c r="L146" i="43"/>
  <c r="M155" i="39"/>
  <c r="L164" i="43"/>
  <c r="M44" i="39"/>
  <c r="M121" i="39"/>
  <c r="M61" i="39"/>
  <c r="M38" i="39"/>
  <c r="M111" i="39"/>
  <c r="L54" i="43"/>
  <c r="L59" i="43"/>
  <c r="M170" i="39"/>
  <c r="L140" i="43"/>
  <c r="L86" i="43"/>
  <c r="L80" i="43"/>
  <c r="L177" i="43"/>
  <c r="L101" i="43"/>
  <c r="M162" i="39"/>
  <c r="L152" i="43"/>
  <c r="M164" i="39"/>
  <c r="L36" i="43"/>
  <c r="L25" i="43"/>
  <c r="L47" i="43"/>
  <c r="L56" i="43"/>
  <c r="L42" i="43"/>
  <c r="L11" i="43"/>
  <c r="L10" i="43"/>
  <c r="L39" i="43"/>
  <c r="L14" i="43"/>
  <c r="L41" i="43"/>
  <c r="L15" i="43"/>
  <c r="L32" i="43"/>
  <c r="L27" i="43"/>
  <c r="L7" i="43"/>
  <c r="L13" i="43"/>
  <c r="L26" i="43"/>
  <c r="L18" i="43"/>
  <c r="L2" i="43"/>
  <c r="L49" i="43"/>
  <c r="L35" i="43"/>
  <c r="L37" i="43"/>
  <c r="L48" i="43"/>
  <c r="L12" i="43"/>
  <c r="L8" i="43"/>
  <c r="L31" i="43"/>
  <c r="L19" i="43"/>
  <c r="L5" i="43"/>
  <c r="L9" i="43"/>
  <c r="L16" i="43"/>
  <c r="L6" i="43"/>
  <c r="L40" i="43"/>
  <c r="L43" i="43"/>
  <c r="L17" i="43"/>
  <c r="L22" i="43"/>
  <c r="L20" i="43"/>
  <c r="L30" i="43"/>
  <c r="L38" i="43"/>
  <c r="L23" i="43"/>
  <c r="L4" i="43"/>
  <c r="L29" i="43"/>
  <c r="L45" i="43"/>
  <c r="L3" i="43"/>
  <c r="L24" i="43"/>
  <c r="L28" i="43"/>
  <c r="L33" i="43"/>
  <c r="L50" i="43"/>
  <c r="L34" i="43"/>
  <c r="L44" i="43"/>
  <c r="L21" i="43"/>
  <c r="L46"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<sst xmlns="http://schemas.openxmlformats.org/spreadsheetml/2006/main" count="48841" uniqueCount="3370">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</sst>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D2"/>
          <cell r="E2"/>
          <cell r="I2">
            <v>231123200140</v>
          </cell>
        </row>
        <row r="3">
          <cell r="A3">
            <v>2</v>
          </cell>
          <cell r="B3" t="str">
            <v>GasLine</v>
          </cell>
          <cell r="C3" t="str">
            <v>Gas line fitting connection, flexible manifold with 4 ports (3/4 " x 1/2" x 1/2" (4))</v>
          </cell>
          <cell r="D3"/>
          <cell r="E3"/>
          <cell r="I3">
            <v>231123205310</v>
          </cell>
        </row>
        <row r="4">
          <cell r="A4">
            <v>3</v>
          </cell>
          <cell r="B4" t="str">
            <v>OilLine</v>
          </cell>
          <cell r="C4" t="str">
            <v>Oil line with lightning protection 1"</v>
          </cell>
          <cell r="D4"/>
          <cell r="E4"/>
          <cell r="I4">
            <v>231123200140</v>
          </cell>
        </row>
        <row r="5">
          <cell r="A5">
            <v>4</v>
          </cell>
          <cell r="B5" t="str">
            <v>OilLine</v>
          </cell>
          <cell r="C5" t="str">
            <v>Oil filter 32 gph</v>
          </cell>
          <cell r="D5"/>
          <cell r="E5"/>
          <cell r="I5">
            <v>231113101020</v>
          </cell>
        </row>
        <row r="6">
          <cell r="A6">
            <v>5</v>
          </cell>
          <cell r="B6" t="str">
            <v>OilTanks</v>
          </cell>
          <cell r="C6" t="str">
            <v>Double steel wall above ground storage tank includig cradles, 2000 gallon (US) capacity</v>
          </cell>
          <cell r="D6"/>
          <cell r="E6"/>
          <cell r="I6">
            <v>231323163330</v>
          </cell>
        </row>
        <row r="7">
          <cell r="A7">
            <v>6</v>
          </cell>
          <cell r="B7" t="str">
            <v>OilTanks</v>
          </cell>
          <cell r="C7" t="str">
            <v>Underground storage tank, steel, sti-P3, set in place, single wall, 1,000 gal cap, 7 ga. shell, excl. hold-down bars, excavation, pad pumps &amp; piping</v>
          </cell>
          <cell r="F7"/>
          <cell r="G7"/>
          <cell r="H7"/>
          <cell r="I7">
            <v>231313095520</v>
          </cell>
        </row>
        <row r="8">
          <cell r="A8">
            <v>7</v>
          </cell>
          <cell r="B8" t="str">
            <v>OilTanks</v>
          </cell>
          <cell r="C8" t="str">
            <v>Storage tank, horizontal, steel, above ground, single wall, 550 gallon, incl. cradles, coating &amp; fittings, excl. foundation, pumps or piping</v>
          </cell>
          <cell r="D8"/>
          <cell r="E8"/>
          <cell r="F8"/>
          <cell r="G8"/>
          <cell r="H8"/>
          <cell r="I8">
            <v>231323163060</v>
          </cell>
        </row>
        <row r="9">
          <cell r="A9">
            <v>8</v>
          </cell>
          <cell r="B9" t="str">
            <v>OilTanks</v>
          </cell>
          <cell r="C9" t="str">
            <v>Oil pump and motor 27 gph 1/3</v>
          </cell>
          <cell r="D9"/>
          <cell r="E9"/>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E14"/>
          <cell r="I14">
            <v>220523203450</v>
          </cell>
        </row>
        <row r="15">
          <cell r="A15">
            <v>14</v>
          </cell>
          <cell r="B15" t="str">
            <v>Valves</v>
          </cell>
          <cell r="C15" t="str">
            <v>Valves, bronze, gate, non-rising stem, threaded, class 150, 1-1/4"</v>
          </cell>
          <cell r="D15">
            <v>1.25</v>
          </cell>
          <cell r="E15"/>
          <cell r="I15">
            <v>220523203460</v>
          </cell>
        </row>
        <row r="16">
          <cell r="A16">
            <v>15</v>
          </cell>
          <cell r="B16" t="str">
            <v>Valves</v>
          </cell>
          <cell r="C16" t="str">
            <v>Valves, bronze, gate, non-rising stem, threaded, class 150, 2"</v>
          </cell>
          <cell r="D16">
            <v>2</v>
          </cell>
          <cell r="E16"/>
          <cell r="I16">
            <v>220523203480</v>
          </cell>
        </row>
        <row r="17">
          <cell r="A17">
            <v>16</v>
          </cell>
          <cell r="B17" t="str">
            <v>Valves</v>
          </cell>
          <cell r="C17" t="str">
            <v>Valves, bronze, relief, pressure &amp; temperature, self-closing, threaded, 3/4", ASME</v>
          </cell>
          <cell r="D17">
            <v>0.75</v>
          </cell>
          <cell r="E17"/>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F20"/>
          <cell r="G20"/>
          <cell r="H20"/>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F22"/>
          <cell r="G22"/>
          <cell r="H22"/>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F24"/>
          <cell r="G24"/>
          <cell r="H24"/>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E25"/>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E26"/>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E27"/>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E28"/>
          <cell r="I28">
            <v>220719105190</v>
          </cell>
        </row>
        <row r="29">
          <cell r="A29">
            <v>28</v>
          </cell>
          <cell r="B29" t="str">
            <v>PipeInsulation</v>
          </cell>
          <cell r="C29" t="str">
            <v>Insulation, pipe covering (price copper tube one size less than I.P.S.), fiberglass with all service jacket, 1" wall, 3/4" iron pipe size</v>
          </cell>
          <cell r="D29">
            <v>0.75</v>
          </cell>
          <cell r="E29"/>
          <cell r="I29">
            <v>220719106860</v>
          </cell>
        </row>
        <row r="30">
          <cell r="A30">
            <v>29</v>
          </cell>
          <cell r="B30" t="str">
            <v>PipeInsulation</v>
          </cell>
          <cell r="C30" t="str">
            <v>Insulation, pipe covering (price copper tube one size less than I.P.S.), fiberglass with all service jacket, 1" wall, 1" iron pipe size</v>
          </cell>
          <cell r="D30">
            <v>1</v>
          </cell>
          <cell r="E30"/>
          <cell r="I30">
            <v>220719106870</v>
          </cell>
        </row>
        <row r="31">
          <cell r="A31">
            <v>30</v>
          </cell>
          <cell r="B31" t="str">
            <v>PipeInsulation</v>
          </cell>
          <cell r="C31" t="str">
            <v>Insulation, pipe covering (price copper tube one size less than I.P.S.), fiberglass with all service jacket, 1" wall, 1-1/4" iron pipe size</v>
          </cell>
          <cell r="D31">
            <v>1.25</v>
          </cell>
          <cell r="E31"/>
          <cell r="I31">
            <v>220719106880</v>
          </cell>
        </row>
        <row r="32">
          <cell r="A32">
            <v>31</v>
          </cell>
          <cell r="B32" t="str">
            <v>PipeInsulation</v>
          </cell>
          <cell r="C32" t="str">
            <v>Insulation, pipe covering (price copper tube one size less than I.P.S.), fiberglass with all service jacket, 1" wall, 1-1/2" iron pipe size</v>
          </cell>
          <cell r="D32">
            <v>1.5</v>
          </cell>
          <cell r="E32"/>
          <cell r="I32">
            <v>220719106890</v>
          </cell>
        </row>
        <row r="33">
          <cell r="A33">
            <v>32</v>
          </cell>
          <cell r="B33" t="str">
            <v>PipeInsulation</v>
          </cell>
          <cell r="C33" t="str">
            <v>Insulation, pipe covering (price copper tube one size less than I.P.S.), fiberglass with all service jacket, 1" wall, 2" iron pipe size</v>
          </cell>
          <cell r="D33">
            <v>2</v>
          </cell>
          <cell r="E33"/>
          <cell r="I33">
            <v>220719106900</v>
          </cell>
        </row>
        <row r="34">
          <cell r="A34">
            <v>33</v>
          </cell>
          <cell r="B34" t="str">
            <v>PipeInsulation</v>
          </cell>
          <cell r="C34" t="str">
            <v>Insulation, pipe covering (price copper tube one size less than I.P.S.), fiberglass with all service jacket, 1" wall, 2-1/2" iron pipe size</v>
          </cell>
          <cell r="D34">
            <v>2.5</v>
          </cell>
          <cell r="E34"/>
          <cell r="I34">
            <v>220719106910</v>
          </cell>
        </row>
        <row r="35">
          <cell r="A35">
            <v>34</v>
          </cell>
          <cell r="B35" t="str">
            <v>PipeInsulation</v>
          </cell>
          <cell r="C35" t="str">
            <v>Insulation, pipe covering (price copper tube one size less than I.P.S.), fiberglass with all service jacket, 1-1/2" wall, 2-1/2" iron pipe size</v>
          </cell>
          <cell r="D35">
            <v>2.5</v>
          </cell>
          <cell r="E35"/>
          <cell r="I35">
            <v>220719107150</v>
          </cell>
        </row>
        <row r="36">
          <cell r="A36">
            <v>35</v>
          </cell>
          <cell r="B36" t="str">
            <v>PipeInsulation</v>
          </cell>
          <cell r="C36" t="str">
            <v>Insulation, pipe covering (price copper tube one size less than I.P.S.), fiberglass with all service jacket, 1-1/2" wall, 4" iron pipe size</v>
          </cell>
          <cell r="D36">
            <v>4</v>
          </cell>
          <cell r="E36"/>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cell r="C268"/>
          <cell r="I268"/>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F271"/>
          <cell r="G271"/>
          <cell r="H271"/>
          <cell r="I271">
            <v>238216100140</v>
          </cell>
        </row>
        <row r="272">
          <cell r="A272">
            <v>256</v>
          </cell>
          <cell r="B272" t="str">
            <v>Coils</v>
          </cell>
          <cell r="C272" t="str">
            <v>Hot Water, DX, or Consensor Coils, copper tubes, aluminum fins  2 rows, 8 fins per inch  Size 4" x 24"</v>
          </cell>
          <cell r="D272">
            <v>0.5</v>
          </cell>
          <cell r="F272"/>
          <cell r="G272"/>
          <cell r="H272"/>
          <cell r="I272">
            <v>238216100150</v>
          </cell>
        </row>
        <row r="273">
          <cell r="A273">
            <v>257</v>
          </cell>
          <cell r="B273" t="str">
            <v>Coils</v>
          </cell>
          <cell r="C273" t="str">
            <v>Hot Water, DX, or Consensor Coils, copper tubes, aluminum fins  2 rows, 8 fins per inch  Size 4" x 48"</v>
          </cell>
          <cell r="D273">
            <v>1</v>
          </cell>
          <cell r="F273"/>
          <cell r="G273"/>
          <cell r="H273"/>
          <cell r="I273">
            <v>238216100160</v>
          </cell>
        </row>
        <row r="274">
          <cell r="A274">
            <v>258</v>
          </cell>
          <cell r="B274" t="str">
            <v>Coils</v>
          </cell>
          <cell r="C274" t="str">
            <v>Hot Water, DX, or Consensor Coils, copper tubes, aluminum fins  2 rows, 8 fins per inch  Size 4" x 72"</v>
          </cell>
          <cell r="D274">
            <v>1.61</v>
          </cell>
          <cell r="F274"/>
          <cell r="G274"/>
          <cell r="H274"/>
          <cell r="I274">
            <v>238216100170</v>
          </cell>
        </row>
        <row r="275">
          <cell r="A275">
            <v>259</v>
          </cell>
          <cell r="B275" t="str">
            <v>Coils</v>
          </cell>
          <cell r="C275" t="str">
            <v>Hot Water, DX, or Consensor Coils, copper tubes, aluminum fins  2 rows, 8 fins per inch  Size 6" x 12"</v>
          </cell>
          <cell r="D275">
            <v>0.4</v>
          </cell>
          <cell r="F275"/>
          <cell r="G275"/>
          <cell r="H275"/>
          <cell r="I275">
            <v>238216100180</v>
          </cell>
        </row>
        <row r="276">
          <cell r="A276">
            <v>260</v>
          </cell>
          <cell r="B276" t="str">
            <v>Coils</v>
          </cell>
          <cell r="C276" t="str">
            <v>Hot Water, DX, or Consensor Coils, copper tubes, aluminum fins  2 rows, 8 fins per inch  Size 6" x 24"</v>
          </cell>
          <cell r="D276">
            <v>0.8</v>
          </cell>
          <cell r="F276"/>
          <cell r="G276"/>
          <cell r="H276"/>
          <cell r="I276">
            <v>238216100190</v>
          </cell>
        </row>
        <row r="277">
          <cell r="A277">
            <v>261</v>
          </cell>
          <cell r="B277" t="str">
            <v>Coils</v>
          </cell>
          <cell r="C277" t="str">
            <v>Hot Water, DX, or Consensor Coils, copper tubes, aluminum fins  2 rows, 8 fins per inch  Size 6" x 48"</v>
          </cell>
          <cell r="D277">
            <v>1.6</v>
          </cell>
          <cell r="F277"/>
          <cell r="G277"/>
          <cell r="H277"/>
          <cell r="I277">
            <v>238216100200</v>
          </cell>
        </row>
        <row r="278">
          <cell r="A278">
            <v>262</v>
          </cell>
          <cell r="B278" t="str">
            <v>Coils</v>
          </cell>
          <cell r="C278" t="str">
            <v>Hot Water, DX, or Consensor Coils, copper tubes, aluminum fins  2 rows, 8 fins per inch  Size 6" x 72"</v>
          </cell>
          <cell r="D278">
            <v>2.4</v>
          </cell>
          <cell r="F278"/>
          <cell r="G278"/>
          <cell r="H278"/>
          <cell r="I278">
            <v>238216100210</v>
          </cell>
        </row>
        <row r="279">
          <cell r="A279">
            <v>263</v>
          </cell>
          <cell r="B279" t="str">
            <v>Coils</v>
          </cell>
          <cell r="C279" t="str">
            <v>Hot Water, DX, or Consensor Coils, copper tubes, aluminum fins  2 rows, 8 fins per inch  Size 10" x 12"</v>
          </cell>
          <cell r="D279">
            <v>0.67</v>
          </cell>
          <cell r="F279"/>
          <cell r="G279"/>
          <cell r="H279"/>
          <cell r="I279">
            <v>238216100220</v>
          </cell>
        </row>
        <row r="280">
          <cell r="A280">
            <v>264</v>
          </cell>
          <cell r="B280" t="str">
            <v>Coils</v>
          </cell>
          <cell r="C280" t="str">
            <v>Hot Water, DX, or Consensor Coils, copper tubes, aluminum fins  2 rows, 8 fins per inch  Size 10" x 24"</v>
          </cell>
          <cell r="D280">
            <v>1.34</v>
          </cell>
          <cell r="F280"/>
          <cell r="G280"/>
          <cell r="H280"/>
          <cell r="I280">
            <v>238216100230</v>
          </cell>
        </row>
        <row r="281">
          <cell r="A281">
            <v>265</v>
          </cell>
          <cell r="B281" t="str">
            <v>Coils</v>
          </cell>
          <cell r="C281" t="str">
            <v>Hot Water, DX, or Consensor Coils, copper tubes, aluminum fins  2 rows, 8 fins per inch  Size 10" x 48"</v>
          </cell>
          <cell r="D281">
            <v>2.68</v>
          </cell>
          <cell r="F281"/>
          <cell r="G281"/>
          <cell r="H281"/>
          <cell r="I281">
            <v>238216100240</v>
          </cell>
        </row>
        <row r="282">
          <cell r="A282">
            <v>266</v>
          </cell>
          <cell r="B282" t="str">
            <v>Coils</v>
          </cell>
          <cell r="C282" t="str">
            <v>Hot Water, DX, or Consensor Coils, copper tubes, aluminum fins  2 rows, 8 fins per inch  Size 10" x 72"</v>
          </cell>
          <cell r="D282">
            <v>4</v>
          </cell>
          <cell r="F282"/>
          <cell r="G282"/>
          <cell r="H282"/>
          <cell r="I282">
            <v>238216100250</v>
          </cell>
        </row>
        <row r="283">
          <cell r="A283">
            <v>267</v>
          </cell>
          <cell r="B283" t="str">
            <v>Coils</v>
          </cell>
          <cell r="C283" t="str">
            <v>Hot Water, DX, or Consensor Coils, copper tubes, aluminum fins  2 rows, 8 fins per inch  Size 12" x 12"</v>
          </cell>
          <cell r="D283">
            <v>0.8</v>
          </cell>
          <cell r="F283"/>
          <cell r="G283"/>
          <cell r="H283"/>
          <cell r="I283">
            <v>238216100260</v>
          </cell>
        </row>
        <row r="284">
          <cell r="A284">
            <v>268</v>
          </cell>
          <cell r="B284" t="str">
            <v>Coils</v>
          </cell>
          <cell r="C284" t="str">
            <v>Hot Water, DX, or Consensor Coils, copper tubes, aluminum fins  2 rows, 8 fins per inch  Size 12" x 24"</v>
          </cell>
          <cell r="D284">
            <v>1.61</v>
          </cell>
          <cell r="F284"/>
          <cell r="G284"/>
          <cell r="H284"/>
          <cell r="I284">
            <v>238216100270</v>
          </cell>
        </row>
        <row r="285">
          <cell r="A285">
            <v>269</v>
          </cell>
          <cell r="B285" t="str">
            <v>Coils</v>
          </cell>
          <cell r="C285" t="str">
            <v>Hot Water, DX, or Consensor Coils, copper tubes, aluminum fins  2 rows, 8 fins per inch  Size 12" x 48"</v>
          </cell>
          <cell r="D285">
            <v>3.22</v>
          </cell>
          <cell r="F285"/>
          <cell r="G285"/>
          <cell r="H285"/>
          <cell r="I285">
            <v>238216100280</v>
          </cell>
        </row>
        <row r="286">
          <cell r="A286">
            <v>270</v>
          </cell>
          <cell r="B286" t="str">
            <v>Coils</v>
          </cell>
          <cell r="C286" t="str">
            <v>Hot Water, DX, or Consensor Coils, copper tubes, aluminum fins  2 rows, 8 fins per inch  Size 12" x 72"</v>
          </cell>
          <cell r="D286">
            <v>4.83</v>
          </cell>
          <cell r="F286"/>
          <cell r="G286"/>
          <cell r="H286"/>
          <cell r="I286">
            <v>238216100290</v>
          </cell>
        </row>
        <row r="287">
          <cell r="A287">
            <v>271</v>
          </cell>
          <cell r="B287" t="str">
            <v>Coils</v>
          </cell>
          <cell r="C287" t="str">
            <v>Hot Water, DX, or Consensor Coils, copper tubes, aluminum fins  2 rows, 8 fins per inch  Size 16" x 16"</v>
          </cell>
          <cell r="D287">
            <v>1.43</v>
          </cell>
          <cell r="F287"/>
          <cell r="G287"/>
          <cell r="H287"/>
          <cell r="I287">
            <v>238216100300</v>
          </cell>
        </row>
        <row r="288">
          <cell r="A288">
            <v>272</v>
          </cell>
          <cell r="B288" t="str">
            <v>Coils</v>
          </cell>
          <cell r="C288" t="str">
            <v>Hot Water, DX, or Consensor Coils, copper tubes, aluminum fins  2 rows, 8 fins per inch  Size 16" x 24"</v>
          </cell>
          <cell r="D288">
            <v>2.14</v>
          </cell>
          <cell r="F288"/>
          <cell r="G288"/>
          <cell r="H288"/>
          <cell r="I288">
            <v>238216100310</v>
          </cell>
        </row>
        <row r="289">
          <cell r="A289">
            <v>273</v>
          </cell>
          <cell r="B289" t="str">
            <v>Coils</v>
          </cell>
          <cell r="C289" t="str">
            <v>Hot Water, DX, or Consensor Coils, copper tubes, aluminum fins  2 rows, 8 fins per inch  Size 16" x 48"</v>
          </cell>
          <cell r="D289">
            <v>4.3</v>
          </cell>
          <cell r="F289"/>
          <cell r="G289"/>
          <cell r="H289"/>
          <cell r="I289">
            <v>238216100320</v>
          </cell>
        </row>
        <row r="290">
          <cell r="A290">
            <v>274</v>
          </cell>
          <cell r="B290" t="str">
            <v>Coils</v>
          </cell>
          <cell r="C290" t="str">
            <v>Hot Water, DX, or Consensor Coils, copper tubes, aluminum fins  2 rows, 8 fins per inch  Size 16" x 72"</v>
          </cell>
          <cell r="D290">
            <v>6.44</v>
          </cell>
          <cell r="F290"/>
          <cell r="G290"/>
          <cell r="H290"/>
          <cell r="I290">
            <v>238216100330</v>
          </cell>
        </row>
        <row r="291">
          <cell r="A291">
            <v>275</v>
          </cell>
          <cell r="B291" t="str">
            <v>Coils</v>
          </cell>
          <cell r="C291" t="str">
            <v>Hot Water, DX, or Consensor Coils, copper tubes, aluminum fins  2 rows, 8 fins per inch  Size 20" x 24"</v>
          </cell>
          <cell r="D291">
            <v>2.68</v>
          </cell>
          <cell r="F291"/>
          <cell r="G291"/>
          <cell r="H291"/>
          <cell r="I291">
            <v>238216100340</v>
          </cell>
        </row>
        <row r="292">
          <cell r="A292">
            <v>276</v>
          </cell>
          <cell r="B292" t="str">
            <v>Coils</v>
          </cell>
          <cell r="C292" t="str">
            <v>Hot Water, DX, or Consensor Coils, copper tubes, aluminum fins  2 rows, 8 fins per inch  Size 20" x 48"</v>
          </cell>
          <cell r="D292">
            <v>5.37</v>
          </cell>
          <cell r="F292"/>
          <cell r="G292"/>
          <cell r="H292"/>
          <cell r="I292">
            <v>238216100350</v>
          </cell>
        </row>
        <row r="293">
          <cell r="A293">
            <v>277</v>
          </cell>
          <cell r="B293" t="str">
            <v>Coils</v>
          </cell>
          <cell r="C293" t="str">
            <v>Hot Water, DX, or Consensor Coils, copper tubes, aluminum fins  2 rows, 8 fins per inch  Size 20" x 72"</v>
          </cell>
          <cell r="D293">
            <v>8</v>
          </cell>
          <cell r="F293"/>
          <cell r="G293"/>
          <cell r="H293"/>
          <cell r="I293">
            <v>238216100360</v>
          </cell>
        </row>
        <row r="294">
          <cell r="A294">
            <v>278</v>
          </cell>
          <cell r="B294" t="str">
            <v>Coils</v>
          </cell>
          <cell r="C294" t="str">
            <v>Hot Water, DX, or Consensor Coils, copper tubes, aluminum fins  2 rows, 8 fins per inch  Size 24" x 24"</v>
          </cell>
          <cell r="D294">
            <v>3.22</v>
          </cell>
          <cell r="F294"/>
          <cell r="G294"/>
          <cell r="H294"/>
          <cell r="I294">
            <v>238216100370</v>
          </cell>
        </row>
        <row r="295">
          <cell r="A295">
            <v>279</v>
          </cell>
          <cell r="B295" t="str">
            <v>Coils</v>
          </cell>
          <cell r="C295" t="str">
            <v>Hot Water, DX, or Consensor Coils, copper tubes, aluminum fins  2 rows, 8 fins per inch  Size 24" x 48"</v>
          </cell>
          <cell r="D295">
            <v>6.44</v>
          </cell>
          <cell r="F295"/>
          <cell r="G295"/>
          <cell r="H295"/>
          <cell r="I295">
            <v>238216100380</v>
          </cell>
        </row>
        <row r="296">
          <cell r="A296">
            <v>280</v>
          </cell>
          <cell r="B296" t="str">
            <v>Coils</v>
          </cell>
          <cell r="C296" t="str">
            <v>Hot Water, DX, or Consensor Coils, copper tubes, aluminum fins  2 rows, 8 fins per inch  Size 24" x 72"</v>
          </cell>
          <cell r="D296">
            <v>9.66</v>
          </cell>
          <cell r="F296"/>
          <cell r="G296"/>
          <cell r="H296"/>
          <cell r="I296">
            <v>238216100390</v>
          </cell>
        </row>
        <row r="297">
          <cell r="A297">
            <v>281</v>
          </cell>
          <cell r="B297" t="str">
            <v>Coils</v>
          </cell>
          <cell r="C297" t="str">
            <v>Hot Water, DX, or Consensor Coils, copper tubes, aluminum fins  2 rows, 8 fins per inch  Size 30" x 28"</v>
          </cell>
          <cell r="D297">
            <v>4.7</v>
          </cell>
          <cell r="F297"/>
          <cell r="G297"/>
          <cell r="H297"/>
          <cell r="I297">
            <v>238216100400</v>
          </cell>
        </row>
        <row r="298">
          <cell r="A298">
            <v>282</v>
          </cell>
          <cell r="B298" t="str">
            <v>Coils</v>
          </cell>
          <cell r="C298" t="str">
            <v>Hot Water, DX, or Consensor Coils, copper tubes, aluminum fins  2 rows, 8 fins per inch  Size 30" x 48"</v>
          </cell>
          <cell r="D298">
            <v>8</v>
          </cell>
          <cell r="F298"/>
          <cell r="G298"/>
          <cell r="H298"/>
          <cell r="I298">
            <v>238216100410</v>
          </cell>
        </row>
        <row r="299">
          <cell r="A299">
            <v>283</v>
          </cell>
          <cell r="B299" t="str">
            <v>Coils</v>
          </cell>
          <cell r="C299" t="str">
            <v>Hot Water, DX, or Consensor Coils, copper tubes, aluminum fins  2 rows, 8 fins per inch  Size 30" x 72"</v>
          </cell>
          <cell r="D299">
            <v>12.1</v>
          </cell>
          <cell r="F299"/>
          <cell r="G299"/>
          <cell r="H299"/>
          <cell r="I299">
            <v>238216100420</v>
          </cell>
        </row>
        <row r="300">
          <cell r="A300">
            <v>284</v>
          </cell>
          <cell r="B300" t="str">
            <v>Coils</v>
          </cell>
          <cell r="C300" t="str">
            <v>Hot Water, DX, or Consensor Coils, copper tubes, aluminum fins  2 rows, 8 fins per inch  Size 30" x 84"</v>
          </cell>
          <cell r="D300">
            <v>14.1</v>
          </cell>
          <cell r="F300"/>
          <cell r="G300"/>
          <cell r="H300"/>
          <cell r="I300">
            <v>238216100430</v>
          </cell>
        </row>
        <row r="301">
          <cell r="A301">
            <v>285</v>
          </cell>
          <cell r="B301" t="str">
            <v>Coils</v>
          </cell>
          <cell r="C301" t="str">
            <v>Hot Water, DX, or Consensor Coils, copper tubes, aluminum fins  2 rows, 8 fins per inch  Size 34" x 32"</v>
          </cell>
          <cell r="D301">
            <v>6.1</v>
          </cell>
          <cell r="F301"/>
          <cell r="G301"/>
          <cell r="H301"/>
          <cell r="I301">
            <v>238216100440</v>
          </cell>
        </row>
        <row r="302">
          <cell r="A302">
            <v>286</v>
          </cell>
          <cell r="B302" t="str">
            <v>Coils</v>
          </cell>
          <cell r="C302" t="str">
            <v>Hot Water, DX, or Consensor Coils, copper tubes, aluminum fins  2 rows, 8 fins per inch  Size 34" x 48"</v>
          </cell>
          <cell r="D302">
            <v>9.1199999999999992</v>
          </cell>
          <cell r="F302"/>
          <cell r="G302"/>
          <cell r="H302"/>
          <cell r="I302">
            <v>238216100450</v>
          </cell>
        </row>
        <row r="303">
          <cell r="A303">
            <v>287</v>
          </cell>
          <cell r="B303" t="str">
            <v>Coils</v>
          </cell>
          <cell r="C303" t="str">
            <v>Hot Water, DX, or Consensor Coils, copper tubes, aluminum fins  2 rows, 8 fins per inch  Size 34" x 72"</v>
          </cell>
          <cell r="D303">
            <v>13.69</v>
          </cell>
          <cell r="F303"/>
          <cell r="G303"/>
          <cell r="H303"/>
          <cell r="I303">
            <v>238216100460</v>
          </cell>
        </row>
        <row r="304">
          <cell r="A304">
            <v>288</v>
          </cell>
          <cell r="B304" t="str">
            <v>Coils</v>
          </cell>
          <cell r="C304" t="str">
            <v>Hot Water, DX, or Consensor Coils, copper tubes, aluminum fins  2 rows, 8 fins per inch  Size 34" x 84"</v>
          </cell>
          <cell r="D304">
            <v>16</v>
          </cell>
          <cell r="F304"/>
          <cell r="G304"/>
          <cell r="H304"/>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F571"/>
          <cell r="G571"/>
          <cell r="H571"/>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F577"/>
          <cell r="G577"/>
          <cell r="H577"/>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cell r="I742"/>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F820"/>
          <cell r="G820"/>
          <cell r="H820"/>
          <cell r="I820">
            <v>238216200360</v>
          </cell>
        </row>
        <row r="821">
          <cell r="A821">
            <v>805</v>
          </cell>
          <cell r="B821" t="str">
            <v>ElecDuct</v>
          </cell>
          <cell r="C821" t="str">
            <v>Electric duct heaters  480V 3ph, finned tubular insert 12 inches wide by 30 inches high</v>
          </cell>
          <cell r="D821">
            <v>33.299999999999997</v>
          </cell>
          <cell r="F821"/>
          <cell r="G821"/>
          <cell r="H821"/>
          <cell r="I821">
            <v>238216200380</v>
          </cell>
        </row>
        <row r="822">
          <cell r="A822">
            <v>806</v>
          </cell>
          <cell r="C822"/>
          <cell r="F822"/>
          <cell r="G822"/>
          <cell r="H822"/>
          <cell r="I822"/>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cell r="I860"/>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cell r="C871"/>
          <cell r="I871"/>
        </row>
        <row r="872">
          <cell r="A872">
            <v>856</v>
          </cell>
          <cell r="C872"/>
          <cell r="I872"/>
        </row>
        <row r="873">
          <cell r="A873">
            <v>857</v>
          </cell>
          <cell r="C873"/>
          <cell r="I873"/>
        </row>
        <row r="874">
          <cell r="A874">
            <v>858</v>
          </cell>
          <cell r="C874"/>
          <cell r="I874"/>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F969"/>
          <cell r="G969"/>
          <cell r="H969"/>
          <cell r="I969">
            <v>238143106120</v>
          </cell>
        </row>
        <row r="970">
          <cell r="A970">
            <v>954</v>
          </cell>
          <cell r="C970" t="str">
            <v>Air to water heat pump, single package, excludes storage tank, 76 MBH water heating, 4.9 ton cooling air</v>
          </cell>
          <cell r="F970"/>
          <cell r="G970"/>
          <cell r="H970"/>
          <cell r="I970">
            <v>238143106130</v>
          </cell>
        </row>
        <row r="971">
          <cell r="A971">
            <v>955</v>
          </cell>
          <cell r="C971" t="str">
            <v>Air to water heat pump, single package, excludes storage tank, 98 MBH water heating, 6.5 ton cooling air</v>
          </cell>
          <cell r="F971"/>
          <cell r="G971"/>
          <cell r="H971"/>
          <cell r="I971">
            <v>238143106140</v>
          </cell>
        </row>
        <row r="972">
          <cell r="A972">
            <v>956</v>
          </cell>
          <cell r="C972" t="str">
            <v>Air to water heat pump, single package, excludes storage tank, 113 MBH water heating, 7.4 ton cooling air</v>
          </cell>
          <cell r="F972"/>
          <cell r="G972"/>
          <cell r="H972"/>
          <cell r="I972">
            <v>238143106150</v>
          </cell>
        </row>
        <row r="973">
          <cell r="A973">
            <v>957</v>
          </cell>
          <cell r="C973" t="str">
            <v>Air to water heat pump, single package, excludes storage tank, 142 MBH water heating, 9.2 ton cooling air</v>
          </cell>
          <cell r="F973"/>
          <cell r="G973"/>
          <cell r="H973"/>
          <cell r="I973">
            <v>238143106160</v>
          </cell>
        </row>
        <row r="974">
          <cell r="A974">
            <v>958</v>
          </cell>
          <cell r="C974" t="str">
            <v>Air to water heat pump, single package, excludes storage tank, 171 MBH water heating, 11.1 ton cooling air</v>
          </cell>
          <cell r="F974"/>
          <cell r="G974"/>
          <cell r="H974"/>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F976"/>
          <cell r="G976"/>
          <cell r="H976"/>
          <cell r="I976">
            <v>237213104020</v>
          </cell>
        </row>
        <row r="977">
          <cell r="A977">
            <v>961</v>
          </cell>
          <cell r="B977" t="str">
            <v>ERV</v>
          </cell>
          <cell r="C977" t="str">
            <v>Packaged ERV wheel with controls</v>
          </cell>
          <cell r="D977">
            <v>4000</v>
          </cell>
          <cell r="F977"/>
          <cell r="G977"/>
          <cell r="H977"/>
          <cell r="I977">
            <v>237213104030</v>
          </cell>
        </row>
        <row r="978">
          <cell r="A978">
            <v>962</v>
          </cell>
          <cell r="B978" t="str">
            <v>ERV</v>
          </cell>
          <cell r="C978" t="str">
            <v>Packaged ERV wheel with controls</v>
          </cell>
          <cell r="D978">
            <v>6000</v>
          </cell>
          <cell r="F978"/>
          <cell r="G978"/>
          <cell r="H978"/>
          <cell r="I978">
            <v>237213104040</v>
          </cell>
        </row>
        <row r="979">
          <cell r="A979">
            <v>963</v>
          </cell>
          <cell r="B979" t="str">
            <v>ERV</v>
          </cell>
          <cell r="C979" t="str">
            <v>Packaged ERV wheel with controls</v>
          </cell>
          <cell r="D979">
            <v>8000</v>
          </cell>
          <cell r="F979"/>
          <cell r="G979"/>
          <cell r="H979"/>
          <cell r="I979">
            <v>237213104050</v>
          </cell>
        </row>
        <row r="980">
          <cell r="A980">
            <v>964</v>
          </cell>
          <cell r="B980" t="str">
            <v>ERV</v>
          </cell>
          <cell r="C980" t="str">
            <v>Packaged ERV wheel with controls</v>
          </cell>
          <cell r="D980">
            <v>10000</v>
          </cell>
          <cell r="F980"/>
          <cell r="G980"/>
          <cell r="H980"/>
          <cell r="I980">
            <v>237213104060</v>
          </cell>
        </row>
        <row r="981">
          <cell r="A981">
            <v>965</v>
          </cell>
          <cell r="B981" t="str">
            <v>ERV</v>
          </cell>
          <cell r="C981" t="str">
            <v>Packaged ERV wheel with controls</v>
          </cell>
          <cell r="D981">
            <v>20000</v>
          </cell>
          <cell r="F981"/>
          <cell r="G981"/>
          <cell r="H981"/>
          <cell r="I981">
            <v>237213104070</v>
          </cell>
        </row>
        <row r="982">
          <cell r="A982">
            <v>966</v>
          </cell>
          <cell r="B982" t="str">
            <v>ERV</v>
          </cell>
          <cell r="C982" t="str">
            <v>Packaged ERV wheel with controls</v>
          </cell>
          <cell r="D982">
            <v>25000</v>
          </cell>
          <cell r="F982"/>
          <cell r="G982"/>
          <cell r="H982"/>
          <cell r="I982">
            <v>237213104080</v>
          </cell>
        </row>
        <row r="983">
          <cell r="A983">
            <v>967</v>
          </cell>
          <cell r="B983" t="str">
            <v>ERV</v>
          </cell>
          <cell r="C983" t="str">
            <v>Packaged ERV wheel with controls</v>
          </cell>
          <cell r="D983">
            <v>30000</v>
          </cell>
          <cell r="F983"/>
          <cell r="G983"/>
          <cell r="H983"/>
          <cell r="I983">
            <v>237213104090</v>
          </cell>
        </row>
        <row r="984">
          <cell r="A984">
            <v>968</v>
          </cell>
          <cell r="B984" t="str">
            <v>ERV</v>
          </cell>
          <cell r="C984" t="str">
            <v>Packaged ERV wheel with controls</v>
          </cell>
          <cell r="D984">
            <v>40000</v>
          </cell>
          <cell r="F984"/>
          <cell r="G984"/>
          <cell r="H984"/>
          <cell r="I984">
            <v>237213104100</v>
          </cell>
        </row>
        <row r="985">
          <cell r="A985">
            <v>969</v>
          </cell>
          <cell r="B985" t="str">
            <v>ERV</v>
          </cell>
          <cell r="C985" t="str">
            <v>Packaged ERV wheel with controls</v>
          </cell>
          <cell r="D985">
            <v>50000</v>
          </cell>
          <cell r="F985"/>
          <cell r="G985"/>
          <cell r="H985"/>
          <cell r="I985">
            <v>237213104110</v>
          </cell>
        </row>
        <row r="986">
          <cell r="A986">
            <v>970</v>
          </cell>
          <cell r="B986" t="str">
            <v>HeatPipe</v>
          </cell>
          <cell r="C986" t="str">
            <v>Air to Air Heat Pipe Heat Exchanger, Glycol, 50% efficient, 100 MBTUH (29 kW)</v>
          </cell>
          <cell r="D986">
            <v>1700</v>
          </cell>
          <cell r="F986"/>
          <cell r="G986"/>
          <cell r="H986"/>
          <cell r="I986">
            <v>237216108010</v>
          </cell>
        </row>
        <row r="987">
          <cell r="A987">
            <v>971</v>
          </cell>
          <cell r="B987" t="str">
            <v>HeatPipe</v>
          </cell>
          <cell r="C987" t="str">
            <v>Air to Air Heat Pipe Heat Exchanger, Glycol, 50% efficient, 160 MBTUH (47 kW)</v>
          </cell>
          <cell r="D987">
            <v>2700</v>
          </cell>
          <cell r="F987"/>
          <cell r="G987"/>
          <cell r="H987"/>
          <cell r="I987">
            <v>237216108020</v>
          </cell>
        </row>
        <row r="988">
          <cell r="A988">
            <v>972</v>
          </cell>
          <cell r="B988" t="str">
            <v>HeatPipe</v>
          </cell>
          <cell r="C988" t="str">
            <v>Air to Air Heat Pipe Heat Exchanger, Glycol, 50% efficient, 620 MBTUH (182 kW)</v>
          </cell>
          <cell r="D988">
            <v>4000</v>
          </cell>
          <cell r="F988"/>
          <cell r="G988"/>
          <cell r="H988"/>
          <cell r="I988">
            <v>237216108030</v>
          </cell>
        </row>
        <row r="989">
          <cell r="A989">
            <v>973</v>
          </cell>
          <cell r="C989"/>
          <cell r="F989"/>
          <cell r="G989"/>
          <cell r="H989"/>
          <cell r="I989"/>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4.4" x14ac:dyDescent="0.3"/>
  <cols>
    <col min="1" max="1" width="14.6640625" bestFit="1" customWidth="1"/>
    <col min="2" max="2" width="17" bestFit="1" customWidth="1"/>
    <col min="3" max="3" width="20.44140625" bestFit="1" customWidth="1"/>
    <col min="4" max="4" width="15" bestFit="1" customWidth="1"/>
  </cols>
  <sheetData>
    <row r="1" spans="1:4" ht="18" x14ac:dyDescent="0.35">
      <c r="A1" s="179" t="s">
        <v>1129</v>
      </c>
      <c r="B1" s="179" t="s">
        <v>1130</v>
      </c>
      <c r="C1" s="179" t="s">
        <v>1131</v>
      </c>
      <c r="D1" s="179" t="s">
        <v>1132</v>
      </c>
    </row>
    <row r="2" spans="1:4" x14ac:dyDescent="0.3">
      <c r="A2" s="180" t="s">
        <v>1133</v>
      </c>
      <c r="B2" s="180" t="s">
        <v>1134</v>
      </c>
      <c r="C2" s="180" t="s">
        <v>1134</v>
      </c>
      <c r="D2" s="180"/>
    </row>
    <row r="3" spans="1:4" x14ac:dyDescent="0.3">
      <c r="A3" s="180"/>
      <c r="B3" s="180" t="s">
        <v>1135</v>
      </c>
      <c r="C3" s="180" t="s">
        <v>1135</v>
      </c>
      <c r="D3" s="180"/>
    </row>
    <row r="4" spans="1:4" x14ac:dyDescent="0.3">
      <c r="A4" s="180"/>
      <c r="B4" s="180" t="s">
        <v>1136</v>
      </c>
      <c r="C4" s="180" t="s">
        <v>1136</v>
      </c>
      <c r="D4" s="180" t="s">
        <v>1136</v>
      </c>
    </row>
    <row r="5" spans="1:4" x14ac:dyDescent="0.3">
      <c r="A5" s="180"/>
      <c r="B5" s="180" t="s">
        <v>1137</v>
      </c>
      <c r="C5" s="180" t="s">
        <v>1137</v>
      </c>
      <c r="D5" s="180" t="s">
        <v>1137</v>
      </c>
    </row>
    <row r="6" spans="1:4" x14ac:dyDescent="0.3">
      <c r="A6" s="180"/>
      <c r="B6" s="180"/>
      <c r="C6" s="180" t="s">
        <v>1138</v>
      </c>
      <c r="D6" s="180"/>
    </row>
    <row r="7" spans="1:4" x14ac:dyDescent="0.3">
      <c r="A7" s="180"/>
      <c r="B7" s="180"/>
      <c r="C7" s="180" t="s">
        <v>1139</v>
      </c>
      <c r="D7" s="180"/>
    </row>
    <row r="8" spans="1:4" x14ac:dyDescent="0.3">
      <c r="A8" s="180"/>
      <c r="B8" s="180"/>
      <c r="C8" s="180" t="s">
        <v>1140</v>
      </c>
      <c r="D8" s="180"/>
    </row>
    <row r="9" spans="1:4" x14ac:dyDescent="0.3">
      <c r="A9" s="180"/>
      <c r="B9" s="180"/>
      <c r="C9" s="180" t="s">
        <v>1141</v>
      </c>
      <c r="D9" s="180"/>
    </row>
    <row r="10" spans="1:4" x14ac:dyDescent="0.3">
      <c r="A10" s="180"/>
      <c r="B10" s="180"/>
      <c r="C10" s="180" t="s">
        <v>1142</v>
      </c>
      <c r="D10" s="180"/>
    </row>
    <row r="11" spans="1:4" x14ac:dyDescent="0.3">
      <c r="A11" s="180"/>
      <c r="B11" s="180"/>
      <c r="C11" s="180" t="s">
        <v>1143</v>
      </c>
      <c r="D11" s="180"/>
    </row>
    <row r="12" spans="1:4" x14ac:dyDescent="0.3">
      <c r="A12" s="180"/>
      <c r="B12" s="180"/>
      <c r="C12" s="180" t="s">
        <v>1144</v>
      </c>
      <c r="D12" s="180"/>
    </row>
    <row r="13" spans="1:4" x14ac:dyDescent="0.3">
      <c r="A13" s="180"/>
      <c r="B13" s="180"/>
      <c r="C13" s="180" t="s">
        <v>1145</v>
      </c>
      <c r="D13" s="180"/>
    </row>
    <row r="14" spans="1:4" x14ac:dyDescent="0.3">
      <c r="A14" s="180"/>
      <c r="B14" s="180"/>
      <c r="C14" s="180" t="s">
        <v>1146</v>
      </c>
      <c r="D14" s="180"/>
    </row>
    <row r="15" spans="1:4" x14ac:dyDescent="0.3">
      <c r="A15" s="180"/>
      <c r="B15" s="180"/>
      <c r="C15" s="180"/>
      <c r="D15" s="180" t="s">
        <v>1147</v>
      </c>
    </row>
    <row r="16" spans="1:4" x14ac:dyDescent="0.3">
      <c r="A16" s="180" t="s">
        <v>1148</v>
      </c>
      <c r="B16" s="180" t="s">
        <v>1149</v>
      </c>
      <c r="C16" s="180" t="s">
        <v>1149</v>
      </c>
      <c r="D16" s="180" t="s">
        <v>1149</v>
      </c>
    </row>
    <row r="17" spans="1:4" x14ac:dyDescent="0.3">
      <c r="A17" s="180" t="s">
        <v>958</v>
      </c>
      <c r="B17" s="180" t="s">
        <v>1150</v>
      </c>
      <c r="C17" s="180" t="s">
        <v>1150</v>
      </c>
      <c r="D17" s="180" t="s">
        <v>1150</v>
      </c>
    </row>
    <row r="18" spans="1:4" x14ac:dyDescent="0.3">
      <c r="A18" s="180"/>
      <c r="B18" s="180"/>
      <c r="C18" s="180" t="s">
        <v>1151</v>
      </c>
      <c r="D18" s="180"/>
    </row>
    <row r="19" spans="1:4" x14ac:dyDescent="0.3">
      <c r="A19" s="180" t="s">
        <v>1152</v>
      </c>
      <c r="B19" s="180"/>
      <c r="C19" s="180" t="s">
        <v>1153</v>
      </c>
      <c r="D19" s="180"/>
    </row>
    <row r="20" spans="1:4" x14ac:dyDescent="0.3">
      <c r="A20" s="180"/>
      <c r="B20" s="180"/>
      <c r="C20" s="180"/>
      <c r="D20" s="180" t="s">
        <v>1154</v>
      </c>
    </row>
    <row r="21" spans="1:4" x14ac:dyDescent="0.3">
      <c r="A21" s="180" t="s">
        <v>1155</v>
      </c>
      <c r="B21" s="180" t="s">
        <v>1156</v>
      </c>
      <c r="C21" s="180" t="s">
        <v>1156</v>
      </c>
      <c r="D21" s="180" t="s">
        <v>1156</v>
      </c>
    </row>
    <row r="22" spans="1:4" x14ac:dyDescent="0.3">
      <c r="A22" s="180"/>
      <c r="B22" s="180" t="s">
        <v>1157</v>
      </c>
      <c r="C22" s="180" t="s">
        <v>1157</v>
      </c>
      <c r="D22" s="180" t="s">
        <v>1157</v>
      </c>
    </row>
    <row r="23" spans="1:4" x14ac:dyDescent="0.3">
      <c r="A23" s="180"/>
      <c r="B23" s="180" t="s">
        <v>1158</v>
      </c>
      <c r="C23" s="180" t="s">
        <v>1158</v>
      </c>
      <c r="D23" s="180"/>
    </row>
    <row r="24" spans="1:4" x14ac:dyDescent="0.3">
      <c r="A24" s="180"/>
      <c r="B24" s="180"/>
      <c r="C24" s="180" t="s">
        <v>1159</v>
      </c>
      <c r="D24" s="180"/>
    </row>
    <row r="25" spans="1:4" x14ac:dyDescent="0.3">
      <c r="A25" s="180"/>
      <c r="B25" s="180" t="s">
        <v>1160</v>
      </c>
      <c r="C25" s="180" t="s">
        <v>1160</v>
      </c>
      <c r="D25" s="180"/>
    </row>
    <row r="26" spans="1:4" x14ac:dyDescent="0.3">
      <c r="A26" s="180"/>
      <c r="B26" s="180" t="s">
        <v>1161</v>
      </c>
      <c r="C26" s="180" t="s">
        <v>1161</v>
      </c>
      <c r="D26" s="180"/>
    </row>
    <row r="27" spans="1:4" x14ac:dyDescent="0.3">
      <c r="A27" s="180"/>
      <c r="B27" s="180" t="s">
        <v>1162</v>
      </c>
      <c r="C27" s="180"/>
      <c r="D27" s="180"/>
    </row>
    <row r="28" spans="1:4" x14ac:dyDescent="0.3">
      <c r="A28" s="180"/>
      <c r="B28" s="180" t="s">
        <v>1163</v>
      </c>
      <c r="C28" s="180"/>
      <c r="D28" s="180"/>
    </row>
    <row r="29" spans="1:4" x14ac:dyDescent="0.3">
      <c r="A29" s="180" t="s">
        <v>1164</v>
      </c>
      <c r="B29" s="180" t="s">
        <v>1165</v>
      </c>
      <c r="C29" s="180"/>
      <c r="D29" s="180"/>
    </row>
    <row r="30" spans="1:4" x14ac:dyDescent="0.3">
      <c r="A30" s="180"/>
      <c r="B30" s="180" t="s">
        <v>1166</v>
      </c>
      <c r="C30" s="180"/>
      <c r="D30" s="180"/>
    </row>
    <row r="31" spans="1:4" x14ac:dyDescent="0.3">
      <c r="A31" s="180"/>
      <c r="B31" s="180" t="s">
        <v>1167</v>
      </c>
      <c r="C31" s="180" t="s">
        <v>1167</v>
      </c>
      <c r="D31" s="180" t="s">
        <v>1167</v>
      </c>
    </row>
    <row r="32" spans="1:4" x14ac:dyDescent="0.3">
      <c r="A32" s="180"/>
      <c r="B32" s="180" t="s">
        <v>1168</v>
      </c>
      <c r="C32" s="180" t="s">
        <v>1168</v>
      </c>
      <c r="D32" s="180" t="s">
        <v>1168</v>
      </c>
    </row>
    <row r="33" spans="1:4" x14ac:dyDescent="0.3">
      <c r="A33" s="180"/>
      <c r="B33" s="180"/>
      <c r="C33" s="180" t="s">
        <v>1169</v>
      </c>
      <c r="D33" s="180"/>
    </row>
    <row r="34" spans="1:4" x14ac:dyDescent="0.3">
      <c r="A34" s="180"/>
      <c r="B34" s="180"/>
      <c r="C34" s="180" t="s">
        <v>1170</v>
      </c>
      <c r="D34" s="180"/>
    </row>
    <row r="35" spans="1:4" x14ac:dyDescent="0.3">
      <c r="A35" s="180"/>
      <c r="B35" s="180"/>
      <c r="C35" s="180" t="s">
        <v>1171</v>
      </c>
      <c r="D35" s="180"/>
    </row>
    <row r="36" spans="1:4" x14ac:dyDescent="0.3">
      <c r="A36" s="180" t="s">
        <v>1172</v>
      </c>
      <c r="B36" s="180" t="s">
        <v>1173</v>
      </c>
      <c r="C36" s="180" t="s">
        <v>1173</v>
      </c>
      <c r="D36" s="180"/>
    </row>
    <row r="37" spans="1:4" x14ac:dyDescent="0.3">
      <c r="A37" s="180"/>
      <c r="B37" s="180"/>
      <c r="C37" s="180" t="s">
        <v>1174</v>
      </c>
      <c r="D37" s="180"/>
    </row>
    <row r="38" spans="1:4" x14ac:dyDescent="0.3">
      <c r="A38" s="180"/>
      <c r="B38" s="180"/>
      <c r="C38" s="180" t="s">
        <v>1175</v>
      </c>
      <c r="D38" s="180"/>
    </row>
    <row r="39" spans="1:4" x14ac:dyDescent="0.3">
      <c r="A39" s="180"/>
      <c r="B39" s="180" t="s">
        <v>1176</v>
      </c>
      <c r="C39" s="180" t="s">
        <v>1176</v>
      </c>
      <c r="D39" s="180" t="s">
        <v>1176</v>
      </c>
    </row>
    <row r="40" spans="1:4" x14ac:dyDescent="0.3">
      <c r="A40" s="180"/>
      <c r="B40" s="180" t="s">
        <v>1177</v>
      </c>
      <c r="C40" s="180"/>
      <c r="D40" s="180"/>
    </row>
    <row r="41" spans="1:4" x14ac:dyDescent="0.3">
      <c r="A41" s="180" t="s">
        <v>1178</v>
      </c>
      <c r="B41" s="180" t="s">
        <v>1179</v>
      </c>
      <c r="C41" s="180"/>
      <c r="D41" s="180"/>
    </row>
    <row r="42" spans="1:4" x14ac:dyDescent="0.3">
      <c r="A42" s="180"/>
      <c r="B42" s="180" t="s">
        <v>1180</v>
      </c>
      <c r="C42" s="180"/>
      <c r="D42" s="180"/>
    </row>
    <row r="43" spans="1:4" x14ac:dyDescent="0.3">
      <c r="A43" s="180"/>
      <c r="B43" s="180" t="s">
        <v>1181</v>
      </c>
      <c r="C43" s="180"/>
      <c r="D43" s="180"/>
    </row>
    <row r="44" spans="1:4" x14ac:dyDescent="0.3">
      <c r="A44" s="180"/>
      <c r="B44" s="180" t="s">
        <v>1182</v>
      </c>
      <c r="C44" s="180"/>
      <c r="D44" s="180" t="s">
        <v>1182</v>
      </c>
    </row>
    <row r="45" spans="1:4" x14ac:dyDescent="0.3">
      <c r="A45" s="180"/>
      <c r="B45" s="180" t="s">
        <v>368</v>
      </c>
      <c r="C45" s="180" t="s">
        <v>368</v>
      </c>
      <c r="D45" s="180"/>
    </row>
    <row r="46" spans="1:4" x14ac:dyDescent="0.3">
      <c r="A46" s="180"/>
      <c r="B46" s="180" t="s">
        <v>1183</v>
      </c>
      <c r="C46" s="180"/>
      <c r="D46" s="180" t="s">
        <v>1183</v>
      </c>
    </row>
    <row r="47" spans="1:4" x14ac:dyDescent="0.3">
      <c r="A47" s="180"/>
      <c r="B47" s="180" t="s">
        <v>363</v>
      </c>
      <c r="C47" s="180" t="s">
        <v>363</v>
      </c>
      <c r="D47" s="180" t="s">
        <v>363</v>
      </c>
    </row>
    <row r="48" spans="1:4" x14ac:dyDescent="0.3">
      <c r="A48" s="180"/>
      <c r="B48" s="180" t="s">
        <v>364</v>
      </c>
      <c r="C48" s="180" t="s">
        <v>364</v>
      </c>
      <c r="D48" s="180"/>
    </row>
    <row r="49" spans="1:4" x14ac:dyDescent="0.3">
      <c r="A49" s="180"/>
      <c r="B49" s="180" t="s">
        <v>1184</v>
      </c>
      <c r="C49" s="180"/>
      <c r="D49" s="180" t="s">
        <v>1184</v>
      </c>
    </row>
    <row r="50" spans="1:4" x14ac:dyDescent="0.3">
      <c r="A50" s="180"/>
      <c r="B50" s="180" t="s">
        <v>365</v>
      </c>
      <c r="C50" s="180" t="s">
        <v>365</v>
      </c>
      <c r="D50" s="180" t="s">
        <v>365</v>
      </c>
    </row>
    <row r="51" spans="1:4" x14ac:dyDescent="0.3">
      <c r="A51" s="180"/>
      <c r="B51" s="180" t="s">
        <v>1185</v>
      </c>
      <c r="C51" s="180"/>
      <c r="D51" s="180"/>
    </row>
    <row r="52" spans="1:4" x14ac:dyDescent="0.3">
      <c r="A52" s="180"/>
      <c r="B52" s="180" t="s">
        <v>1186</v>
      </c>
      <c r="C52" s="180"/>
      <c r="D52" s="180"/>
    </row>
    <row r="53" spans="1:4" x14ac:dyDescent="0.3">
      <c r="A53" s="180"/>
      <c r="B53" s="180" t="s">
        <v>1187</v>
      </c>
      <c r="C53" s="180"/>
      <c r="D53" s="180"/>
    </row>
    <row r="54" spans="1:4" x14ac:dyDescent="0.3">
      <c r="A54" s="180"/>
      <c r="B54" s="180" t="s">
        <v>366</v>
      </c>
      <c r="C54" s="180" t="s">
        <v>366</v>
      </c>
      <c r="D54" s="180" t="s">
        <v>366</v>
      </c>
    </row>
    <row r="55" spans="1:4" x14ac:dyDescent="0.3">
      <c r="A55" s="180"/>
      <c r="B55" s="180" t="s">
        <v>1188</v>
      </c>
      <c r="C55" s="180"/>
      <c r="D55" s="180" t="s">
        <v>1188</v>
      </c>
    </row>
    <row r="56" spans="1:4" x14ac:dyDescent="0.3">
      <c r="A56" s="180"/>
      <c r="B56" s="180" t="s">
        <v>1189</v>
      </c>
      <c r="C56" s="180"/>
      <c r="D56" s="180" t="s">
        <v>1189</v>
      </c>
    </row>
    <row r="57" spans="1:4" x14ac:dyDescent="0.3">
      <c r="A57" s="180"/>
      <c r="B57" s="180" t="s">
        <v>369</v>
      </c>
      <c r="C57" s="180" t="s">
        <v>369</v>
      </c>
      <c r="D57" s="180" t="s">
        <v>369</v>
      </c>
    </row>
    <row r="58" spans="1:4" x14ac:dyDescent="0.3">
      <c r="A58" s="180"/>
      <c r="B58" s="180" t="s">
        <v>370</v>
      </c>
      <c r="C58" s="180" t="s">
        <v>370</v>
      </c>
      <c r="D58" s="180"/>
    </row>
    <row r="59" spans="1:4" x14ac:dyDescent="0.3">
      <c r="A59" s="180"/>
      <c r="B59" s="180" t="s">
        <v>367</v>
      </c>
      <c r="C59" s="180" t="s">
        <v>367</v>
      </c>
      <c r="D59" s="180" t="s">
        <v>367</v>
      </c>
    </row>
    <row r="60" spans="1:4" x14ac:dyDescent="0.3">
      <c r="A60" s="180"/>
      <c r="B60" s="180" t="s">
        <v>371</v>
      </c>
      <c r="C60" s="180" t="s">
        <v>371</v>
      </c>
      <c r="D60" s="180"/>
    </row>
    <row r="61" spans="1:4" x14ac:dyDescent="0.3">
      <c r="A61" s="180"/>
      <c r="B61" s="180"/>
      <c r="C61" s="180" t="s">
        <v>1190</v>
      </c>
      <c r="D61" s="180"/>
    </row>
    <row r="62" spans="1:4" x14ac:dyDescent="0.3">
      <c r="A62" s="180"/>
      <c r="B62" s="180"/>
      <c r="C62" s="180" t="s">
        <v>1191</v>
      </c>
      <c r="D62" s="180"/>
    </row>
    <row r="63" spans="1:4" x14ac:dyDescent="0.3">
      <c r="A63" s="180"/>
      <c r="B63" s="180"/>
      <c r="C63" s="180" t="s">
        <v>1192</v>
      </c>
      <c r="D63" s="180"/>
    </row>
    <row r="64" spans="1:4" x14ac:dyDescent="0.3">
      <c r="A64" s="180" t="s">
        <v>1193</v>
      </c>
      <c r="B64" s="180" t="s">
        <v>1194</v>
      </c>
      <c r="C64" s="180"/>
      <c r="D64" s="180"/>
    </row>
    <row r="65" spans="1:4" x14ac:dyDescent="0.3">
      <c r="A65" s="180"/>
      <c r="B65" s="180" t="s">
        <v>1195</v>
      </c>
      <c r="C65" s="180"/>
      <c r="D65" s="180"/>
    </row>
    <row r="66" spans="1:4" x14ac:dyDescent="0.3">
      <c r="A66" s="180"/>
      <c r="B66" s="180" t="s">
        <v>1196</v>
      </c>
      <c r="C66" s="180"/>
      <c r="D66" s="180"/>
    </row>
    <row r="67" spans="1:4" x14ac:dyDescent="0.3">
      <c r="A67" s="180"/>
      <c r="B67" s="180" t="s">
        <v>1197</v>
      </c>
      <c r="C67" s="180"/>
      <c r="D67" s="180"/>
    </row>
    <row r="68" spans="1:4" x14ac:dyDescent="0.3">
      <c r="A68" s="180"/>
      <c r="B68" s="180" t="s">
        <v>1198</v>
      </c>
      <c r="C68" s="180"/>
      <c r="D68" s="180"/>
    </row>
    <row r="69" spans="1:4" x14ac:dyDescent="0.3">
      <c r="A69" s="180"/>
      <c r="B69" s="180" t="s">
        <v>1199</v>
      </c>
      <c r="C69" s="180"/>
      <c r="D69" s="180"/>
    </row>
    <row r="70" spans="1:4" x14ac:dyDescent="0.3">
      <c r="A70" s="180"/>
      <c r="B70" s="180" t="s">
        <v>1200</v>
      </c>
      <c r="C70" s="180"/>
      <c r="D70" s="180"/>
    </row>
    <row r="71" spans="1:4" x14ac:dyDescent="0.3">
      <c r="A71" s="180"/>
      <c r="B71" s="180" t="s">
        <v>1201</v>
      </c>
      <c r="C71" s="180"/>
      <c r="D71" s="180"/>
    </row>
    <row r="72" spans="1:4" x14ac:dyDescent="0.3">
      <c r="A72" s="180"/>
      <c r="B72" s="180" t="s">
        <v>1202</v>
      </c>
      <c r="C72" s="180" t="s">
        <v>1203</v>
      </c>
      <c r="D72" s="180" t="s">
        <v>1202</v>
      </c>
    </row>
    <row r="73" spans="1:4" x14ac:dyDescent="0.3">
      <c r="A73" s="180"/>
      <c r="B73" s="180" t="s">
        <v>1204</v>
      </c>
      <c r="C73" s="180" t="s">
        <v>1204</v>
      </c>
      <c r="D73" s="180" t="s">
        <v>1204</v>
      </c>
    </row>
    <row r="74" spans="1:4" x14ac:dyDescent="0.3">
      <c r="A74" s="180"/>
      <c r="B74" s="180" t="s">
        <v>1205</v>
      </c>
      <c r="C74" s="180"/>
      <c r="D74" s="180"/>
    </row>
    <row r="75" spans="1:4" x14ac:dyDescent="0.3">
      <c r="A75" s="180"/>
      <c r="B75" s="180" t="s">
        <v>1206</v>
      </c>
      <c r="C75" s="180"/>
      <c r="D75" s="180"/>
    </row>
    <row r="76" spans="1:4" x14ac:dyDescent="0.3">
      <c r="A76" s="180"/>
      <c r="B76" s="180" t="s">
        <v>1207</v>
      </c>
      <c r="C76" s="180"/>
      <c r="D76" s="180"/>
    </row>
    <row r="77" spans="1:4" x14ac:dyDescent="0.3">
      <c r="A77" s="180"/>
      <c r="B77" s="180" t="s">
        <v>1208</v>
      </c>
      <c r="C77" s="180" t="s">
        <v>1208</v>
      </c>
      <c r="D77" s="180"/>
    </row>
    <row r="78" spans="1:4" x14ac:dyDescent="0.3">
      <c r="A78" s="180"/>
      <c r="B78" s="180" t="s">
        <v>1209</v>
      </c>
      <c r="C78" s="180"/>
      <c r="D78" s="180"/>
    </row>
    <row r="79" spans="1:4" x14ac:dyDescent="0.3">
      <c r="A79" s="180"/>
      <c r="B79" s="180" t="s">
        <v>1210</v>
      </c>
      <c r="C79" s="180"/>
      <c r="D79" s="180"/>
    </row>
    <row r="80" spans="1:4" x14ac:dyDescent="0.3">
      <c r="A80" s="180"/>
      <c r="B80" s="180" t="s">
        <v>1211</v>
      </c>
      <c r="C80" s="180"/>
      <c r="D80" s="180"/>
    </row>
    <row r="81" spans="1:4" x14ac:dyDescent="0.3">
      <c r="A81" s="180"/>
      <c r="B81" s="180"/>
      <c r="C81" s="180" t="s">
        <v>1212</v>
      </c>
      <c r="D81" s="180"/>
    </row>
    <row r="82" spans="1:4" x14ac:dyDescent="0.3">
      <c r="A82" s="180"/>
      <c r="B82" s="180"/>
      <c r="C82" s="180" t="s">
        <v>1213</v>
      </c>
      <c r="D82" s="180"/>
    </row>
    <row r="83" spans="1:4" x14ac:dyDescent="0.3">
      <c r="A83" s="180"/>
      <c r="B83" s="180"/>
      <c r="C83" s="180" t="s">
        <v>1214</v>
      </c>
      <c r="D83" s="180"/>
    </row>
    <row r="84" spans="1:4" x14ac:dyDescent="0.3">
      <c r="A84" s="180"/>
      <c r="B84" s="180"/>
      <c r="C84" s="180" t="s">
        <v>1215</v>
      </c>
      <c r="D84" s="180"/>
    </row>
    <row r="85" spans="1:4" x14ac:dyDescent="0.3">
      <c r="A85" s="180"/>
      <c r="B85" s="180"/>
      <c r="C85" s="180" t="s">
        <v>1216</v>
      </c>
      <c r="D85" s="180"/>
    </row>
    <row r="86" spans="1:4" x14ac:dyDescent="0.3">
      <c r="A86" s="180"/>
      <c r="B86" s="180"/>
      <c r="C86" s="180" t="s">
        <v>1217</v>
      </c>
      <c r="D86" s="180"/>
    </row>
    <row r="87" spans="1:4" x14ac:dyDescent="0.3">
      <c r="A87" s="180"/>
      <c r="B87" s="180"/>
      <c r="C87" s="180" t="s">
        <v>1218</v>
      </c>
      <c r="D87" s="180"/>
    </row>
    <row r="88" spans="1:4" x14ac:dyDescent="0.3">
      <c r="A88" s="180"/>
      <c r="B88" s="180"/>
      <c r="C88" s="180" t="s">
        <v>1219</v>
      </c>
      <c r="D88" s="180"/>
    </row>
    <row r="89" spans="1:4" x14ac:dyDescent="0.3">
      <c r="A89" s="180"/>
      <c r="B89" s="180"/>
      <c r="C89" s="180" t="s">
        <v>1220</v>
      </c>
      <c r="D89" s="180"/>
    </row>
    <row r="90" spans="1:4" x14ac:dyDescent="0.3">
      <c r="A90" s="180"/>
      <c r="B90" s="180"/>
      <c r="C90" s="180" t="s">
        <v>1221</v>
      </c>
      <c r="D90" s="180"/>
    </row>
    <row r="91" spans="1:4" x14ac:dyDescent="0.3">
      <c r="A91" s="180"/>
      <c r="B91" s="180"/>
      <c r="C91" s="180" t="s">
        <v>1222</v>
      </c>
      <c r="D91" s="180"/>
    </row>
    <row r="92" spans="1:4" x14ac:dyDescent="0.3">
      <c r="A92" s="180"/>
      <c r="B92" s="180"/>
      <c r="C92" s="180" t="s">
        <v>1223</v>
      </c>
      <c r="D92" s="180"/>
    </row>
    <row r="93" spans="1:4" x14ac:dyDescent="0.3">
      <c r="A93" s="180"/>
      <c r="B93" s="180"/>
      <c r="C93" s="180" t="s">
        <v>1224</v>
      </c>
      <c r="D93" s="180"/>
    </row>
    <row r="94" spans="1:4" x14ac:dyDescent="0.3">
      <c r="A94" s="180"/>
      <c r="B94" s="180"/>
      <c r="C94" s="180" t="s">
        <v>1225</v>
      </c>
      <c r="D94" s="180"/>
    </row>
    <row r="95" spans="1:4" x14ac:dyDescent="0.3">
      <c r="A95" s="180"/>
      <c r="B95" s="180"/>
      <c r="C95" s="180" t="s">
        <v>1226</v>
      </c>
      <c r="D95" s="180"/>
    </row>
    <row r="96" spans="1:4" x14ac:dyDescent="0.3">
      <c r="A96" s="180"/>
      <c r="B96" s="180"/>
      <c r="C96" s="180" t="s">
        <v>1227</v>
      </c>
      <c r="D96" s="180"/>
    </row>
    <row r="97" spans="1:4" x14ac:dyDescent="0.3">
      <c r="A97" s="180" t="s">
        <v>1228</v>
      </c>
      <c r="B97" s="180" t="s">
        <v>1229</v>
      </c>
      <c r="C97" s="180" t="s">
        <v>1229</v>
      </c>
      <c r="D97" s="180"/>
    </row>
    <row r="98" spans="1:4" x14ac:dyDescent="0.3">
      <c r="A98" s="180"/>
      <c r="B98" s="180"/>
      <c r="C98" s="180" t="s">
        <v>1230</v>
      </c>
      <c r="D98" s="180"/>
    </row>
    <row r="99" spans="1:4" x14ac:dyDescent="0.3">
      <c r="A99" s="180"/>
      <c r="B99" s="180" t="s">
        <v>1231</v>
      </c>
      <c r="C99" s="180" t="s">
        <v>1231</v>
      </c>
      <c r="D99" s="180"/>
    </row>
    <row r="100" spans="1:4" x14ac:dyDescent="0.3">
      <c r="A100" s="180"/>
      <c r="B100" s="180" t="s">
        <v>1232</v>
      </c>
      <c r="C100" s="180"/>
      <c r="D100" s="180"/>
    </row>
    <row r="101" spans="1:4" x14ac:dyDescent="0.3">
      <c r="A101" s="180"/>
      <c r="B101" s="180" t="s">
        <v>1233</v>
      </c>
      <c r="C101" s="180"/>
      <c r="D101" s="180"/>
    </row>
    <row r="102" spans="1:4" x14ac:dyDescent="0.3">
      <c r="A102" s="180"/>
      <c r="B102" s="180" t="s">
        <v>1234</v>
      </c>
      <c r="C102" s="180"/>
      <c r="D102" s="180" t="s">
        <v>1234</v>
      </c>
    </row>
    <row r="103" spans="1:4" x14ac:dyDescent="0.3">
      <c r="A103" s="180"/>
      <c r="B103" s="180" t="s">
        <v>1235</v>
      </c>
      <c r="C103" s="180"/>
      <c r="D103" s="180"/>
    </row>
    <row r="104" spans="1:4" x14ac:dyDescent="0.3">
      <c r="A104" s="180" t="s">
        <v>1236</v>
      </c>
      <c r="B104" s="180" t="s">
        <v>1237</v>
      </c>
      <c r="C104" s="180" t="s">
        <v>1237</v>
      </c>
      <c r="D104" s="180" t="s">
        <v>1237</v>
      </c>
    </row>
    <row r="105" spans="1:4" x14ac:dyDescent="0.3">
      <c r="A105" s="180"/>
      <c r="B105" s="180" t="s">
        <v>1238</v>
      </c>
      <c r="C105" s="180"/>
      <c r="D105" s="180"/>
    </row>
    <row r="106" spans="1:4" x14ac:dyDescent="0.3">
      <c r="A106" s="180" t="s">
        <v>1239</v>
      </c>
      <c r="B106" s="180"/>
      <c r="C106" s="180" t="s">
        <v>1240</v>
      </c>
      <c r="D106" s="180"/>
    </row>
    <row r="107" spans="1:4" x14ac:dyDescent="0.3">
      <c r="A107" s="180"/>
      <c r="B107" s="180"/>
      <c r="C107" s="180" t="s">
        <v>1241</v>
      </c>
      <c r="D107" s="180"/>
    </row>
    <row r="108" spans="1:4" x14ac:dyDescent="0.3">
      <c r="A108" s="180"/>
      <c r="B108" s="180"/>
      <c r="C108" s="180" t="s">
        <v>1242</v>
      </c>
      <c r="D108" s="180"/>
    </row>
    <row r="109" spans="1:4" x14ac:dyDescent="0.3">
      <c r="A109" s="180"/>
      <c r="B109" s="180" t="s">
        <v>1243</v>
      </c>
      <c r="C109" s="180" t="s">
        <v>1243</v>
      </c>
      <c r="D109" s="180"/>
    </row>
    <row r="110" spans="1:4" x14ac:dyDescent="0.3">
      <c r="A110" s="180"/>
      <c r="B110" s="180" t="s">
        <v>1244</v>
      </c>
      <c r="C110" s="180" t="s">
        <v>1244</v>
      </c>
      <c r="D110" s="180"/>
    </row>
    <row r="111" spans="1:4" x14ac:dyDescent="0.3">
      <c r="A111" s="180"/>
      <c r="B111" s="180" t="s">
        <v>1245</v>
      </c>
      <c r="C111" s="180"/>
      <c r="D111" s="180"/>
    </row>
    <row r="112" spans="1:4" x14ac:dyDescent="0.3">
      <c r="A112" s="180"/>
      <c r="B112" s="180" t="s">
        <v>1246</v>
      </c>
      <c r="C112" s="180"/>
      <c r="D112" s="180"/>
    </row>
    <row r="113" spans="1:4" x14ac:dyDescent="0.3">
      <c r="A113" s="180"/>
      <c r="B113" s="180" t="s">
        <v>1247</v>
      </c>
      <c r="C113" s="180"/>
      <c r="D113" s="180" t="s">
        <v>1247</v>
      </c>
    </row>
    <row r="114" spans="1:4" x14ac:dyDescent="0.3">
      <c r="A114" s="180"/>
      <c r="B114" s="180" t="s">
        <v>1248</v>
      </c>
      <c r="C114" s="180"/>
      <c r="D114" s="180"/>
    </row>
    <row r="115" spans="1:4" x14ac:dyDescent="0.3">
      <c r="A115" s="180"/>
      <c r="B115" s="180" t="s">
        <v>1249</v>
      </c>
      <c r="C115" s="180"/>
      <c r="D115" s="180"/>
    </row>
    <row r="116" spans="1:4" x14ac:dyDescent="0.3">
      <c r="A116" s="180" t="s">
        <v>1250</v>
      </c>
      <c r="B116" s="180" t="s">
        <v>1251</v>
      </c>
      <c r="C116" s="180"/>
      <c r="D116" s="180"/>
    </row>
    <row r="117" spans="1:4" x14ac:dyDescent="0.3">
      <c r="A117" s="180"/>
      <c r="B117" s="180" t="s">
        <v>1252</v>
      </c>
      <c r="C117" s="180" t="s">
        <v>1252</v>
      </c>
      <c r="D117" s="180" t="s">
        <v>1252</v>
      </c>
    </row>
    <row r="118" spans="1:4" x14ac:dyDescent="0.3">
      <c r="A118" s="180"/>
      <c r="B118" s="180"/>
      <c r="C118" s="180" t="s">
        <v>1253</v>
      </c>
      <c r="D118" s="180"/>
    </row>
    <row r="119" spans="1:4" x14ac:dyDescent="0.3">
      <c r="A119" s="180"/>
      <c r="B119" s="180"/>
      <c r="C119" s="180" t="s">
        <v>1254</v>
      </c>
      <c r="D119" s="180" t="s">
        <v>1254</v>
      </c>
    </row>
    <row r="120" spans="1:4" x14ac:dyDescent="0.3">
      <c r="A120" s="180"/>
      <c r="B120" s="180"/>
      <c r="C120" s="180" t="s">
        <v>1255</v>
      </c>
      <c r="D120" s="180"/>
    </row>
    <row r="121" spans="1:4" x14ac:dyDescent="0.3">
      <c r="A121" s="180"/>
      <c r="B121" s="180"/>
      <c r="C121" s="180" t="s">
        <v>1256</v>
      </c>
      <c r="D121" s="180"/>
    </row>
    <row r="122" spans="1:4" x14ac:dyDescent="0.3">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4.4" x14ac:dyDescent="0.3"/>
  <cols>
    <col min="1" max="1" width="23" bestFit="1" customWidth="1"/>
    <col min="2" max="2" width="21.6640625" bestFit="1" customWidth="1"/>
    <col min="3" max="3" width="8.33203125" bestFit="1" customWidth="1"/>
    <col min="4" max="4" width="9.88671875" bestFit="1" customWidth="1"/>
  </cols>
  <sheetData>
    <row r="1" spans="1:5" x14ac:dyDescent="0.3">
      <c r="A1" s="112" t="s">
        <v>961</v>
      </c>
      <c r="B1" s="112" t="s">
        <v>962</v>
      </c>
      <c r="C1" s="112" t="s">
        <v>963</v>
      </c>
      <c r="D1" s="112" t="s">
        <v>964</v>
      </c>
      <c r="E1" s="112" t="s">
        <v>341</v>
      </c>
    </row>
    <row r="2" spans="1:5" x14ac:dyDescent="0.3">
      <c r="A2" t="s">
        <v>881</v>
      </c>
      <c r="B2" t="s">
        <v>882</v>
      </c>
      <c r="C2">
        <v>53.53</v>
      </c>
      <c r="D2">
        <v>-114.1</v>
      </c>
      <c r="E2" t="s">
        <v>970</v>
      </c>
    </row>
    <row r="3" spans="1:5" x14ac:dyDescent="0.3">
      <c r="A3" t="s">
        <v>881</v>
      </c>
      <c r="B3" t="s">
        <v>897</v>
      </c>
      <c r="C3">
        <v>56.65</v>
      </c>
      <c r="D3">
        <v>-111.22</v>
      </c>
      <c r="E3" t="s">
        <v>970</v>
      </c>
    </row>
    <row r="4" spans="1:5" x14ac:dyDescent="0.3">
      <c r="A4" t="s">
        <v>881</v>
      </c>
      <c r="B4" t="s">
        <v>899</v>
      </c>
      <c r="C4">
        <v>49.63</v>
      </c>
      <c r="D4">
        <v>-112.8</v>
      </c>
      <c r="E4" t="s">
        <v>970</v>
      </c>
    </row>
    <row r="5" spans="1:5" x14ac:dyDescent="0.3">
      <c r="A5" t="s">
        <v>881</v>
      </c>
      <c r="B5" t="s">
        <v>903</v>
      </c>
      <c r="C5">
        <v>52.26</v>
      </c>
      <c r="D5">
        <v>-113.81</v>
      </c>
      <c r="E5" t="s">
        <v>970</v>
      </c>
    </row>
    <row r="6" spans="1:5" x14ac:dyDescent="0.3">
      <c r="A6" t="s">
        <v>881</v>
      </c>
      <c r="B6" t="s">
        <v>915</v>
      </c>
      <c r="C6">
        <v>53.27</v>
      </c>
      <c r="D6">
        <v>-110</v>
      </c>
      <c r="E6" t="s">
        <v>970</v>
      </c>
    </row>
    <row r="7" spans="1:5" x14ac:dyDescent="0.3">
      <c r="A7" t="s">
        <v>881</v>
      </c>
      <c r="B7" t="s">
        <v>923</v>
      </c>
      <c r="C7">
        <v>51.12</v>
      </c>
      <c r="D7">
        <v>-114.02</v>
      </c>
      <c r="E7" t="s">
        <v>970</v>
      </c>
    </row>
    <row r="8" spans="1:5" x14ac:dyDescent="0.3">
      <c r="A8" t="s">
        <v>881</v>
      </c>
      <c r="B8" t="s">
        <v>939</v>
      </c>
      <c r="C8">
        <v>50.02</v>
      </c>
      <c r="D8">
        <v>-110.72</v>
      </c>
      <c r="E8" t="s">
        <v>970</v>
      </c>
    </row>
    <row r="9" spans="1:5" x14ac:dyDescent="0.3">
      <c r="A9" t="s">
        <v>892</v>
      </c>
      <c r="B9" t="s">
        <v>893</v>
      </c>
      <c r="C9">
        <v>48.65</v>
      </c>
      <c r="D9">
        <v>-123.43</v>
      </c>
      <c r="E9" t="s">
        <v>970</v>
      </c>
    </row>
    <row r="10" spans="1:5" x14ac:dyDescent="0.3">
      <c r="A10" t="s">
        <v>892</v>
      </c>
      <c r="B10" t="s">
        <v>926</v>
      </c>
      <c r="C10">
        <v>50.7</v>
      </c>
      <c r="D10">
        <v>-120.45</v>
      </c>
      <c r="E10" t="s">
        <v>970</v>
      </c>
    </row>
    <row r="11" spans="1:5" x14ac:dyDescent="0.3">
      <c r="A11" t="s">
        <v>892</v>
      </c>
      <c r="B11" t="s">
        <v>953</v>
      </c>
      <c r="C11">
        <v>53.88</v>
      </c>
      <c r="D11">
        <v>-122.68</v>
      </c>
      <c r="E11" t="s">
        <v>970</v>
      </c>
    </row>
    <row r="12" spans="1:5" x14ac:dyDescent="0.3">
      <c r="A12" t="s">
        <v>892</v>
      </c>
      <c r="B12" t="s">
        <v>957</v>
      </c>
      <c r="C12">
        <v>49.18</v>
      </c>
      <c r="D12">
        <v>-123.17</v>
      </c>
      <c r="E12" t="s">
        <v>970</v>
      </c>
    </row>
    <row r="13" spans="1:5" x14ac:dyDescent="0.3">
      <c r="A13" t="s">
        <v>877</v>
      </c>
      <c r="B13" t="s">
        <v>878</v>
      </c>
      <c r="C13">
        <v>49.92</v>
      </c>
      <c r="D13">
        <v>-99.95</v>
      </c>
      <c r="E13" t="s">
        <v>970</v>
      </c>
    </row>
    <row r="14" spans="1:5" x14ac:dyDescent="0.3">
      <c r="A14" t="s">
        <v>877</v>
      </c>
      <c r="B14" t="s">
        <v>929</v>
      </c>
      <c r="C14">
        <v>49.97</v>
      </c>
      <c r="D14">
        <v>-99.29</v>
      </c>
      <c r="E14" t="s">
        <v>970</v>
      </c>
    </row>
    <row r="15" spans="1:5" x14ac:dyDescent="0.3">
      <c r="A15" t="s">
        <v>877</v>
      </c>
      <c r="B15" t="s">
        <v>934</v>
      </c>
      <c r="C15">
        <v>49.9</v>
      </c>
      <c r="D15">
        <v>-97.23</v>
      </c>
      <c r="E15" t="s">
        <v>970</v>
      </c>
    </row>
    <row r="16" spans="1:5" x14ac:dyDescent="0.3">
      <c r="A16" t="s">
        <v>888</v>
      </c>
      <c r="B16" t="s">
        <v>889</v>
      </c>
      <c r="C16">
        <v>45.32</v>
      </c>
      <c r="D16">
        <v>-65.88</v>
      </c>
      <c r="E16" t="s">
        <v>970</v>
      </c>
    </row>
    <row r="17" spans="1:5" x14ac:dyDescent="0.3">
      <c r="A17" t="s">
        <v>888</v>
      </c>
      <c r="B17" t="s">
        <v>894</v>
      </c>
      <c r="C17">
        <v>47.618000000000002</v>
      </c>
      <c r="D17">
        <v>-65.650999999999996</v>
      </c>
      <c r="E17" t="s">
        <v>970</v>
      </c>
    </row>
    <row r="18" spans="1:5" x14ac:dyDescent="0.3">
      <c r="A18" t="s">
        <v>888</v>
      </c>
      <c r="B18" t="s">
        <v>913</v>
      </c>
      <c r="C18">
        <v>45.87</v>
      </c>
      <c r="D18">
        <v>-66.53</v>
      </c>
      <c r="E18" t="s">
        <v>970</v>
      </c>
    </row>
    <row r="19" spans="1:5" x14ac:dyDescent="0.3">
      <c r="A19" t="s">
        <v>888</v>
      </c>
      <c r="B19" t="s">
        <v>928</v>
      </c>
      <c r="C19">
        <v>47.0015</v>
      </c>
      <c r="D19">
        <v>-65.56</v>
      </c>
      <c r="E19" t="s">
        <v>970</v>
      </c>
    </row>
    <row r="20" spans="1:5" x14ac:dyDescent="0.3">
      <c r="A20" t="s">
        <v>888</v>
      </c>
      <c r="B20" t="s">
        <v>936</v>
      </c>
      <c r="C20">
        <v>48.065800000000003</v>
      </c>
      <c r="D20">
        <v>-66.37</v>
      </c>
      <c r="E20" t="s">
        <v>970</v>
      </c>
    </row>
    <row r="21" spans="1:5" x14ac:dyDescent="0.3">
      <c r="A21" t="s">
        <v>888</v>
      </c>
      <c r="B21" t="s">
        <v>951</v>
      </c>
      <c r="C21">
        <v>46.087800000000001</v>
      </c>
      <c r="D21">
        <v>-64.778199999999998</v>
      </c>
      <c r="E21" t="s">
        <v>970</v>
      </c>
    </row>
    <row r="22" spans="1:5" x14ac:dyDescent="0.3">
      <c r="A22" t="s">
        <v>911</v>
      </c>
      <c r="B22" t="s">
        <v>912</v>
      </c>
      <c r="C22">
        <v>48.948999999999998</v>
      </c>
      <c r="D22">
        <v>-57.950299999999999</v>
      </c>
      <c r="E22" t="s">
        <v>970</v>
      </c>
    </row>
    <row r="23" spans="1:5" x14ac:dyDescent="0.3">
      <c r="A23" t="s">
        <v>911</v>
      </c>
      <c r="B23" t="s">
        <v>920</v>
      </c>
      <c r="C23">
        <v>47.62</v>
      </c>
      <c r="D23">
        <v>-52.73</v>
      </c>
      <c r="E23" t="s">
        <v>970</v>
      </c>
    </row>
    <row r="24" spans="1:5" x14ac:dyDescent="0.3">
      <c r="A24" t="s">
        <v>909</v>
      </c>
      <c r="B24" t="s">
        <v>910</v>
      </c>
      <c r="C24">
        <v>44.372100000000003</v>
      </c>
      <c r="D24">
        <v>-64.520899999999997</v>
      </c>
      <c r="E24" t="s">
        <v>970</v>
      </c>
    </row>
    <row r="25" spans="1:5" x14ac:dyDescent="0.3">
      <c r="A25" t="s">
        <v>909</v>
      </c>
      <c r="B25" t="s">
        <v>916</v>
      </c>
      <c r="C25">
        <v>45.587000000000003</v>
      </c>
      <c r="D25">
        <v>-62.645099999999999</v>
      </c>
      <c r="E25" t="s">
        <v>970</v>
      </c>
    </row>
    <row r="26" spans="1:5" x14ac:dyDescent="0.3">
      <c r="A26" t="s">
        <v>909</v>
      </c>
      <c r="B26" t="s">
        <v>945</v>
      </c>
      <c r="C26">
        <v>45.37</v>
      </c>
      <c r="D26">
        <v>-63.27</v>
      </c>
      <c r="E26" t="s">
        <v>970</v>
      </c>
    </row>
    <row r="27" spans="1:5" x14ac:dyDescent="0.3">
      <c r="A27" t="s">
        <v>909</v>
      </c>
      <c r="B27" t="s">
        <v>946</v>
      </c>
      <c r="C27">
        <v>43.837499999999999</v>
      </c>
      <c r="D27">
        <v>-66.117400000000004</v>
      </c>
      <c r="E27" t="s">
        <v>970</v>
      </c>
    </row>
    <row r="28" spans="1:5" x14ac:dyDescent="0.3">
      <c r="A28" t="s">
        <v>909</v>
      </c>
      <c r="B28" t="s">
        <v>948</v>
      </c>
      <c r="C28">
        <v>44.665199999999999</v>
      </c>
      <c r="D28">
        <v>-63.567700000000002</v>
      </c>
      <c r="E28" t="s">
        <v>970</v>
      </c>
    </row>
    <row r="29" spans="1:5" x14ac:dyDescent="0.3">
      <c r="A29" t="s">
        <v>909</v>
      </c>
      <c r="B29" t="s">
        <v>949</v>
      </c>
      <c r="C29">
        <v>44.648800000000001</v>
      </c>
      <c r="D29">
        <v>-63.575200000000002</v>
      </c>
      <c r="E29" t="s">
        <v>970</v>
      </c>
    </row>
    <row r="30" spans="1:5" x14ac:dyDescent="0.3">
      <c r="A30" t="s">
        <v>909</v>
      </c>
      <c r="B30" t="s">
        <v>956</v>
      </c>
      <c r="C30">
        <v>46.17</v>
      </c>
      <c r="D30">
        <v>-60.05</v>
      </c>
      <c r="E30" t="s">
        <v>970</v>
      </c>
    </row>
    <row r="31" spans="1:5" x14ac:dyDescent="0.3">
      <c r="A31" t="s">
        <v>958</v>
      </c>
      <c r="B31" t="s">
        <v>959</v>
      </c>
      <c r="C31">
        <v>62.454000000000001</v>
      </c>
      <c r="D31">
        <v>-114.37179999999999</v>
      </c>
      <c r="E31" t="s">
        <v>970</v>
      </c>
    </row>
    <row r="32" spans="1:5" x14ac:dyDescent="0.3">
      <c r="A32" t="s">
        <v>837</v>
      </c>
      <c r="B32" t="s">
        <v>838</v>
      </c>
      <c r="C32">
        <v>44.389400000000002</v>
      </c>
      <c r="D32">
        <v>-79.690299999999993</v>
      </c>
      <c r="E32" t="s">
        <v>970</v>
      </c>
    </row>
    <row r="33" spans="1:5" x14ac:dyDescent="0.3">
      <c r="A33" t="s">
        <v>837</v>
      </c>
      <c r="B33" t="s">
        <v>883</v>
      </c>
      <c r="C33">
        <v>43.255699999999997</v>
      </c>
      <c r="D33">
        <v>-79.871099999999998</v>
      </c>
      <c r="E33" t="s">
        <v>970</v>
      </c>
    </row>
    <row r="34" spans="1:5" x14ac:dyDescent="0.3">
      <c r="A34" t="s">
        <v>837</v>
      </c>
      <c r="B34" t="s">
        <v>887</v>
      </c>
      <c r="C34">
        <v>45.32</v>
      </c>
      <c r="D34">
        <v>-75.67</v>
      </c>
      <c r="E34" t="s">
        <v>970</v>
      </c>
    </row>
    <row r="35" spans="1:5" x14ac:dyDescent="0.3">
      <c r="A35" t="s">
        <v>837</v>
      </c>
      <c r="B35" t="s">
        <v>890</v>
      </c>
      <c r="C35">
        <v>43.159399999999998</v>
      </c>
      <c r="D35">
        <v>-79.246899999999997</v>
      </c>
      <c r="E35" t="s">
        <v>970</v>
      </c>
    </row>
    <row r="36" spans="1:5" x14ac:dyDescent="0.3">
      <c r="A36" t="s">
        <v>837</v>
      </c>
      <c r="B36" t="s">
        <v>891</v>
      </c>
      <c r="C36">
        <v>48.37</v>
      </c>
      <c r="D36">
        <v>-89.32</v>
      </c>
      <c r="E36" t="s">
        <v>970</v>
      </c>
    </row>
    <row r="37" spans="1:5" x14ac:dyDescent="0.3">
      <c r="A37" t="s">
        <v>837</v>
      </c>
      <c r="B37" t="s">
        <v>895</v>
      </c>
      <c r="C37">
        <v>43.139400000000002</v>
      </c>
      <c r="D37">
        <v>-80.264399999999995</v>
      </c>
      <c r="E37" t="s">
        <v>970</v>
      </c>
    </row>
    <row r="38" spans="1:5" x14ac:dyDescent="0.3">
      <c r="A38" t="s">
        <v>837</v>
      </c>
      <c r="B38" t="s">
        <v>902</v>
      </c>
      <c r="C38">
        <v>44.569000000000003</v>
      </c>
      <c r="D38">
        <v>-80.940600000000003</v>
      </c>
      <c r="E38" t="s">
        <v>970</v>
      </c>
    </row>
    <row r="39" spans="1:5" x14ac:dyDescent="0.3">
      <c r="A39" t="s">
        <v>837</v>
      </c>
      <c r="B39" t="s">
        <v>904</v>
      </c>
      <c r="C39">
        <v>42.974499999999999</v>
      </c>
      <c r="D39">
        <v>-82.406599999999997</v>
      </c>
      <c r="E39" t="s">
        <v>970</v>
      </c>
    </row>
    <row r="40" spans="1:5" x14ac:dyDescent="0.3">
      <c r="A40" t="s">
        <v>837</v>
      </c>
      <c r="B40" t="s">
        <v>906</v>
      </c>
      <c r="C40">
        <v>48.57</v>
      </c>
      <c r="D40">
        <v>-81.37</v>
      </c>
      <c r="E40" t="s">
        <v>970</v>
      </c>
    </row>
    <row r="41" spans="1:5" x14ac:dyDescent="0.3">
      <c r="A41" t="s">
        <v>837</v>
      </c>
      <c r="B41" t="s">
        <v>917</v>
      </c>
      <c r="C41">
        <v>44.309100000000001</v>
      </c>
      <c r="D41">
        <v>-78.319699999999997</v>
      </c>
      <c r="E41" t="s">
        <v>970</v>
      </c>
    </row>
    <row r="42" spans="1:5" x14ac:dyDescent="0.3">
      <c r="A42" t="s">
        <v>837</v>
      </c>
      <c r="B42" t="s">
        <v>921</v>
      </c>
      <c r="C42">
        <v>43.67</v>
      </c>
      <c r="D42">
        <v>-79.63</v>
      </c>
      <c r="E42" t="s">
        <v>970</v>
      </c>
    </row>
    <row r="43" spans="1:5" x14ac:dyDescent="0.3">
      <c r="A43" t="s">
        <v>837</v>
      </c>
      <c r="B43" t="s">
        <v>922</v>
      </c>
      <c r="C43">
        <v>42.27</v>
      </c>
      <c r="D43">
        <v>-82.97</v>
      </c>
      <c r="E43" t="s">
        <v>970</v>
      </c>
    </row>
    <row r="44" spans="1:5" x14ac:dyDescent="0.3">
      <c r="A44" t="s">
        <v>837</v>
      </c>
      <c r="B44" t="s">
        <v>924</v>
      </c>
      <c r="C44">
        <v>45.021500000000003</v>
      </c>
      <c r="D44">
        <v>74.7303</v>
      </c>
      <c r="E44" t="s">
        <v>970</v>
      </c>
    </row>
    <row r="45" spans="1:5" x14ac:dyDescent="0.3">
      <c r="A45" t="s">
        <v>837</v>
      </c>
      <c r="B45" t="s">
        <v>927</v>
      </c>
      <c r="C45">
        <v>43.03</v>
      </c>
      <c r="D45">
        <v>-81.150000000000006</v>
      </c>
      <c r="E45" t="s">
        <v>970</v>
      </c>
    </row>
    <row r="46" spans="1:5" x14ac:dyDescent="0.3">
      <c r="A46" t="s">
        <v>837</v>
      </c>
      <c r="B46" t="s">
        <v>931</v>
      </c>
      <c r="C46">
        <v>46.48</v>
      </c>
      <c r="D46">
        <v>-84.52</v>
      </c>
      <c r="E46" t="s">
        <v>970</v>
      </c>
    </row>
    <row r="47" spans="1:5" x14ac:dyDescent="0.3">
      <c r="A47" t="s">
        <v>837</v>
      </c>
      <c r="B47" t="s">
        <v>932</v>
      </c>
      <c r="C47">
        <v>46.46</v>
      </c>
      <c r="D47">
        <v>-81.010000000000005</v>
      </c>
      <c r="E47" t="s">
        <v>970</v>
      </c>
    </row>
    <row r="48" spans="1:5" x14ac:dyDescent="0.3">
      <c r="A48" t="s">
        <v>837</v>
      </c>
      <c r="B48" t="s">
        <v>938</v>
      </c>
      <c r="C48">
        <v>44.22</v>
      </c>
      <c r="D48">
        <v>-76.599999999999994</v>
      </c>
      <c r="E48" t="s">
        <v>970</v>
      </c>
    </row>
    <row r="49" spans="1:5" x14ac:dyDescent="0.3">
      <c r="A49" t="s">
        <v>837</v>
      </c>
      <c r="B49" t="s">
        <v>940</v>
      </c>
      <c r="C49">
        <v>46.35</v>
      </c>
      <c r="D49">
        <v>-79.430000000000007</v>
      </c>
      <c r="E49" t="s">
        <v>970</v>
      </c>
    </row>
    <row r="50" spans="1:5" x14ac:dyDescent="0.3">
      <c r="A50" t="s">
        <v>837</v>
      </c>
      <c r="B50" t="s">
        <v>950</v>
      </c>
      <c r="C50">
        <v>43.450299999999999</v>
      </c>
      <c r="D50">
        <v>-80.483199999999997</v>
      </c>
      <c r="E50" t="s">
        <v>970</v>
      </c>
    </row>
    <row r="51" spans="1:5" x14ac:dyDescent="0.3">
      <c r="A51" t="s">
        <v>837</v>
      </c>
      <c r="B51" t="s">
        <v>952</v>
      </c>
      <c r="C51">
        <v>43.897100000000002</v>
      </c>
      <c r="D51">
        <v>-78.865799999999993</v>
      </c>
      <c r="E51" t="s">
        <v>970</v>
      </c>
    </row>
    <row r="52" spans="1:5" x14ac:dyDescent="0.3">
      <c r="A52" t="s">
        <v>879</v>
      </c>
      <c r="B52" t="s">
        <v>880</v>
      </c>
      <c r="C52">
        <v>46.28</v>
      </c>
      <c r="D52">
        <v>-63.13</v>
      </c>
      <c r="E52" t="s">
        <v>970</v>
      </c>
    </row>
    <row r="53" spans="1:5" x14ac:dyDescent="0.3">
      <c r="A53" t="s">
        <v>879</v>
      </c>
      <c r="B53" t="s">
        <v>944</v>
      </c>
      <c r="C53">
        <v>46.3934</v>
      </c>
      <c r="D53">
        <v>-63.790199999999999</v>
      </c>
      <c r="E53" t="s">
        <v>970</v>
      </c>
    </row>
    <row r="54" spans="1:5" x14ac:dyDescent="0.3">
      <c r="A54" t="s">
        <v>884</v>
      </c>
      <c r="B54" t="s">
        <v>885</v>
      </c>
      <c r="C54">
        <v>45.6066</v>
      </c>
      <c r="D54">
        <v>-73.712400000000002</v>
      </c>
      <c r="E54" t="s">
        <v>970</v>
      </c>
    </row>
    <row r="55" spans="1:5" x14ac:dyDescent="0.3">
      <c r="A55" t="s">
        <v>884</v>
      </c>
      <c r="B55" t="s">
        <v>886</v>
      </c>
      <c r="C55">
        <v>45.47</v>
      </c>
      <c r="D55">
        <v>-73.75</v>
      </c>
      <c r="E55" t="s">
        <v>970</v>
      </c>
    </row>
    <row r="56" spans="1:5" x14ac:dyDescent="0.3">
      <c r="A56" t="s">
        <v>884</v>
      </c>
      <c r="B56" t="s">
        <v>884</v>
      </c>
      <c r="C56">
        <v>46.8</v>
      </c>
      <c r="D56">
        <v>-71.38</v>
      </c>
      <c r="E56" t="s">
        <v>970</v>
      </c>
    </row>
    <row r="57" spans="1:5" x14ac:dyDescent="0.3">
      <c r="A57" t="s">
        <v>884</v>
      </c>
      <c r="B57" t="s">
        <v>896</v>
      </c>
      <c r="C57">
        <v>48.351700000000001</v>
      </c>
      <c r="D57">
        <v>-71.138499999999993</v>
      </c>
      <c r="E57" t="s">
        <v>970</v>
      </c>
    </row>
    <row r="58" spans="1:5" x14ac:dyDescent="0.3">
      <c r="A58" t="s">
        <v>884</v>
      </c>
      <c r="B58" t="s">
        <v>898</v>
      </c>
      <c r="C58">
        <v>45.428699999999999</v>
      </c>
      <c r="D58">
        <v>-75.713399999999993</v>
      </c>
      <c r="E58" t="s">
        <v>970</v>
      </c>
    </row>
    <row r="59" spans="1:5" x14ac:dyDescent="0.3">
      <c r="A59" t="s">
        <v>884</v>
      </c>
      <c r="B59" t="s">
        <v>905</v>
      </c>
      <c r="C59">
        <v>45.775399999999998</v>
      </c>
      <c r="D59">
        <v>-74.004900000000006</v>
      </c>
      <c r="E59" t="s">
        <v>970</v>
      </c>
    </row>
    <row r="60" spans="1:5" x14ac:dyDescent="0.3">
      <c r="A60" t="s">
        <v>884</v>
      </c>
      <c r="B60" t="s">
        <v>914</v>
      </c>
      <c r="C60">
        <v>46.014000000000003</v>
      </c>
      <c r="D60">
        <v>-73.4178</v>
      </c>
      <c r="E60" t="s">
        <v>970</v>
      </c>
    </row>
    <row r="61" spans="1:5" x14ac:dyDescent="0.3">
      <c r="A61" t="s">
        <v>884</v>
      </c>
      <c r="B61" t="s">
        <v>925</v>
      </c>
      <c r="C61">
        <v>45.476500000000001</v>
      </c>
      <c r="D61">
        <v>-75.701300000000003</v>
      </c>
      <c r="E61" t="s">
        <v>970</v>
      </c>
    </row>
    <row r="62" spans="1:5" x14ac:dyDescent="0.3">
      <c r="A62" t="s">
        <v>884</v>
      </c>
      <c r="B62" t="s">
        <v>930</v>
      </c>
      <c r="C62">
        <v>48.439</v>
      </c>
      <c r="D62">
        <v>-68.534999999999997</v>
      </c>
      <c r="E62" t="s">
        <v>970</v>
      </c>
    </row>
    <row r="63" spans="1:5" x14ac:dyDescent="0.3">
      <c r="A63" t="s">
        <v>884</v>
      </c>
      <c r="B63" t="s">
        <v>933</v>
      </c>
      <c r="C63">
        <v>46.354700000000001</v>
      </c>
      <c r="D63">
        <v>-72.583799999999997</v>
      </c>
      <c r="E63" t="s">
        <v>970</v>
      </c>
    </row>
    <row r="64" spans="1:5" x14ac:dyDescent="0.3">
      <c r="A64" t="s">
        <v>884</v>
      </c>
      <c r="B64" t="s">
        <v>935</v>
      </c>
      <c r="C64">
        <v>46.3626</v>
      </c>
      <c r="D64">
        <v>-72.506699999999995</v>
      </c>
      <c r="E64" t="s">
        <v>970</v>
      </c>
    </row>
    <row r="65" spans="1:5" x14ac:dyDescent="0.3">
      <c r="A65" t="s">
        <v>884</v>
      </c>
      <c r="B65" t="s">
        <v>937</v>
      </c>
      <c r="C65">
        <v>45.403199999999998</v>
      </c>
      <c r="D65">
        <v>-72.734099999999998</v>
      </c>
      <c r="E65" t="s">
        <v>970</v>
      </c>
    </row>
    <row r="66" spans="1:5" x14ac:dyDescent="0.3">
      <c r="A66" t="s">
        <v>884</v>
      </c>
      <c r="B66" t="s">
        <v>942</v>
      </c>
      <c r="C66">
        <v>48.234200000000001</v>
      </c>
      <c r="D66">
        <v>-79.018799999999999</v>
      </c>
      <c r="E66" t="s">
        <v>970</v>
      </c>
    </row>
    <row r="67" spans="1:5" x14ac:dyDescent="0.3">
      <c r="A67" t="s">
        <v>884</v>
      </c>
      <c r="B67" t="s">
        <v>943</v>
      </c>
      <c r="C67">
        <v>45.43</v>
      </c>
      <c r="D67">
        <v>-71.680000000000007</v>
      </c>
      <c r="E67" t="s">
        <v>970</v>
      </c>
    </row>
    <row r="68" spans="1:5" x14ac:dyDescent="0.3">
      <c r="A68" t="s">
        <v>884</v>
      </c>
      <c r="B68" t="s">
        <v>947</v>
      </c>
      <c r="C68">
        <v>46.899700000000003</v>
      </c>
      <c r="D68">
        <v>-71.286500000000004</v>
      </c>
      <c r="E68" t="s">
        <v>970</v>
      </c>
    </row>
    <row r="69" spans="1:5" x14ac:dyDescent="0.3">
      <c r="A69" t="s">
        <v>884</v>
      </c>
      <c r="B69" t="s">
        <v>954</v>
      </c>
      <c r="C69">
        <v>45.630699999999997</v>
      </c>
      <c r="D69">
        <v>-72.956299999999999</v>
      </c>
      <c r="E69" t="s">
        <v>970</v>
      </c>
    </row>
    <row r="70" spans="1:5" x14ac:dyDescent="0.3">
      <c r="A70" t="s">
        <v>884</v>
      </c>
      <c r="B70" t="s">
        <v>955</v>
      </c>
      <c r="C70">
        <v>46.0428</v>
      </c>
      <c r="D70">
        <v>-73.112300000000005</v>
      </c>
      <c r="E70" t="s">
        <v>970</v>
      </c>
    </row>
    <row r="71" spans="1:5" x14ac:dyDescent="0.3">
      <c r="A71" t="s">
        <v>900</v>
      </c>
      <c r="B71" t="s">
        <v>901</v>
      </c>
      <c r="C71" t="s">
        <v>960</v>
      </c>
      <c r="D71">
        <v>-105.53489999999999</v>
      </c>
      <c r="E71" t="s">
        <v>970</v>
      </c>
    </row>
    <row r="72" spans="1:5" x14ac:dyDescent="0.3">
      <c r="A72" t="s">
        <v>900</v>
      </c>
      <c r="B72" t="s">
        <v>918</v>
      </c>
      <c r="C72">
        <v>50.43</v>
      </c>
      <c r="D72">
        <v>-104.67</v>
      </c>
      <c r="E72" t="s">
        <v>970</v>
      </c>
    </row>
    <row r="73" spans="1:5" x14ac:dyDescent="0.3">
      <c r="A73" t="s">
        <v>900</v>
      </c>
      <c r="B73" t="s">
        <v>919</v>
      </c>
      <c r="C73">
        <v>52.17</v>
      </c>
      <c r="D73">
        <v>-106.68</v>
      </c>
      <c r="E73" t="s">
        <v>970</v>
      </c>
    </row>
    <row r="74" spans="1:5" x14ac:dyDescent="0.3">
      <c r="A74" t="s">
        <v>900</v>
      </c>
      <c r="B74" t="s">
        <v>941</v>
      </c>
      <c r="C74">
        <v>53.203299999999999</v>
      </c>
      <c r="D74">
        <v>-105.7531</v>
      </c>
      <c r="E74" t="s">
        <v>970</v>
      </c>
    </row>
    <row r="75" spans="1:5" x14ac:dyDescent="0.3">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4.4" x14ac:dyDescent="0.3"/>
  <cols>
    <col min="1" max="1" width="23" style="90" bestFit="1" customWidth="1"/>
    <col min="2" max="2" width="21.6640625" style="90" bestFit="1" customWidth="1"/>
    <col min="3" max="3" width="36.5546875" bestFit="1" customWidth="1"/>
    <col min="4" max="4" width="34.33203125" style="204" bestFit="1" customWidth="1"/>
    <col min="5" max="5" width="17" customWidth="1"/>
    <col min="6" max="6" width="11" bestFit="1" customWidth="1"/>
    <col min="7" max="7" width="9.6640625" customWidth="1"/>
  </cols>
  <sheetData>
    <row r="1" spans="1:8" x14ac:dyDescent="0.3">
      <c r="A1" s="150" t="s">
        <v>961</v>
      </c>
      <c r="B1" s="150" t="s">
        <v>962</v>
      </c>
      <c r="C1" s="150" t="s">
        <v>965</v>
      </c>
      <c r="D1" s="200" t="s">
        <v>966</v>
      </c>
      <c r="E1" s="150" t="s">
        <v>967</v>
      </c>
      <c r="F1" s="150" t="s">
        <v>968</v>
      </c>
      <c r="G1" s="150" t="s">
        <v>969</v>
      </c>
      <c r="H1" s="150" t="s">
        <v>341</v>
      </c>
    </row>
    <row r="2" spans="1:8" x14ac:dyDescent="0.3">
      <c r="A2" s="191" t="s">
        <v>837</v>
      </c>
      <c r="B2" s="191" t="s">
        <v>838</v>
      </c>
      <c r="C2" s="192" t="s">
        <v>1301</v>
      </c>
      <c r="D2" s="201" t="s">
        <v>1599</v>
      </c>
      <c r="E2" s="192">
        <v>0</v>
      </c>
      <c r="F2" s="192">
        <v>101.6</v>
      </c>
      <c r="G2" s="192">
        <v>101.6</v>
      </c>
    </row>
    <row r="3" spans="1:8" x14ac:dyDescent="0.3">
      <c r="A3" s="191" t="s">
        <v>837</v>
      </c>
      <c r="B3" s="191" t="s">
        <v>838</v>
      </c>
      <c r="C3" s="192" t="s">
        <v>839</v>
      </c>
      <c r="D3" s="201" t="s">
        <v>840</v>
      </c>
      <c r="E3" s="192">
        <v>119.8</v>
      </c>
      <c r="F3" s="192">
        <v>99.9</v>
      </c>
      <c r="G3" s="192">
        <v>105.7</v>
      </c>
    </row>
    <row r="4" spans="1:8" x14ac:dyDescent="0.3">
      <c r="A4" s="191" t="s">
        <v>837</v>
      </c>
      <c r="B4" s="191" t="s">
        <v>838</v>
      </c>
      <c r="C4" s="192" t="s">
        <v>841</v>
      </c>
      <c r="D4" s="201" t="s">
        <v>842</v>
      </c>
      <c r="E4" s="192">
        <v>125</v>
      </c>
      <c r="F4" s="192">
        <v>86.9</v>
      </c>
      <c r="G4" s="192">
        <v>92</v>
      </c>
    </row>
    <row r="5" spans="1:8" x14ac:dyDescent="0.3">
      <c r="A5" s="191" t="s">
        <v>837</v>
      </c>
      <c r="B5" s="191" t="s">
        <v>838</v>
      </c>
      <c r="C5" s="192" t="s">
        <v>843</v>
      </c>
      <c r="D5" s="201" t="s">
        <v>844</v>
      </c>
      <c r="E5" s="192">
        <v>175.6</v>
      </c>
      <c r="F5" s="192">
        <v>82.8</v>
      </c>
      <c r="G5" s="192">
        <v>127.5</v>
      </c>
    </row>
    <row r="6" spans="1:8" x14ac:dyDescent="0.3">
      <c r="A6" s="191" t="s">
        <v>837</v>
      </c>
      <c r="B6" s="191" t="s">
        <v>838</v>
      </c>
      <c r="C6" s="192" t="s">
        <v>845</v>
      </c>
      <c r="D6" s="201" t="s">
        <v>846</v>
      </c>
      <c r="E6" s="192">
        <v>163.9</v>
      </c>
      <c r="F6" s="192">
        <v>88</v>
      </c>
      <c r="G6" s="192">
        <v>134</v>
      </c>
    </row>
    <row r="7" spans="1:8" x14ac:dyDescent="0.3">
      <c r="A7" s="191" t="s">
        <v>837</v>
      </c>
      <c r="B7" s="191" t="s">
        <v>838</v>
      </c>
      <c r="C7" s="192" t="s">
        <v>847</v>
      </c>
      <c r="D7" s="201" t="s">
        <v>848</v>
      </c>
      <c r="E7" s="192">
        <v>150.4</v>
      </c>
      <c r="F7" s="192">
        <v>86.8</v>
      </c>
      <c r="G7" s="192">
        <v>119.5</v>
      </c>
    </row>
    <row r="8" spans="1:8" x14ac:dyDescent="0.3">
      <c r="A8" s="191" t="s">
        <v>837</v>
      </c>
      <c r="B8" s="191" t="s">
        <v>838</v>
      </c>
      <c r="C8" s="192" t="s">
        <v>849</v>
      </c>
      <c r="D8" s="201" t="s">
        <v>850</v>
      </c>
      <c r="E8" s="192">
        <v>173.7</v>
      </c>
      <c r="F8" s="192">
        <v>97.6</v>
      </c>
      <c r="G8" s="192">
        <v>126.8</v>
      </c>
    </row>
    <row r="9" spans="1:8" x14ac:dyDescent="0.3">
      <c r="A9" s="191" t="s">
        <v>837</v>
      </c>
      <c r="B9" s="191" t="s">
        <v>838</v>
      </c>
      <c r="C9" s="192" t="s">
        <v>851</v>
      </c>
      <c r="D9" s="201" t="s">
        <v>852</v>
      </c>
      <c r="E9" s="192">
        <v>109.3</v>
      </c>
      <c r="F9" s="192">
        <v>89.7</v>
      </c>
      <c r="G9" s="192">
        <v>103</v>
      </c>
    </row>
    <row r="10" spans="1:8" x14ac:dyDescent="0.3">
      <c r="A10" s="191" t="s">
        <v>837</v>
      </c>
      <c r="B10" s="191" t="s">
        <v>838</v>
      </c>
      <c r="C10" s="192" t="s">
        <v>853</v>
      </c>
      <c r="D10" s="201" t="s">
        <v>854</v>
      </c>
      <c r="E10" s="192">
        <v>118.8</v>
      </c>
      <c r="F10" s="192">
        <v>85.2</v>
      </c>
      <c r="G10" s="192">
        <v>100.1</v>
      </c>
    </row>
    <row r="11" spans="1:8" x14ac:dyDescent="0.3">
      <c r="A11" s="191" t="s">
        <v>837</v>
      </c>
      <c r="B11" s="191" t="s">
        <v>838</v>
      </c>
      <c r="C11" s="192" t="s">
        <v>855</v>
      </c>
      <c r="D11" s="201" t="s">
        <v>856</v>
      </c>
      <c r="E11" s="192">
        <v>113.6</v>
      </c>
      <c r="F11" s="192">
        <v>87.2</v>
      </c>
      <c r="G11" s="192">
        <v>102.6</v>
      </c>
    </row>
    <row r="12" spans="1:8" x14ac:dyDescent="0.3">
      <c r="A12" s="191" t="s">
        <v>837</v>
      </c>
      <c r="B12" s="191" t="s">
        <v>838</v>
      </c>
      <c r="C12" s="192" t="s">
        <v>857</v>
      </c>
      <c r="D12" s="201" t="s">
        <v>858</v>
      </c>
      <c r="E12" s="192">
        <v>94.7</v>
      </c>
      <c r="F12" s="192">
        <v>84</v>
      </c>
      <c r="G12" s="192">
        <v>92.2</v>
      </c>
    </row>
    <row r="13" spans="1:8" x14ac:dyDescent="0.3">
      <c r="A13" s="191" t="s">
        <v>837</v>
      </c>
      <c r="B13" s="191" t="s">
        <v>838</v>
      </c>
      <c r="C13" s="192" t="s">
        <v>859</v>
      </c>
      <c r="D13" s="201" t="s">
        <v>860</v>
      </c>
      <c r="E13" s="192">
        <v>148.80000000000001</v>
      </c>
      <c r="F13" s="192">
        <v>84.7</v>
      </c>
      <c r="G13" s="192">
        <v>106</v>
      </c>
    </row>
    <row r="14" spans="1:8" x14ac:dyDescent="0.3">
      <c r="A14" s="191" t="s">
        <v>837</v>
      </c>
      <c r="B14" s="191" t="s">
        <v>838</v>
      </c>
      <c r="C14" s="192" t="s">
        <v>861</v>
      </c>
      <c r="D14" s="201" t="s">
        <v>862</v>
      </c>
      <c r="E14" s="192">
        <v>92.2</v>
      </c>
      <c r="F14" s="192">
        <v>84.7</v>
      </c>
      <c r="G14" s="192">
        <v>87.3</v>
      </c>
    </row>
    <row r="15" spans="1:8" x14ac:dyDescent="0.3">
      <c r="A15" s="191" t="s">
        <v>837</v>
      </c>
      <c r="B15" s="191" t="s">
        <v>838</v>
      </c>
      <c r="C15" s="192" t="s">
        <v>863</v>
      </c>
      <c r="D15" s="201" t="s">
        <v>864</v>
      </c>
      <c r="E15" s="192">
        <v>126.6</v>
      </c>
      <c r="F15" s="192">
        <v>95</v>
      </c>
      <c r="G15" s="192">
        <v>117.5</v>
      </c>
    </row>
    <row r="16" spans="1:8" x14ac:dyDescent="0.3">
      <c r="A16" s="191" t="s">
        <v>837</v>
      </c>
      <c r="B16" s="191" t="s">
        <v>838</v>
      </c>
      <c r="C16" s="192" t="s">
        <v>865</v>
      </c>
      <c r="D16" s="201" t="s">
        <v>866</v>
      </c>
      <c r="E16" s="192">
        <v>107.4</v>
      </c>
      <c r="F16" s="192">
        <v>89.9</v>
      </c>
      <c r="G16" s="192">
        <v>97.2</v>
      </c>
    </row>
    <row r="17" spans="1:7" x14ac:dyDescent="0.3">
      <c r="A17" s="191" t="s">
        <v>837</v>
      </c>
      <c r="B17" s="191" t="s">
        <v>838</v>
      </c>
      <c r="C17" s="192" t="s">
        <v>867</v>
      </c>
      <c r="D17" s="201" t="s">
        <v>868</v>
      </c>
      <c r="E17" s="192">
        <v>114.4</v>
      </c>
      <c r="F17" s="192">
        <v>88.9</v>
      </c>
      <c r="G17" s="192">
        <v>100.3</v>
      </c>
    </row>
    <row r="18" spans="1:7" x14ac:dyDescent="0.3">
      <c r="A18" s="191" t="s">
        <v>837</v>
      </c>
      <c r="B18" s="191" t="s">
        <v>838</v>
      </c>
      <c r="C18" s="192" t="s">
        <v>869</v>
      </c>
      <c r="D18" s="201" t="s">
        <v>1600</v>
      </c>
      <c r="E18" s="192">
        <v>139.19999999999999</v>
      </c>
      <c r="F18" s="192">
        <v>72.3</v>
      </c>
      <c r="G18" s="192">
        <v>124.7</v>
      </c>
    </row>
    <row r="19" spans="1:7" x14ac:dyDescent="0.3">
      <c r="A19" s="191" t="s">
        <v>837</v>
      </c>
      <c r="B19" s="191" t="s">
        <v>838</v>
      </c>
      <c r="C19" s="192" t="s">
        <v>871</v>
      </c>
      <c r="D19" s="201" t="s">
        <v>872</v>
      </c>
      <c r="E19" s="192">
        <v>103.5</v>
      </c>
      <c r="F19" s="192">
        <v>98.2</v>
      </c>
      <c r="G19" s="192">
        <v>101.3</v>
      </c>
    </row>
    <row r="20" spans="1:7" x14ac:dyDescent="0.3">
      <c r="A20" s="191" t="s">
        <v>837</v>
      </c>
      <c r="B20" s="191" t="s">
        <v>838</v>
      </c>
      <c r="C20" s="192" t="s">
        <v>873</v>
      </c>
      <c r="D20" s="201" t="s">
        <v>874</v>
      </c>
      <c r="E20" s="192">
        <v>114.6</v>
      </c>
      <c r="F20" s="192">
        <v>89.8</v>
      </c>
      <c r="G20" s="192">
        <v>102</v>
      </c>
    </row>
    <row r="21" spans="1:7" x14ac:dyDescent="0.3">
      <c r="A21" s="191" t="s">
        <v>837</v>
      </c>
      <c r="B21" s="191" t="s">
        <v>838</v>
      </c>
      <c r="C21" s="192" t="s">
        <v>875</v>
      </c>
      <c r="D21" s="201" t="s">
        <v>876</v>
      </c>
      <c r="E21" s="192">
        <v>118.3</v>
      </c>
      <c r="F21" s="192">
        <v>91.7</v>
      </c>
      <c r="G21" s="192">
        <v>106.6</v>
      </c>
    </row>
    <row r="22" spans="1:7" x14ac:dyDescent="0.3">
      <c r="A22" s="191" t="s">
        <v>877</v>
      </c>
      <c r="B22" s="191" t="s">
        <v>878</v>
      </c>
      <c r="C22" s="192" t="s">
        <v>1301</v>
      </c>
      <c r="D22" s="202" t="s">
        <v>1599</v>
      </c>
      <c r="E22" s="192">
        <v>0</v>
      </c>
      <c r="F22" s="192">
        <v>104.1</v>
      </c>
      <c r="G22" s="192">
        <v>104.1</v>
      </c>
    </row>
    <row r="23" spans="1:7" x14ac:dyDescent="0.3">
      <c r="A23" s="191" t="s">
        <v>877</v>
      </c>
      <c r="B23" s="191" t="s">
        <v>878</v>
      </c>
      <c r="C23" s="192" t="s">
        <v>839</v>
      </c>
      <c r="D23" s="201" t="s">
        <v>840</v>
      </c>
      <c r="E23" s="192">
        <v>138.30000000000001</v>
      </c>
      <c r="F23" s="192">
        <v>98.8</v>
      </c>
      <c r="G23" s="192">
        <v>110.4</v>
      </c>
    </row>
    <row r="24" spans="1:7" x14ac:dyDescent="0.3">
      <c r="A24" s="191" t="s">
        <v>877</v>
      </c>
      <c r="B24" s="191" t="s">
        <v>878</v>
      </c>
      <c r="C24" s="192" t="s">
        <v>841</v>
      </c>
      <c r="D24" s="201">
        <v>3010</v>
      </c>
      <c r="E24" s="192">
        <v>146.69999999999999</v>
      </c>
      <c r="F24" s="192">
        <v>70.400000000000006</v>
      </c>
      <c r="G24" s="192">
        <v>80.7</v>
      </c>
    </row>
    <row r="25" spans="1:7" x14ac:dyDescent="0.3">
      <c r="A25" s="191" t="s">
        <v>877</v>
      </c>
      <c r="B25" s="191" t="s">
        <v>878</v>
      </c>
      <c r="C25" s="192" t="s">
        <v>843</v>
      </c>
      <c r="D25" s="201" t="s">
        <v>844</v>
      </c>
      <c r="E25" s="192">
        <v>173.8</v>
      </c>
      <c r="F25" s="192">
        <v>52.6</v>
      </c>
      <c r="G25" s="192">
        <v>111</v>
      </c>
    </row>
    <row r="26" spans="1:7" x14ac:dyDescent="0.3">
      <c r="A26" s="191" t="s">
        <v>877</v>
      </c>
      <c r="B26" s="191" t="s">
        <v>878</v>
      </c>
      <c r="C26" s="192" t="s">
        <v>845</v>
      </c>
      <c r="D26" s="201" t="s">
        <v>846</v>
      </c>
      <c r="E26" s="192">
        <v>131.5</v>
      </c>
      <c r="F26" s="192">
        <v>75.8</v>
      </c>
      <c r="G26" s="192">
        <v>109.5</v>
      </c>
    </row>
    <row r="27" spans="1:7" x14ac:dyDescent="0.3">
      <c r="A27" s="191" t="s">
        <v>877</v>
      </c>
      <c r="B27" s="191" t="s">
        <v>878</v>
      </c>
      <c r="C27" s="192" t="s">
        <v>847</v>
      </c>
      <c r="D27" s="201" t="s">
        <v>848</v>
      </c>
      <c r="E27" s="192">
        <v>144.30000000000001</v>
      </c>
      <c r="F27" s="192">
        <v>69.7</v>
      </c>
      <c r="G27" s="192">
        <v>108</v>
      </c>
    </row>
    <row r="28" spans="1:7" x14ac:dyDescent="0.3">
      <c r="A28" s="191" t="s">
        <v>877</v>
      </c>
      <c r="B28" s="191" t="s">
        <v>878</v>
      </c>
      <c r="C28" s="192" t="s">
        <v>849</v>
      </c>
      <c r="D28" s="201" t="s">
        <v>850</v>
      </c>
      <c r="E28" s="192">
        <v>242.4</v>
      </c>
      <c r="F28" s="192">
        <v>67.3</v>
      </c>
      <c r="G28" s="192">
        <v>134.5</v>
      </c>
    </row>
    <row r="29" spans="1:7" x14ac:dyDescent="0.3">
      <c r="A29" s="191" t="s">
        <v>877</v>
      </c>
      <c r="B29" s="191" t="s">
        <v>878</v>
      </c>
      <c r="C29" s="192" t="s">
        <v>851</v>
      </c>
      <c r="D29" s="201" t="s">
        <v>852</v>
      </c>
      <c r="E29" s="192">
        <v>125.4</v>
      </c>
      <c r="F29" s="192">
        <v>76.7</v>
      </c>
      <c r="G29" s="192">
        <v>109.9</v>
      </c>
    </row>
    <row r="30" spans="1:7" x14ac:dyDescent="0.3">
      <c r="A30" s="191" t="s">
        <v>877</v>
      </c>
      <c r="B30" s="191" t="s">
        <v>878</v>
      </c>
      <c r="C30" s="192" t="s">
        <v>853</v>
      </c>
      <c r="D30" s="201" t="s">
        <v>854</v>
      </c>
      <c r="E30" s="192">
        <v>151</v>
      </c>
      <c r="F30" s="192">
        <v>71</v>
      </c>
      <c r="G30" s="192">
        <v>106.5</v>
      </c>
    </row>
    <row r="31" spans="1:7" x14ac:dyDescent="0.3">
      <c r="A31" s="191" t="s">
        <v>877</v>
      </c>
      <c r="B31" s="191" t="s">
        <v>878</v>
      </c>
      <c r="C31" s="192" t="s">
        <v>855</v>
      </c>
      <c r="D31" s="201" t="s">
        <v>856</v>
      </c>
      <c r="E31" s="192">
        <v>141.4</v>
      </c>
      <c r="F31" s="192">
        <v>70.3</v>
      </c>
      <c r="G31" s="192">
        <v>111.7</v>
      </c>
    </row>
    <row r="32" spans="1:7" x14ac:dyDescent="0.3">
      <c r="A32" s="191" t="s">
        <v>877</v>
      </c>
      <c r="B32" s="191" t="s">
        <v>878</v>
      </c>
      <c r="C32" s="192" t="s">
        <v>857</v>
      </c>
      <c r="D32" s="201" t="s">
        <v>858</v>
      </c>
      <c r="E32" s="192">
        <v>105.5</v>
      </c>
      <c r="F32" s="192">
        <v>62.9</v>
      </c>
      <c r="G32" s="192">
        <v>95.6</v>
      </c>
    </row>
    <row r="33" spans="1:7" x14ac:dyDescent="0.3">
      <c r="A33" s="191" t="s">
        <v>877</v>
      </c>
      <c r="B33" s="191" t="s">
        <v>878</v>
      </c>
      <c r="C33" s="192" t="s">
        <v>859</v>
      </c>
      <c r="D33" s="201" t="s">
        <v>860</v>
      </c>
      <c r="E33" s="192">
        <v>111</v>
      </c>
      <c r="F33" s="192">
        <v>69.7</v>
      </c>
      <c r="G33" s="192">
        <v>83.4</v>
      </c>
    </row>
    <row r="34" spans="1:7" x14ac:dyDescent="0.3">
      <c r="A34" s="191" t="s">
        <v>877</v>
      </c>
      <c r="B34" s="191" t="s">
        <v>878</v>
      </c>
      <c r="C34" s="192" t="s">
        <v>861</v>
      </c>
      <c r="D34" s="201" t="s">
        <v>862</v>
      </c>
      <c r="E34" s="192">
        <v>108.2</v>
      </c>
      <c r="F34" s="192">
        <v>69.7</v>
      </c>
      <c r="G34" s="192">
        <v>82.7</v>
      </c>
    </row>
    <row r="35" spans="1:7" x14ac:dyDescent="0.3">
      <c r="A35" s="191" t="s">
        <v>877</v>
      </c>
      <c r="B35" s="191" t="s">
        <v>878</v>
      </c>
      <c r="C35" s="192" t="s">
        <v>863</v>
      </c>
      <c r="D35" s="201" t="s">
        <v>864</v>
      </c>
      <c r="E35" s="192">
        <v>143.1</v>
      </c>
      <c r="F35" s="192">
        <v>67.5</v>
      </c>
      <c r="G35" s="192">
        <v>121.4</v>
      </c>
    </row>
    <row r="36" spans="1:7" x14ac:dyDescent="0.3">
      <c r="A36" s="191" t="s">
        <v>877</v>
      </c>
      <c r="B36" s="191" t="s">
        <v>878</v>
      </c>
      <c r="C36" s="192" t="s">
        <v>865</v>
      </c>
      <c r="D36" s="201" t="s">
        <v>866</v>
      </c>
      <c r="E36" s="192">
        <v>120.2</v>
      </c>
      <c r="F36" s="192">
        <v>58.7</v>
      </c>
      <c r="G36" s="192">
        <v>84.4</v>
      </c>
    </row>
    <row r="37" spans="1:7" x14ac:dyDescent="0.3">
      <c r="A37" s="191" t="s">
        <v>877</v>
      </c>
      <c r="B37" s="191" t="s">
        <v>878</v>
      </c>
      <c r="C37" s="192" t="s">
        <v>867</v>
      </c>
      <c r="D37" s="201" t="s">
        <v>868</v>
      </c>
      <c r="E37" s="192">
        <v>123.4</v>
      </c>
      <c r="F37" s="192">
        <v>69</v>
      </c>
      <c r="G37" s="192">
        <v>93.3</v>
      </c>
    </row>
    <row r="38" spans="1:7" x14ac:dyDescent="0.3">
      <c r="A38" s="191" t="s">
        <v>877</v>
      </c>
      <c r="B38" s="191" t="s">
        <v>878</v>
      </c>
      <c r="C38" s="192" t="s">
        <v>869</v>
      </c>
      <c r="D38" s="201" t="s">
        <v>870</v>
      </c>
      <c r="E38" s="192">
        <v>131.1</v>
      </c>
      <c r="F38" s="192">
        <v>65.599999999999994</v>
      </c>
      <c r="G38" s="192">
        <v>116.9</v>
      </c>
    </row>
    <row r="39" spans="1:7" x14ac:dyDescent="0.3">
      <c r="A39" s="191" t="s">
        <v>877</v>
      </c>
      <c r="B39" s="191" t="s">
        <v>878</v>
      </c>
      <c r="C39" s="192" t="s">
        <v>871</v>
      </c>
      <c r="D39" s="201" t="s">
        <v>872</v>
      </c>
      <c r="E39" s="192">
        <v>103.7</v>
      </c>
      <c r="F39" s="192">
        <v>83.2</v>
      </c>
      <c r="G39" s="192">
        <v>95</v>
      </c>
    </row>
    <row r="40" spans="1:7" x14ac:dyDescent="0.3">
      <c r="A40" s="191" t="s">
        <v>877</v>
      </c>
      <c r="B40" s="191" t="s">
        <v>878</v>
      </c>
      <c r="C40" s="192" t="s">
        <v>873</v>
      </c>
      <c r="D40" s="201" t="s">
        <v>874</v>
      </c>
      <c r="E40" s="192">
        <v>116.2</v>
      </c>
      <c r="F40" s="192">
        <v>69.099999999999994</v>
      </c>
      <c r="G40" s="192">
        <v>92.4</v>
      </c>
    </row>
    <row r="41" spans="1:7" x14ac:dyDescent="0.3">
      <c r="A41" s="191" t="s">
        <v>877</v>
      </c>
      <c r="B41" s="191" t="s">
        <v>878</v>
      </c>
      <c r="C41" s="192" t="s">
        <v>875</v>
      </c>
      <c r="D41" s="201" t="s">
        <v>876</v>
      </c>
      <c r="E41" s="192">
        <v>126.4</v>
      </c>
      <c r="F41" s="192">
        <v>74.8</v>
      </c>
      <c r="G41" s="192">
        <v>103.7</v>
      </c>
    </row>
    <row r="42" spans="1:7" x14ac:dyDescent="0.3">
      <c r="A42" s="191" t="s">
        <v>879</v>
      </c>
      <c r="B42" s="191" t="s">
        <v>880</v>
      </c>
      <c r="C42" s="192" t="s">
        <v>1301</v>
      </c>
      <c r="D42" s="202" t="s">
        <v>1599</v>
      </c>
      <c r="E42" s="192">
        <v>0</v>
      </c>
      <c r="F42" s="192">
        <v>101.3</v>
      </c>
      <c r="G42" s="192">
        <v>101.3</v>
      </c>
    </row>
    <row r="43" spans="1:7" x14ac:dyDescent="0.3">
      <c r="A43" s="191" t="s">
        <v>879</v>
      </c>
      <c r="B43" s="191" t="s">
        <v>880</v>
      </c>
      <c r="C43" s="192" t="s">
        <v>839</v>
      </c>
      <c r="D43" s="201" t="s">
        <v>1601</v>
      </c>
      <c r="E43" s="192">
        <v>125.1</v>
      </c>
      <c r="F43" s="192">
        <v>95</v>
      </c>
      <c r="G43" s="192">
        <v>103.8</v>
      </c>
    </row>
    <row r="44" spans="1:7" x14ac:dyDescent="0.3">
      <c r="A44" s="191" t="s">
        <v>879</v>
      </c>
      <c r="B44" s="191" t="s">
        <v>880</v>
      </c>
      <c r="C44" s="192" t="s">
        <v>841</v>
      </c>
      <c r="D44" s="201" t="s">
        <v>842</v>
      </c>
      <c r="E44" s="192">
        <v>115.8</v>
      </c>
      <c r="F44" s="192">
        <v>56.5</v>
      </c>
      <c r="G44" s="192">
        <v>64.5</v>
      </c>
    </row>
    <row r="45" spans="1:7" x14ac:dyDescent="0.3">
      <c r="A45" s="191" t="s">
        <v>879</v>
      </c>
      <c r="B45" s="191" t="s">
        <v>880</v>
      </c>
      <c r="C45" s="192" t="s">
        <v>843</v>
      </c>
      <c r="D45" s="201" t="s">
        <v>844</v>
      </c>
      <c r="E45" s="192">
        <v>143</v>
      </c>
      <c r="F45" s="192">
        <v>46.2</v>
      </c>
      <c r="G45" s="192">
        <v>92.9</v>
      </c>
    </row>
    <row r="46" spans="1:7" x14ac:dyDescent="0.3">
      <c r="A46" s="191" t="s">
        <v>879</v>
      </c>
      <c r="B46" s="191" t="s">
        <v>880</v>
      </c>
      <c r="C46" s="192" t="s">
        <v>845</v>
      </c>
      <c r="D46" s="201" t="s">
        <v>846</v>
      </c>
      <c r="E46" s="192">
        <v>157.69999999999999</v>
      </c>
      <c r="F46" s="192">
        <v>60.3</v>
      </c>
      <c r="G46" s="192">
        <v>119.3</v>
      </c>
    </row>
    <row r="47" spans="1:7" x14ac:dyDescent="0.3">
      <c r="A47" s="191" t="s">
        <v>879</v>
      </c>
      <c r="B47" s="191" t="s">
        <v>880</v>
      </c>
      <c r="C47" s="192" t="s">
        <v>847</v>
      </c>
      <c r="D47" s="201" t="s">
        <v>848</v>
      </c>
      <c r="E47" s="192">
        <v>143.30000000000001</v>
      </c>
      <c r="F47" s="192">
        <v>56.8</v>
      </c>
      <c r="G47" s="192">
        <v>101.3</v>
      </c>
    </row>
    <row r="48" spans="1:7" x14ac:dyDescent="0.3">
      <c r="A48" s="191" t="s">
        <v>879</v>
      </c>
      <c r="B48" s="191" t="s">
        <v>880</v>
      </c>
      <c r="C48" s="192" t="s">
        <v>849</v>
      </c>
      <c r="D48" s="201" t="s">
        <v>850</v>
      </c>
      <c r="E48" s="192">
        <v>179</v>
      </c>
      <c r="F48" s="192">
        <v>62.3</v>
      </c>
      <c r="G48" s="192">
        <v>107.1</v>
      </c>
    </row>
    <row r="49" spans="1:7" x14ac:dyDescent="0.3">
      <c r="A49" s="191" t="s">
        <v>879</v>
      </c>
      <c r="B49" s="191" t="s">
        <v>880</v>
      </c>
      <c r="C49" s="192" t="s">
        <v>851</v>
      </c>
      <c r="D49" s="201" t="s">
        <v>852</v>
      </c>
      <c r="E49" s="192">
        <v>134.30000000000001</v>
      </c>
      <c r="F49" s="192">
        <v>67.8</v>
      </c>
      <c r="G49" s="192">
        <v>113.2</v>
      </c>
    </row>
    <row r="50" spans="1:7" x14ac:dyDescent="0.3">
      <c r="A50" s="191" t="s">
        <v>879</v>
      </c>
      <c r="B50" s="191" t="s">
        <v>880</v>
      </c>
      <c r="C50" s="192" t="s">
        <v>853</v>
      </c>
      <c r="D50" s="201" t="s">
        <v>854</v>
      </c>
      <c r="E50" s="192">
        <v>96</v>
      </c>
      <c r="F50" s="192">
        <v>55.8</v>
      </c>
      <c r="G50" s="192">
        <v>73.599999999999994</v>
      </c>
    </row>
    <row r="51" spans="1:7" x14ac:dyDescent="0.3">
      <c r="A51" s="191" t="s">
        <v>879</v>
      </c>
      <c r="B51" s="191" t="s">
        <v>880</v>
      </c>
      <c r="C51" s="192" t="s">
        <v>855</v>
      </c>
      <c r="D51" s="201" t="s">
        <v>856</v>
      </c>
      <c r="E51" s="192">
        <v>127.9</v>
      </c>
      <c r="F51" s="192">
        <v>59.2</v>
      </c>
      <c r="G51" s="192">
        <v>99.2</v>
      </c>
    </row>
    <row r="52" spans="1:7" x14ac:dyDescent="0.3">
      <c r="A52" s="191" t="s">
        <v>879</v>
      </c>
      <c r="B52" s="191" t="s">
        <v>880</v>
      </c>
      <c r="C52" s="192" t="s">
        <v>857</v>
      </c>
      <c r="D52" s="201" t="s">
        <v>858</v>
      </c>
      <c r="E52" s="192">
        <v>85.7</v>
      </c>
      <c r="F52" s="192">
        <v>48.5</v>
      </c>
      <c r="G52" s="192">
        <v>77</v>
      </c>
    </row>
    <row r="53" spans="1:7" x14ac:dyDescent="0.3">
      <c r="A53" s="191" t="s">
        <v>879</v>
      </c>
      <c r="B53" s="191" t="s">
        <v>880</v>
      </c>
      <c r="C53" s="192" t="s">
        <v>859</v>
      </c>
      <c r="D53" s="201" t="s">
        <v>860</v>
      </c>
      <c r="E53" s="192">
        <v>118.5</v>
      </c>
      <c r="F53" s="192">
        <v>54.4</v>
      </c>
      <c r="G53" s="192">
        <v>75.7</v>
      </c>
    </row>
    <row r="54" spans="1:7" x14ac:dyDescent="0.3">
      <c r="A54" s="191" t="s">
        <v>879</v>
      </c>
      <c r="B54" s="191" t="s">
        <v>880</v>
      </c>
      <c r="C54" s="192" t="s">
        <v>861</v>
      </c>
      <c r="D54" s="201" t="s">
        <v>862</v>
      </c>
      <c r="E54" s="192">
        <v>121.7</v>
      </c>
      <c r="F54" s="192">
        <v>54.4</v>
      </c>
      <c r="G54" s="192">
        <v>77.2</v>
      </c>
    </row>
    <row r="55" spans="1:7" x14ac:dyDescent="0.3">
      <c r="A55" s="191" t="s">
        <v>879</v>
      </c>
      <c r="B55" s="191" t="s">
        <v>880</v>
      </c>
      <c r="C55" s="192" t="s">
        <v>863</v>
      </c>
      <c r="D55" s="201" t="s">
        <v>864</v>
      </c>
      <c r="E55" s="192">
        <v>116.4</v>
      </c>
      <c r="F55" s="192">
        <v>60.5</v>
      </c>
      <c r="G55" s="192">
        <v>100.3</v>
      </c>
    </row>
    <row r="56" spans="1:7" x14ac:dyDescent="0.3">
      <c r="A56" s="191" t="s">
        <v>879</v>
      </c>
      <c r="B56" s="191" t="s">
        <v>880</v>
      </c>
      <c r="C56" s="192" t="s">
        <v>865</v>
      </c>
      <c r="D56" s="201" t="s">
        <v>866</v>
      </c>
      <c r="E56" s="192">
        <v>124.1</v>
      </c>
      <c r="F56" s="192">
        <v>43</v>
      </c>
      <c r="G56" s="192">
        <v>76.900000000000006</v>
      </c>
    </row>
    <row r="57" spans="1:7" x14ac:dyDescent="0.3">
      <c r="A57" s="191" t="s">
        <v>879</v>
      </c>
      <c r="B57" s="191" t="s">
        <v>880</v>
      </c>
      <c r="C57" s="192" t="s">
        <v>867</v>
      </c>
      <c r="D57" s="201" t="s">
        <v>868</v>
      </c>
      <c r="E57" s="192">
        <v>121.5</v>
      </c>
      <c r="F57" s="192">
        <v>56.1</v>
      </c>
      <c r="G57" s="192">
        <v>85.3</v>
      </c>
    </row>
    <row r="58" spans="1:7" x14ac:dyDescent="0.3">
      <c r="A58" s="191" t="s">
        <v>879</v>
      </c>
      <c r="B58" s="191" t="s">
        <v>880</v>
      </c>
      <c r="C58" s="192" t="s">
        <v>869</v>
      </c>
      <c r="D58" s="201" t="s">
        <v>870</v>
      </c>
      <c r="E58" s="192">
        <v>131.1</v>
      </c>
      <c r="F58" s="192">
        <v>62.9</v>
      </c>
      <c r="G58" s="192">
        <v>116.4</v>
      </c>
    </row>
    <row r="59" spans="1:7" x14ac:dyDescent="0.3">
      <c r="A59" s="191" t="s">
        <v>879</v>
      </c>
      <c r="B59" s="191" t="s">
        <v>880</v>
      </c>
      <c r="C59" s="192" t="s">
        <v>871</v>
      </c>
      <c r="D59" s="201" t="s">
        <v>872</v>
      </c>
      <c r="E59" s="192">
        <v>104.1</v>
      </c>
      <c r="F59" s="192">
        <v>63.1</v>
      </c>
      <c r="G59" s="192">
        <v>86.8</v>
      </c>
    </row>
    <row r="60" spans="1:7" x14ac:dyDescent="0.3">
      <c r="A60" s="191" t="s">
        <v>879</v>
      </c>
      <c r="B60" s="191" t="s">
        <v>880</v>
      </c>
      <c r="C60" s="192" t="s">
        <v>873</v>
      </c>
      <c r="D60" s="201" t="s">
        <v>874</v>
      </c>
      <c r="E60" s="192">
        <v>107.8</v>
      </c>
      <c r="F60" s="192">
        <v>51.9</v>
      </c>
      <c r="G60" s="192">
        <v>79.5</v>
      </c>
    </row>
    <row r="61" spans="1:7" x14ac:dyDescent="0.3">
      <c r="A61" s="191" t="s">
        <v>879</v>
      </c>
      <c r="B61" s="191" t="s">
        <v>880</v>
      </c>
      <c r="C61" s="192" t="s">
        <v>875</v>
      </c>
      <c r="D61" s="201" t="s">
        <v>876</v>
      </c>
      <c r="E61" s="192">
        <v>120.4</v>
      </c>
      <c r="F61" s="192">
        <v>61.9</v>
      </c>
      <c r="G61" s="192">
        <v>94.6</v>
      </c>
    </row>
    <row r="62" spans="1:7" x14ac:dyDescent="0.3">
      <c r="A62" s="191" t="s">
        <v>881</v>
      </c>
      <c r="B62" s="191" t="s">
        <v>882</v>
      </c>
      <c r="C62" s="192" t="s">
        <v>1301</v>
      </c>
      <c r="D62" s="202" t="s">
        <v>1599</v>
      </c>
      <c r="E62" s="192">
        <v>0</v>
      </c>
      <c r="F62" s="192">
        <v>106.9</v>
      </c>
      <c r="G62" s="192">
        <v>106.9</v>
      </c>
    </row>
    <row r="63" spans="1:7" x14ac:dyDescent="0.3">
      <c r="A63" s="191" t="s">
        <v>881</v>
      </c>
      <c r="B63" s="191" t="s">
        <v>882</v>
      </c>
      <c r="C63" s="192" t="s">
        <v>839</v>
      </c>
      <c r="D63" s="201" t="s">
        <v>840</v>
      </c>
      <c r="E63" s="192">
        <v>139.30000000000001</v>
      </c>
      <c r="F63" s="192">
        <v>104.8</v>
      </c>
      <c r="G63" s="192">
        <v>114.9</v>
      </c>
    </row>
    <row r="64" spans="1:7" x14ac:dyDescent="0.3">
      <c r="A64" s="191" t="s">
        <v>881</v>
      </c>
      <c r="B64" s="191" t="s">
        <v>882</v>
      </c>
      <c r="C64" s="192" t="s">
        <v>841</v>
      </c>
      <c r="D64" s="201" t="s">
        <v>842</v>
      </c>
      <c r="E64" s="192">
        <v>119.2</v>
      </c>
      <c r="F64" s="192">
        <v>93.3</v>
      </c>
      <c r="G64" s="192">
        <v>96.8</v>
      </c>
    </row>
    <row r="65" spans="1:7" x14ac:dyDescent="0.3">
      <c r="A65" s="191" t="s">
        <v>881</v>
      </c>
      <c r="B65" s="191" t="s">
        <v>882</v>
      </c>
      <c r="C65" s="192" t="s">
        <v>843</v>
      </c>
      <c r="D65" s="201" t="s">
        <v>844</v>
      </c>
      <c r="E65" s="192">
        <v>128.19999999999999</v>
      </c>
      <c r="F65" s="192">
        <v>73.5</v>
      </c>
      <c r="G65" s="192">
        <v>99.9</v>
      </c>
    </row>
    <row r="66" spans="1:7" x14ac:dyDescent="0.3">
      <c r="A66" s="191" t="s">
        <v>881</v>
      </c>
      <c r="B66" s="191" t="s">
        <v>882</v>
      </c>
      <c r="C66" s="192" t="s">
        <v>845</v>
      </c>
      <c r="D66" s="201" t="s">
        <v>846</v>
      </c>
      <c r="E66" s="192">
        <v>183.2</v>
      </c>
      <c r="F66" s="192">
        <v>104.2</v>
      </c>
      <c r="G66" s="192">
        <v>152</v>
      </c>
    </row>
    <row r="67" spans="1:7" x14ac:dyDescent="0.3">
      <c r="A67" s="191" t="s">
        <v>881</v>
      </c>
      <c r="B67" s="191" t="s">
        <v>882</v>
      </c>
      <c r="C67" s="192" t="s">
        <v>847</v>
      </c>
      <c r="D67" s="201" t="s">
        <v>848</v>
      </c>
      <c r="E67" s="192">
        <v>154.4</v>
      </c>
      <c r="F67" s="192">
        <v>93.5</v>
      </c>
      <c r="G67" s="192">
        <v>124.8</v>
      </c>
    </row>
    <row r="68" spans="1:7" x14ac:dyDescent="0.3">
      <c r="A68" s="191" t="s">
        <v>881</v>
      </c>
      <c r="B68" s="191" t="s">
        <v>882</v>
      </c>
      <c r="C68" s="192" t="s">
        <v>849</v>
      </c>
      <c r="D68" s="201" t="s">
        <v>850</v>
      </c>
      <c r="E68" s="192">
        <v>190.2</v>
      </c>
      <c r="F68" s="192">
        <v>87.1</v>
      </c>
      <c r="G68" s="192">
        <v>126.7</v>
      </c>
    </row>
    <row r="69" spans="1:7" x14ac:dyDescent="0.3">
      <c r="A69" s="191" t="s">
        <v>881</v>
      </c>
      <c r="B69" s="191" t="s">
        <v>882</v>
      </c>
      <c r="C69" s="192" t="s">
        <v>851</v>
      </c>
      <c r="D69" s="201" t="s">
        <v>852</v>
      </c>
      <c r="E69" s="192">
        <v>140.5</v>
      </c>
      <c r="F69" s="192">
        <v>89.1</v>
      </c>
      <c r="G69" s="192">
        <v>124.2</v>
      </c>
    </row>
    <row r="70" spans="1:7" x14ac:dyDescent="0.3">
      <c r="A70" s="191" t="s">
        <v>881</v>
      </c>
      <c r="B70" s="191" t="s">
        <v>882</v>
      </c>
      <c r="C70" s="192" t="s">
        <v>853</v>
      </c>
      <c r="D70" s="201" t="s">
        <v>854</v>
      </c>
      <c r="E70" s="192">
        <v>98.3</v>
      </c>
      <c r="F70" s="192">
        <v>94</v>
      </c>
      <c r="G70" s="192">
        <v>95.9</v>
      </c>
    </row>
    <row r="71" spans="1:7" x14ac:dyDescent="0.3">
      <c r="A71" s="191" t="s">
        <v>881</v>
      </c>
      <c r="B71" s="191" t="s">
        <v>882</v>
      </c>
      <c r="C71" s="192" t="s">
        <v>855</v>
      </c>
      <c r="D71" s="201" t="s">
        <v>856</v>
      </c>
      <c r="E71" s="192">
        <v>125.4</v>
      </c>
      <c r="F71" s="192">
        <v>90.9</v>
      </c>
      <c r="G71" s="192">
        <v>111</v>
      </c>
    </row>
    <row r="72" spans="1:7" x14ac:dyDescent="0.3">
      <c r="A72" s="191" t="s">
        <v>881</v>
      </c>
      <c r="B72" s="191" t="s">
        <v>882</v>
      </c>
      <c r="C72" s="192" t="s">
        <v>857</v>
      </c>
      <c r="D72" s="201" t="s">
        <v>858</v>
      </c>
      <c r="E72" s="192">
        <v>85.5</v>
      </c>
      <c r="F72" s="192">
        <v>84.1</v>
      </c>
      <c r="G72" s="192">
        <v>85.2</v>
      </c>
    </row>
    <row r="73" spans="1:7" x14ac:dyDescent="0.3">
      <c r="A73" s="191" t="s">
        <v>881</v>
      </c>
      <c r="B73" s="191" t="s">
        <v>882</v>
      </c>
      <c r="C73" s="192" t="s">
        <v>859</v>
      </c>
      <c r="D73" s="201" t="s">
        <v>860</v>
      </c>
      <c r="E73" s="192">
        <v>116.1</v>
      </c>
      <c r="F73" s="192">
        <v>93.3</v>
      </c>
      <c r="G73" s="192">
        <v>100.8</v>
      </c>
    </row>
    <row r="74" spans="1:7" x14ac:dyDescent="0.3">
      <c r="A74" s="191" t="s">
        <v>881</v>
      </c>
      <c r="B74" s="191" t="s">
        <v>882</v>
      </c>
      <c r="C74" s="192" t="s">
        <v>861</v>
      </c>
      <c r="D74" s="201" t="s">
        <v>862</v>
      </c>
      <c r="E74" s="192">
        <v>134.6</v>
      </c>
      <c r="F74" s="192">
        <v>93.3</v>
      </c>
      <c r="G74" s="192">
        <v>107.2</v>
      </c>
    </row>
    <row r="75" spans="1:7" x14ac:dyDescent="0.3">
      <c r="A75" s="191" t="s">
        <v>881</v>
      </c>
      <c r="B75" s="191" t="s">
        <v>882</v>
      </c>
      <c r="C75" s="192" t="s">
        <v>863</v>
      </c>
      <c r="D75" s="201" t="s">
        <v>864</v>
      </c>
      <c r="E75" s="192">
        <v>125.6</v>
      </c>
      <c r="F75" s="192">
        <v>91.2</v>
      </c>
      <c r="G75" s="192">
        <v>115.7</v>
      </c>
    </row>
    <row r="76" spans="1:7" x14ac:dyDescent="0.3">
      <c r="A76" s="191" t="s">
        <v>881</v>
      </c>
      <c r="B76" s="191" t="s">
        <v>882</v>
      </c>
      <c r="C76" s="192" t="s">
        <v>865</v>
      </c>
      <c r="D76" s="201" t="s">
        <v>866</v>
      </c>
      <c r="E76" s="192">
        <v>116.7</v>
      </c>
      <c r="F76" s="192">
        <v>112.4</v>
      </c>
      <c r="G76" s="192">
        <v>114.2</v>
      </c>
    </row>
    <row r="77" spans="1:7" x14ac:dyDescent="0.3">
      <c r="A77" s="191" t="s">
        <v>881</v>
      </c>
      <c r="B77" s="191" t="s">
        <v>882</v>
      </c>
      <c r="C77" s="192" t="s">
        <v>867</v>
      </c>
      <c r="D77" s="201" t="s">
        <v>868</v>
      </c>
      <c r="E77" s="192">
        <v>125.5</v>
      </c>
      <c r="F77" s="192">
        <v>95.3</v>
      </c>
      <c r="G77" s="192">
        <v>108.8</v>
      </c>
    </row>
    <row r="78" spans="1:7" x14ac:dyDescent="0.3">
      <c r="A78" s="191" t="s">
        <v>881</v>
      </c>
      <c r="B78" s="191" t="s">
        <v>882</v>
      </c>
      <c r="C78" s="192" t="s">
        <v>869</v>
      </c>
      <c r="D78" s="201" t="s">
        <v>870</v>
      </c>
      <c r="E78" s="192">
        <v>131.1</v>
      </c>
      <c r="F78" s="192">
        <v>94.9</v>
      </c>
      <c r="G78" s="192">
        <v>123.3</v>
      </c>
    </row>
    <row r="79" spans="1:7" x14ac:dyDescent="0.3">
      <c r="A79" s="191" t="s">
        <v>881</v>
      </c>
      <c r="B79" s="191" t="s">
        <v>882</v>
      </c>
      <c r="C79" s="192" t="s">
        <v>871</v>
      </c>
      <c r="D79" s="201" t="s">
        <v>872</v>
      </c>
      <c r="E79" s="192">
        <v>105.4</v>
      </c>
      <c r="F79" s="192">
        <v>90</v>
      </c>
      <c r="G79" s="192">
        <v>98.9</v>
      </c>
    </row>
    <row r="80" spans="1:7" x14ac:dyDescent="0.3">
      <c r="A80" s="191" t="s">
        <v>881</v>
      </c>
      <c r="B80" s="191" t="s">
        <v>882</v>
      </c>
      <c r="C80" s="192" t="s">
        <v>873</v>
      </c>
      <c r="D80" s="201" t="s">
        <v>874</v>
      </c>
      <c r="E80" s="192">
        <v>106.4</v>
      </c>
      <c r="F80" s="192">
        <v>100.6</v>
      </c>
      <c r="G80" s="192">
        <v>103.5</v>
      </c>
    </row>
    <row r="81" spans="1:7" x14ac:dyDescent="0.3">
      <c r="A81" s="191" t="s">
        <v>881</v>
      </c>
      <c r="B81" s="191" t="s">
        <v>882</v>
      </c>
      <c r="C81" s="192" t="s">
        <v>875</v>
      </c>
      <c r="D81" s="201" t="s">
        <v>876</v>
      </c>
      <c r="E81" s="192">
        <v>123.9</v>
      </c>
      <c r="F81" s="192">
        <v>93.4</v>
      </c>
      <c r="G81" s="192">
        <v>110.5</v>
      </c>
    </row>
    <row r="82" spans="1:7" x14ac:dyDescent="0.3">
      <c r="A82" s="191" t="s">
        <v>837</v>
      </c>
      <c r="B82" s="191" t="s">
        <v>883</v>
      </c>
      <c r="C82" s="192" t="s">
        <v>1301</v>
      </c>
      <c r="D82" s="202" t="s">
        <v>1599</v>
      </c>
      <c r="E82" s="192">
        <v>0</v>
      </c>
      <c r="F82" s="192">
        <v>108.6</v>
      </c>
      <c r="G82" s="192">
        <v>108.6</v>
      </c>
    </row>
    <row r="83" spans="1:7" x14ac:dyDescent="0.3">
      <c r="A83" s="191" t="s">
        <v>837</v>
      </c>
      <c r="B83" s="191" t="s">
        <v>883</v>
      </c>
      <c r="C83" s="192" t="s">
        <v>839</v>
      </c>
      <c r="D83" s="201" t="s">
        <v>840</v>
      </c>
      <c r="E83" s="192">
        <v>112.3</v>
      </c>
      <c r="F83" s="192">
        <v>112.4</v>
      </c>
      <c r="G83" s="192">
        <v>112.4</v>
      </c>
    </row>
    <row r="84" spans="1:7" x14ac:dyDescent="0.3">
      <c r="A84" s="191" t="s">
        <v>837</v>
      </c>
      <c r="B84" s="191" t="s">
        <v>883</v>
      </c>
      <c r="C84" s="192" t="s">
        <v>841</v>
      </c>
      <c r="D84" s="201" t="s">
        <v>842</v>
      </c>
      <c r="E84" s="192">
        <v>120.6</v>
      </c>
      <c r="F84" s="192">
        <v>92</v>
      </c>
      <c r="G84" s="192">
        <v>95.9</v>
      </c>
    </row>
    <row r="85" spans="1:7" x14ac:dyDescent="0.3">
      <c r="A85" s="191" t="s">
        <v>837</v>
      </c>
      <c r="B85" s="191" t="s">
        <v>883</v>
      </c>
      <c r="C85" s="192" t="s">
        <v>843</v>
      </c>
      <c r="D85" s="201" t="s">
        <v>844</v>
      </c>
      <c r="E85" s="192">
        <v>137.30000000000001</v>
      </c>
      <c r="F85" s="192">
        <v>91</v>
      </c>
      <c r="G85" s="192">
        <v>113.3</v>
      </c>
    </row>
    <row r="86" spans="1:7" x14ac:dyDescent="0.3">
      <c r="A86" s="191" t="s">
        <v>837</v>
      </c>
      <c r="B86" s="191" t="s">
        <v>883</v>
      </c>
      <c r="C86" s="192" t="s">
        <v>845</v>
      </c>
      <c r="D86" s="201" t="s">
        <v>846</v>
      </c>
      <c r="E86" s="192">
        <v>135.9</v>
      </c>
      <c r="F86" s="192">
        <v>100</v>
      </c>
      <c r="G86" s="192">
        <v>121.7</v>
      </c>
    </row>
    <row r="87" spans="1:7" x14ac:dyDescent="0.3">
      <c r="A87" s="191" t="s">
        <v>837</v>
      </c>
      <c r="B87" s="191" t="s">
        <v>883</v>
      </c>
      <c r="C87" s="192" t="s">
        <v>847</v>
      </c>
      <c r="D87" s="201" t="s">
        <v>848</v>
      </c>
      <c r="E87" s="192">
        <v>126.7</v>
      </c>
      <c r="F87" s="192">
        <v>94.6</v>
      </c>
      <c r="G87" s="192">
        <v>111.1</v>
      </c>
    </row>
    <row r="88" spans="1:7" x14ac:dyDescent="0.3">
      <c r="A88" s="191" t="s">
        <v>837</v>
      </c>
      <c r="B88" s="191" t="s">
        <v>883</v>
      </c>
      <c r="C88" s="192" t="s">
        <v>849</v>
      </c>
      <c r="D88" s="201" t="s">
        <v>850</v>
      </c>
      <c r="E88" s="192">
        <v>178.7</v>
      </c>
      <c r="F88" s="192">
        <v>100.7</v>
      </c>
      <c r="G88" s="192">
        <v>130.69999999999999</v>
      </c>
    </row>
    <row r="89" spans="1:7" x14ac:dyDescent="0.3">
      <c r="A89" s="191" t="s">
        <v>837</v>
      </c>
      <c r="B89" s="191" t="s">
        <v>883</v>
      </c>
      <c r="C89" s="192" t="s">
        <v>851</v>
      </c>
      <c r="D89" s="201" t="s">
        <v>852</v>
      </c>
      <c r="E89" s="192">
        <v>126.6</v>
      </c>
      <c r="F89" s="192">
        <v>92.1</v>
      </c>
      <c r="G89" s="192">
        <v>115.6</v>
      </c>
    </row>
    <row r="90" spans="1:7" x14ac:dyDescent="0.3">
      <c r="A90" s="191" t="s">
        <v>837</v>
      </c>
      <c r="B90" s="191" t="s">
        <v>883</v>
      </c>
      <c r="C90" s="192" t="s">
        <v>853</v>
      </c>
      <c r="D90" s="201" t="s">
        <v>854</v>
      </c>
      <c r="E90" s="192">
        <v>97.8</v>
      </c>
      <c r="F90" s="192">
        <v>90.8</v>
      </c>
      <c r="G90" s="192">
        <v>93.9</v>
      </c>
    </row>
    <row r="91" spans="1:7" x14ac:dyDescent="0.3">
      <c r="A91" s="191" t="s">
        <v>837</v>
      </c>
      <c r="B91" s="191" t="s">
        <v>883</v>
      </c>
      <c r="C91" s="192" t="s">
        <v>855</v>
      </c>
      <c r="D91" s="201" t="s">
        <v>856</v>
      </c>
      <c r="E91" s="192">
        <v>118.6</v>
      </c>
      <c r="F91" s="192">
        <v>93.5</v>
      </c>
      <c r="G91" s="192">
        <v>108.1</v>
      </c>
    </row>
    <row r="92" spans="1:7" x14ac:dyDescent="0.3">
      <c r="A92" s="191" t="s">
        <v>837</v>
      </c>
      <c r="B92" s="191" t="s">
        <v>883</v>
      </c>
      <c r="C92" s="192" t="s">
        <v>857</v>
      </c>
      <c r="D92" s="201" t="s">
        <v>858</v>
      </c>
      <c r="E92" s="192">
        <v>90.4</v>
      </c>
      <c r="F92" s="192">
        <v>89.5</v>
      </c>
      <c r="G92" s="192">
        <v>90.2</v>
      </c>
    </row>
    <row r="93" spans="1:7" x14ac:dyDescent="0.3">
      <c r="A93" s="191" t="s">
        <v>837</v>
      </c>
      <c r="B93" s="191" t="s">
        <v>883</v>
      </c>
      <c r="C93" s="192" t="s">
        <v>859</v>
      </c>
      <c r="D93" s="201" t="s">
        <v>860</v>
      </c>
      <c r="E93" s="192">
        <v>131.9</v>
      </c>
      <c r="F93" s="192">
        <v>90.4</v>
      </c>
      <c r="G93" s="192">
        <v>104.2</v>
      </c>
    </row>
    <row r="94" spans="1:7" x14ac:dyDescent="0.3">
      <c r="A94" s="191" t="s">
        <v>837</v>
      </c>
      <c r="B94" s="191" t="s">
        <v>883</v>
      </c>
      <c r="C94" s="192" t="s">
        <v>861</v>
      </c>
      <c r="D94" s="201" t="s">
        <v>862</v>
      </c>
      <c r="E94" s="192">
        <v>127.6</v>
      </c>
      <c r="F94" s="192">
        <v>90.4</v>
      </c>
      <c r="G94" s="192">
        <v>103</v>
      </c>
    </row>
    <row r="95" spans="1:7" x14ac:dyDescent="0.3">
      <c r="A95" s="191" t="s">
        <v>837</v>
      </c>
      <c r="B95" s="191" t="s">
        <v>883</v>
      </c>
      <c r="C95" s="192" t="s">
        <v>863</v>
      </c>
      <c r="D95" s="201" t="s">
        <v>864</v>
      </c>
      <c r="E95" s="192">
        <v>120</v>
      </c>
      <c r="F95" s="192">
        <v>100.7</v>
      </c>
      <c r="G95" s="192">
        <v>114.5</v>
      </c>
    </row>
    <row r="96" spans="1:7" x14ac:dyDescent="0.3">
      <c r="A96" s="191" t="s">
        <v>837</v>
      </c>
      <c r="B96" s="191" t="s">
        <v>883</v>
      </c>
      <c r="C96" s="192" t="s">
        <v>865</v>
      </c>
      <c r="D96" s="201" t="s">
        <v>866</v>
      </c>
      <c r="E96" s="192">
        <v>109.4</v>
      </c>
      <c r="F96" s="192">
        <v>102.7</v>
      </c>
      <c r="G96" s="192">
        <v>105.5</v>
      </c>
    </row>
    <row r="97" spans="1:7" x14ac:dyDescent="0.3">
      <c r="A97" s="191" t="s">
        <v>837</v>
      </c>
      <c r="B97" s="191" t="s">
        <v>883</v>
      </c>
      <c r="C97" s="192" t="s">
        <v>867</v>
      </c>
      <c r="D97" s="201" t="s">
        <v>868</v>
      </c>
      <c r="E97" s="192">
        <v>122</v>
      </c>
      <c r="F97" s="192">
        <v>94.7</v>
      </c>
      <c r="G97" s="192">
        <v>106.9</v>
      </c>
    </row>
    <row r="98" spans="1:7" x14ac:dyDescent="0.3">
      <c r="A98" s="191" t="s">
        <v>837</v>
      </c>
      <c r="B98" s="191" t="s">
        <v>883</v>
      </c>
      <c r="C98" s="192" t="s">
        <v>869</v>
      </c>
      <c r="D98" s="201" t="s">
        <v>870</v>
      </c>
      <c r="E98" s="192">
        <v>131.1</v>
      </c>
      <c r="F98" s="192">
        <v>98.2</v>
      </c>
      <c r="G98" s="192">
        <v>124</v>
      </c>
    </row>
    <row r="99" spans="1:7" x14ac:dyDescent="0.3">
      <c r="A99" s="191" t="s">
        <v>837</v>
      </c>
      <c r="B99" s="191" t="s">
        <v>883</v>
      </c>
      <c r="C99" s="192" t="s">
        <v>871</v>
      </c>
      <c r="D99" s="201" t="s">
        <v>872</v>
      </c>
      <c r="E99" s="192">
        <v>105.7</v>
      </c>
      <c r="F99" s="192">
        <v>88.2</v>
      </c>
      <c r="G99" s="192">
        <v>98.3</v>
      </c>
    </row>
    <row r="100" spans="1:7" x14ac:dyDescent="0.3">
      <c r="A100" s="191" t="s">
        <v>837</v>
      </c>
      <c r="B100" s="191" t="s">
        <v>883</v>
      </c>
      <c r="C100" s="192" t="s">
        <v>873</v>
      </c>
      <c r="D100" s="201" t="s">
        <v>874</v>
      </c>
      <c r="E100" s="192">
        <v>101.9</v>
      </c>
      <c r="F100" s="192">
        <v>99.7</v>
      </c>
      <c r="G100" s="192">
        <v>100.8</v>
      </c>
    </row>
    <row r="101" spans="1:7" x14ac:dyDescent="0.3">
      <c r="A101" s="191" t="s">
        <v>837</v>
      </c>
      <c r="B101" s="191" t="s">
        <v>883</v>
      </c>
      <c r="C101" s="192" t="s">
        <v>875</v>
      </c>
      <c r="D101" s="201" t="s">
        <v>876</v>
      </c>
      <c r="E101" s="192">
        <v>116.9</v>
      </c>
      <c r="F101" s="192">
        <v>95.6</v>
      </c>
      <c r="G101" s="192">
        <v>107.5</v>
      </c>
    </row>
    <row r="102" spans="1:7" x14ac:dyDescent="0.3">
      <c r="A102" s="191" t="s">
        <v>884</v>
      </c>
      <c r="B102" s="191" t="s">
        <v>885</v>
      </c>
      <c r="C102" s="192" t="s">
        <v>1301</v>
      </c>
      <c r="D102" s="202" t="s">
        <v>1599</v>
      </c>
      <c r="E102" s="192">
        <v>0</v>
      </c>
      <c r="F102" s="192">
        <v>102.2</v>
      </c>
      <c r="G102" s="192">
        <v>102.2</v>
      </c>
    </row>
    <row r="103" spans="1:7" x14ac:dyDescent="0.3">
      <c r="A103" s="191" t="s">
        <v>884</v>
      </c>
      <c r="B103" s="191" t="s">
        <v>885</v>
      </c>
      <c r="C103" s="192" t="s">
        <v>839</v>
      </c>
      <c r="D103" s="201" t="s">
        <v>840</v>
      </c>
      <c r="E103" s="192">
        <v>99.7</v>
      </c>
      <c r="F103" s="192">
        <v>99.1</v>
      </c>
      <c r="G103" s="192">
        <v>99.3</v>
      </c>
    </row>
    <row r="104" spans="1:7" x14ac:dyDescent="0.3">
      <c r="A104" s="191" t="s">
        <v>884</v>
      </c>
      <c r="B104" s="191" t="s">
        <v>885</v>
      </c>
      <c r="C104" s="192" t="s">
        <v>841</v>
      </c>
      <c r="D104" s="201" t="s">
        <v>842</v>
      </c>
      <c r="E104" s="192">
        <v>130.19999999999999</v>
      </c>
      <c r="F104" s="192">
        <v>85.3</v>
      </c>
      <c r="G104" s="192">
        <v>91.4</v>
      </c>
    </row>
    <row r="105" spans="1:7" x14ac:dyDescent="0.3">
      <c r="A105" s="191" t="s">
        <v>884</v>
      </c>
      <c r="B105" s="191" t="s">
        <v>885</v>
      </c>
      <c r="C105" s="192" t="s">
        <v>843</v>
      </c>
      <c r="D105" s="201" t="s">
        <v>844</v>
      </c>
      <c r="E105" s="192">
        <v>144.6</v>
      </c>
      <c r="F105" s="192">
        <v>77.900000000000006</v>
      </c>
      <c r="G105" s="192">
        <v>110.1</v>
      </c>
    </row>
    <row r="106" spans="1:7" x14ac:dyDescent="0.3">
      <c r="A106" s="191" t="s">
        <v>884</v>
      </c>
      <c r="B106" s="191" t="s">
        <v>885</v>
      </c>
      <c r="C106" s="192" t="s">
        <v>845</v>
      </c>
      <c r="D106" s="201" t="s">
        <v>846</v>
      </c>
      <c r="E106" s="192">
        <v>123.4</v>
      </c>
      <c r="F106" s="192">
        <v>96.6</v>
      </c>
      <c r="G106" s="192">
        <v>112.8</v>
      </c>
    </row>
    <row r="107" spans="1:7" x14ac:dyDescent="0.3">
      <c r="A107" s="191" t="s">
        <v>884</v>
      </c>
      <c r="B107" s="191" t="s">
        <v>885</v>
      </c>
      <c r="C107" s="192" t="s">
        <v>847</v>
      </c>
      <c r="D107" s="201" t="s">
        <v>848</v>
      </c>
      <c r="E107" s="192">
        <v>124.3</v>
      </c>
      <c r="F107" s="192">
        <v>88</v>
      </c>
      <c r="G107" s="192">
        <v>106.7</v>
      </c>
    </row>
    <row r="108" spans="1:7" x14ac:dyDescent="0.3">
      <c r="A108" s="191" t="s">
        <v>884</v>
      </c>
      <c r="B108" s="191" t="s">
        <v>885</v>
      </c>
      <c r="C108" s="192" t="s">
        <v>849</v>
      </c>
      <c r="D108" s="201" t="s">
        <v>850</v>
      </c>
      <c r="E108" s="192">
        <v>165.7</v>
      </c>
      <c r="F108" s="192">
        <v>86.7</v>
      </c>
      <c r="G108" s="192">
        <v>117</v>
      </c>
    </row>
    <row r="109" spans="1:7" x14ac:dyDescent="0.3">
      <c r="A109" s="191" t="s">
        <v>884</v>
      </c>
      <c r="B109" s="191" t="s">
        <v>885</v>
      </c>
      <c r="C109" s="192" t="s">
        <v>851</v>
      </c>
      <c r="D109" s="201" t="s">
        <v>852</v>
      </c>
      <c r="E109" s="192">
        <v>108.7</v>
      </c>
      <c r="F109" s="192">
        <v>86.8</v>
      </c>
      <c r="G109" s="192">
        <v>101.7</v>
      </c>
    </row>
    <row r="110" spans="1:7" x14ac:dyDescent="0.3">
      <c r="A110" s="191" t="s">
        <v>884</v>
      </c>
      <c r="B110" s="191" t="s">
        <v>885</v>
      </c>
      <c r="C110" s="192" t="s">
        <v>853</v>
      </c>
      <c r="D110" s="201" t="s">
        <v>854</v>
      </c>
      <c r="E110" s="192">
        <v>132.6</v>
      </c>
      <c r="F110" s="192">
        <v>85</v>
      </c>
      <c r="G110" s="192">
        <v>106.1</v>
      </c>
    </row>
    <row r="111" spans="1:7" x14ac:dyDescent="0.3">
      <c r="A111" s="191" t="s">
        <v>884</v>
      </c>
      <c r="B111" s="191" t="s">
        <v>885</v>
      </c>
      <c r="C111" s="192" t="s">
        <v>855</v>
      </c>
      <c r="D111" s="201" t="s">
        <v>856</v>
      </c>
      <c r="E111" s="192">
        <v>111.1</v>
      </c>
      <c r="F111" s="192">
        <v>87.9</v>
      </c>
      <c r="G111" s="192">
        <v>101.4</v>
      </c>
    </row>
    <row r="112" spans="1:7" x14ac:dyDescent="0.3">
      <c r="A112" s="191" t="s">
        <v>884</v>
      </c>
      <c r="B112" s="191" t="s">
        <v>885</v>
      </c>
      <c r="C112" s="192" t="s">
        <v>857</v>
      </c>
      <c r="D112" s="201" t="s">
        <v>858</v>
      </c>
      <c r="E112" s="192">
        <v>94.8</v>
      </c>
      <c r="F112" s="192">
        <v>74.099999999999994</v>
      </c>
      <c r="G112" s="192">
        <v>90</v>
      </c>
    </row>
    <row r="113" spans="1:7" x14ac:dyDescent="0.3">
      <c r="A113" s="191" t="s">
        <v>884</v>
      </c>
      <c r="B113" s="191" t="s">
        <v>885</v>
      </c>
      <c r="C113" s="192" t="s">
        <v>859</v>
      </c>
      <c r="D113" s="201" t="s">
        <v>860</v>
      </c>
      <c r="E113" s="192">
        <v>116.2</v>
      </c>
      <c r="F113" s="192">
        <v>84.4</v>
      </c>
      <c r="G113" s="192">
        <v>94.9</v>
      </c>
    </row>
    <row r="114" spans="1:7" x14ac:dyDescent="0.3">
      <c r="A114" s="191" t="s">
        <v>884</v>
      </c>
      <c r="B114" s="191" t="s">
        <v>885</v>
      </c>
      <c r="C114" s="192" t="s">
        <v>861</v>
      </c>
      <c r="D114" s="201" t="s">
        <v>862</v>
      </c>
      <c r="E114" s="192">
        <v>98.9</v>
      </c>
      <c r="F114" s="192">
        <v>84.4</v>
      </c>
      <c r="G114" s="192">
        <v>89.3</v>
      </c>
    </row>
    <row r="115" spans="1:7" x14ac:dyDescent="0.3">
      <c r="A115" s="191" t="s">
        <v>884</v>
      </c>
      <c r="B115" s="191" t="s">
        <v>885</v>
      </c>
      <c r="C115" s="192" t="s">
        <v>863</v>
      </c>
      <c r="D115" s="201" t="s">
        <v>864</v>
      </c>
      <c r="E115" s="192">
        <v>122.5</v>
      </c>
      <c r="F115" s="192">
        <v>95.7</v>
      </c>
      <c r="G115" s="192">
        <v>114.8</v>
      </c>
    </row>
    <row r="116" spans="1:7" x14ac:dyDescent="0.3">
      <c r="A116" s="191" t="s">
        <v>884</v>
      </c>
      <c r="B116" s="191" t="s">
        <v>885</v>
      </c>
      <c r="C116" s="192" t="s">
        <v>865</v>
      </c>
      <c r="D116" s="201" t="s">
        <v>866</v>
      </c>
      <c r="E116" s="192">
        <v>112.3</v>
      </c>
      <c r="F116" s="192">
        <v>91.7</v>
      </c>
      <c r="G116" s="192">
        <v>100.3</v>
      </c>
    </row>
    <row r="117" spans="1:7" x14ac:dyDescent="0.3">
      <c r="A117" s="191" t="s">
        <v>884</v>
      </c>
      <c r="B117" s="191" t="s">
        <v>885</v>
      </c>
      <c r="C117" s="192" t="s">
        <v>867</v>
      </c>
      <c r="D117" s="201" t="s">
        <v>868</v>
      </c>
      <c r="E117" s="192">
        <v>111.3</v>
      </c>
      <c r="F117" s="192">
        <v>88.2</v>
      </c>
      <c r="G117" s="192">
        <v>98.6</v>
      </c>
    </row>
    <row r="118" spans="1:7" x14ac:dyDescent="0.3">
      <c r="A118" s="191" t="s">
        <v>884</v>
      </c>
      <c r="B118" s="191" t="s">
        <v>885</v>
      </c>
      <c r="C118" s="192" t="s">
        <v>869</v>
      </c>
      <c r="D118" s="201" t="s">
        <v>870</v>
      </c>
      <c r="E118" s="192">
        <v>131.1</v>
      </c>
      <c r="F118" s="192">
        <v>82.8</v>
      </c>
      <c r="G118" s="192">
        <v>120.7</v>
      </c>
    </row>
    <row r="119" spans="1:7" x14ac:dyDescent="0.3">
      <c r="A119" s="191" t="s">
        <v>884</v>
      </c>
      <c r="B119" s="191" t="s">
        <v>885</v>
      </c>
      <c r="C119" s="192" t="s">
        <v>871</v>
      </c>
      <c r="D119" s="201" t="s">
        <v>872</v>
      </c>
      <c r="E119" s="192">
        <v>104.7</v>
      </c>
      <c r="F119" s="192">
        <v>90</v>
      </c>
      <c r="G119" s="192">
        <v>98.5</v>
      </c>
    </row>
    <row r="120" spans="1:7" x14ac:dyDescent="0.3">
      <c r="A120" s="191" t="s">
        <v>884</v>
      </c>
      <c r="B120" s="191" t="s">
        <v>885</v>
      </c>
      <c r="C120" s="192" t="s">
        <v>873</v>
      </c>
      <c r="D120" s="201" t="s">
        <v>874</v>
      </c>
      <c r="E120" s="192">
        <v>107</v>
      </c>
      <c r="F120" s="192">
        <v>72.099999999999994</v>
      </c>
      <c r="G120" s="192">
        <v>89.3</v>
      </c>
    </row>
    <row r="121" spans="1:7" x14ac:dyDescent="0.3">
      <c r="A121" s="191" t="s">
        <v>884</v>
      </c>
      <c r="B121" s="191" t="s">
        <v>885</v>
      </c>
      <c r="C121" s="192" t="s">
        <v>875</v>
      </c>
      <c r="D121" s="201" t="s">
        <v>876</v>
      </c>
      <c r="E121" s="192">
        <v>112.8</v>
      </c>
      <c r="F121" s="192">
        <v>86.1</v>
      </c>
      <c r="G121" s="192">
        <v>101.1</v>
      </c>
    </row>
    <row r="122" spans="1:7" x14ac:dyDescent="0.3">
      <c r="A122" s="191" t="s">
        <v>884</v>
      </c>
      <c r="B122" s="191" t="s">
        <v>886</v>
      </c>
      <c r="C122" s="192" t="s">
        <v>1301</v>
      </c>
      <c r="D122" s="202" t="s">
        <v>1599</v>
      </c>
      <c r="E122" s="192">
        <v>0</v>
      </c>
      <c r="F122" s="192">
        <v>103.8</v>
      </c>
      <c r="G122" s="192">
        <v>103.8</v>
      </c>
    </row>
    <row r="123" spans="1:7" x14ac:dyDescent="0.3">
      <c r="A123" s="191" t="s">
        <v>884</v>
      </c>
      <c r="B123" s="191" t="s">
        <v>886</v>
      </c>
      <c r="C123" s="192" t="s">
        <v>839</v>
      </c>
      <c r="D123" s="201" t="s">
        <v>840</v>
      </c>
      <c r="E123" s="192">
        <v>111.1</v>
      </c>
      <c r="F123" s="192">
        <v>98.7</v>
      </c>
      <c r="G123" s="192">
        <v>102.4</v>
      </c>
    </row>
    <row r="124" spans="1:7" x14ac:dyDescent="0.3">
      <c r="A124" s="191" t="s">
        <v>884</v>
      </c>
      <c r="B124" s="191" t="s">
        <v>886</v>
      </c>
      <c r="C124" s="192" t="s">
        <v>841</v>
      </c>
      <c r="D124" s="201" t="s">
        <v>842</v>
      </c>
      <c r="E124" s="192">
        <v>118.4</v>
      </c>
      <c r="F124" s="192">
        <v>90.8</v>
      </c>
      <c r="G124" s="192">
        <v>94.6</v>
      </c>
    </row>
    <row r="125" spans="1:7" x14ac:dyDescent="0.3">
      <c r="A125" s="191" t="s">
        <v>884</v>
      </c>
      <c r="B125" s="191" t="s">
        <v>886</v>
      </c>
      <c r="C125" s="192" t="s">
        <v>843</v>
      </c>
      <c r="D125" s="201" t="s">
        <v>844</v>
      </c>
      <c r="E125" s="192">
        <v>131.69999999999999</v>
      </c>
      <c r="F125" s="192">
        <v>94.9</v>
      </c>
      <c r="G125" s="192">
        <v>112.6</v>
      </c>
    </row>
    <row r="126" spans="1:7" x14ac:dyDescent="0.3">
      <c r="A126" s="191" t="s">
        <v>884</v>
      </c>
      <c r="B126" s="191" t="s">
        <v>886</v>
      </c>
      <c r="C126" s="192" t="s">
        <v>845</v>
      </c>
      <c r="D126" s="201" t="s">
        <v>846</v>
      </c>
      <c r="E126" s="192">
        <v>150.19999999999999</v>
      </c>
      <c r="F126" s="192">
        <v>100.1</v>
      </c>
      <c r="G126" s="192">
        <v>130.4</v>
      </c>
    </row>
    <row r="127" spans="1:7" x14ac:dyDescent="0.3">
      <c r="A127" s="191" t="s">
        <v>884</v>
      </c>
      <c r="B127" s="191" t="s">
        <v>886</v>
      </c>
      <c r="C127" s="192" t="s">
        <v>847</v>
      </c>
      <c r="D127" s="201" t="s">
        <v>848</v>
      </c>
      <c r="E127" s="192">
        <v>132.80000000000001</v>
      </c>
      <c r="F127" s="192">
        <v>94.7</v>
      </c>
      <c r="G127" s="192">
        <v>114.3</v>
      </c>
    </row>
    <row r="128" spans="1:7" x14ac:dyDescent="0.3">
      <c r="A128" s="191" t="s">
        <v>884</v>
      </c>
      <c r="B128" s="191" t="s">
        <v>886</v>
      </c>
      <c r="C128" s="192" t="s">
        <v>849</v>
      </c>
      <c r="D128" s="201" t="s">
        <v>850</v>
      </c>
      <c r="E128" s="192">
        <v>168.7</v>
      </c>
      <c r="F128" s="192">
        <v>94.6</v>
      </c>
      <c r="G128" s="192">
        <v>123.1</v>
      </c>
    </row>
    <row r="129" spans="1:7" x14ac:dyDescent="0.3">
      <c r="A129" s="191" t="s">
        <v>884</v>
      </c>
      <c r="B129" s="191" t="s">
        <v>886</v>
      </c>
      <c r="C129" s="192" t="s">
        <v>851</v>
      </c>
      <c r="D129" s="201" t="s">
        <v>852</v>
      </c>
      <c r="E129" s="192">
        <v>130.5</v>
      </c>
      <c r="F129" s="192">
        <v>92.1</v>
      </c>
      <c r="G129" s="192">
        <v>118.3</v>
      </c>
    </row>
    <row r="130" spans="1:7" x14ac:dyDescent="0.3">
      <c r="A130" s="191" t="s">
        <v>884</v>
      </c>
      <c r="B130" s="191" t="s">
        <v>886</v>
      </c>
      <c r="C130" s="192" t="s">
        <v>853</v>
      </c>
      <c r="D130" s="201" t="s">
        <v>854</v>
      </c>
      <c r="E130" s="192">
        <v>102.9</v>
      </c>
      <c r="F130" s="192">
        <v>90.7</v>
      </c>
      <c r="G130" s="192">
        <v>96.1</v>
      </c>
    </row>
    <row r="131" spans="1:7" x14ac:dyDescent="0.3">
      <c r="A131" s="191" t="s">
        <v>884</v>
      </c>
      <c r="B131" s="191" t="s">
        <v>886</v>
      </c>
      <c r="C131" s="192" t="s">
        <v>855</v>
      </c>
      <c r="D131" s="201" t="s">
        <v>856</v>
      </c>
      <c r="E131" s="192">
        <v>119.9</v>
      </c>
      <c r="F131" s="192">
        <v>94.7</v>
      </c>
      <c r="G131" s="192">
        <v>109.4</v>
      </c>
    </row>
    <row r="132" spans="1:7" x14ac:dyDescent="0.3">
      <c r="A132" s="191" t="s">
        <v>884</v>
      </c>
      <c r="B132" s="191" t="s">
        <v>886</v>
      </c>
      <c r="C132" s="192" t="s">
        <v>857</v>
      </c>
      <c r="D132" s="201" t="s">
        <v>858</v>
      </c>
      <c r="E132" s="192">
        <v>89.6</v>
      </c>
      <c r="F132" s="192">
        <v>80.3</v>
      </c>
      <c r="G132" s="192">
        <v>87.5</v>
      </c>
    </row>
    <row r="133" spans="1:7" x14ac:dyDescent="0.3">
      <c r="A133" s="191" t="s">
        <v>884</v>
      </c>
      <c r="B133" s="191" t="s">
        <v>886</v>
      </c>
      <c r="C133" s="192" t="s">
        <v>859</v>
      </c>
      <c r="D133" s="201" t="s">
        <v>860</v>
      </c>
      <c r="E133" s="192">
        <v>120.3</v>
      </c>
      <c r="F133" s="192">
        <v>90</v>
      </c>
      <c r="G133" s="192">
        <v>100</v>
      </c>
    </row>
    <row r="134" spans="1:7" x14ac:dyDescent="0.3">
      <c r="A134" s="191" t="s">
        <v>884</v>
      </c>
      <c r="B134" s="191" t="s">
        <v>886</v>
      </c>
      <c r="C134" s="192" t="s">
        <v>861</v>
      </c>
      <c r="D134" s="201" t="s">
        <v>862</v>
      </c>
      <c r="E134" s="192">
        <v>130.9</v>
      </c>
      <c r="F134" s="192">
        <v>90</v>
      </c>
      <c r="G134" s="192">
        <v>103.8</v>
      </c>
    </row>
    <row r="135" spans="1:7" x14ac:dyDescent="0.3">
      <c r="A135" s="191" t="s">
        <v>884</v>
      </c>
      <c r="B135" s="191" t="s">
        <v>886</v>
      </c>
      <c r="C135" s="192" t="s">
        <v>863</v>
      </c>
      <c r="D135" s="201" t="s">
        <v>864</v>
      </c>
      <c r="E135" s="192">
        <v>122.9</v>
      </c>
      <c r="F135" s="192">
        <v>98</v>
      </c>
      <c r="G135" s="192">
        <v>115.7</v>
      </c>
    </row>
    <row r="136" spans="1:7" x14ac:dyDescent="0.3">
      <c r="A136" s="191" t="s">
        <v>884</v>
      </c>
      <c r="B136" s="191" t="s">
        <v>886</v>
      </c>
      <c r="C136" s="192" t="s">
        <v>865</v>
      </c>
      <c r="D136" s="201" t="s">
        <v>866</v>
      </c>
      <c r="E136" s="192">
        <v>110.8</v>
      </c>
      <c r="F136" s="192">
        <v>106.4</v>
      </c>
      <c r="G136" s="192">
        <v>108.2</v>
      </c>
    </row>
    <row r="137" spans="1:7" x14ac:dyDescent="0.3">
      <c r="A137" s="191" t="s">
        <v>884</v>
      </c>
      <c r="B137" s="191" t="s">
        <v>886</v>
      </c>
      <c r="C137" s="192" t="s">
        <v>867</v>
      </c>
      <c r="D137" s="201" t="s">
        <v>868</v>
      </c>
      <c r="E137" s="192">
        <v>120.5</v>
      </c>
      <c r="F137" s="192">
        <v>94.4</v>
      </c>
      <c r="G137" s="192">
        <v>106</v>
      </c>
    </row>
    <row r="138" spans="1:7" x14ac:dyDescent="0.3">
      <c r="A138" s="191" t="s">
        <v>884</v>
      </c>
      <c r="B138" s="191" t="s">
        <v>886</v>
      </c>
      <c r="C138" s="192" t="s">
        <v>869</v>
      </c>
      <c r="D138" s="201" t="s">
        <v>870</v>
      </c>
      <c r="E138" s="192">
        <v>131.1</v>
      </c>
      <c r="F138" s="192">
        <v>86.4</v>
      </c>
      <c r="G138" s="192">
        <v>121.4</v>
      </c>
    </row>
    <row r="139" spans="1:7" x14ac:dyDescent="0.3">
      <c r="A139" s="191" t="s">
        <v>884</v>
      </c>
      <c r="B139" s="191" t="s">
        <v>886</v>
      </c>
      <c r="C139" s="192" t="s">
        <v>871</v>
      </c>
      <c r="D139" s="201" t="s">
        <v>872</v>
      </c>
      <c r="E139" s="192">
        <v>105.5</v>
      </c>
      <c r="F139" s="192">
        <v>93.6</v>
      </c>
      <c r="G139" s="192">
        <v>100.4</v>
      </c>
    </row>
    <row r="140" spans="1:7" x14ac:dyDescent="0.3">
      <c r="A140" s="191" t="s">
        <v>884</v>
      </c>
      <c r="B140" s="191" t="s">
        <v>886</v>
      </c>
      <c r="C140" s="192" t="s">
        <v>873</v>
      </c>
      <c r="D140" s="201" t="s">
        <v>874</v>
      </c>
      <c r="E140" s="192">
        <v>105.7</v>
      </c>
      <c r="F140" s="192">
        <v>86.1</v>
      </c>
      <c r="G140" s="192">
        <v>95.8</v>
      </c>
    </row>
    <row r="141" spans="1:7" x14ac:dyDescent="0.3">
      <c r="A141" s="191" t="s">
        <v>884</v>
      </c>
      <c r="B141" s="191" t="s">
        <v>886</v>
      </c>
      <c r="C141" s="192" t="s">
        <v>875</v>
      </c>
      <c r="D141" s="201" t="s">
        <v>876</v>
      </c>
      <c r="E141" s="192">
        <v>117.9</v>
      </c>
      <c r="F141" s="192">
        <v>92.4</v>
      </c>
      <c r="G141" s="192">
        <v>106.7</v>
      </c>
    </row>
    <row r="142" spans="1:7" x14ac:dyDescent="0.3">
      <c r="A142" s="191" t="s">
        <v>837</v>
      </c>
      <c r="B142" s="191" t="s">
        <v>887</v>
      </c>
      <c r="C142" s="192" t="s">
        <v>1301</v>
      </c>
      <c r="D142" s="202" t="s">
        <v>1599</v>
      </c>
      <c r="E142" s="192">
        <v>0</v>
      </c>
      <c r="F142" s="192">
        <v>104</v>
      </c>
      <c r="G142" s="192">
        <v>104</v>
      </c>
    </row>
    <row r="143" spans="1:7" x14ac:dyDescent="0.3">
      <c r="A143" s="191" t="s">
        <v>837</v>
      </c>
      <c r="B143" s="191" t="s">
        <v>887</v>
      </c>
      <c r="C143" s="192" t="s">
        <v>839</v>
      </c>
      <c r="D143" s="201" t="s">
        <v>840</v>
      </c>
      <c r="E143" s="192">
        <v>105.9</v>
      </c>
      <c r="F143" s="192">
        <v>104.3</v>
      </c>
      <c r="G143" s="192">
        <v>104.8</v>
      </c>
    </row>
    <row r="144" spans="1:7" x14ac:dyDescent="0.3">
      <c r="A144" s="191" t="s">
        <v>837</v>
      </c>
      <c r="B144" s="191" t="s">
        <v>887</v>
      </c>
      <c r="C144" s="192" t="s">
        <v>841</v>
      </c>
      <c r="D144" s="201" t="s">
        <v>842</v>
      </c>
      <c r="E144" s="192">
        <v>122.1</v>
      </c>
      <c r="F144" s="192">
        <v>88.9</v>
      </c>
      <c r="G144" s="192">
        <v>93.4</v>
      </c>
    </row>
    <row r="145" spans="1:7" x14ac:dyDescent="0.3">
      <c r="A145" s="191" t="s">
        <v>837</v>
      </c>
      <c r="B145" s="191" t="s">
        <v>887</v>
      </c>
      <c r="C145" s="192" t="s">
        <v>843</v>
      </c>
      <c r="D145" s="201" t="s">
        <v>844</v>
      </c>
      <c r="E145" s="192">
        <v>129</v>
      </c>
      <c r="F145" s="192">
        <v>90.9</v>
      </c>
      <c r="G145" s="192">
        <v>109.3</v>
      </c>
    </row>
    <row r="146" spans="1:7" x14ac:dyDescent="0.3">
      <c r="A146" s="191" t="s">
        <v>837</v>
      </c>
      <c r="B146" s="191" t="s">
        <v>887</v>
      </c>
      <c r="C146" s="192" t="s">
        <v>845</v>
      </c>
      <c r="D146" s="201" t="s">
        <v>846</v>
      </c>
      <c r="E146" s="192">
        <v>133.4</v>
      </c>
      <c r="F146" s="192">
        <v>98.9</v>
      </c>
      <c r="G146" s="192">
        <v>119.8</v>
      </c>
    </row>
    <row r="147" spans="1:7" x14ac:dyDescent="0.3">
      <c r="A147" s="191" t="s">
        <v>837</v>
      </c>
      <c r="B147" s="191" t="s">
        <v>887</v>
      </c>
      <c r="C147" s="192" t="s">
        <v>847</v>
      </c>
      <c r="D147" s="201" t="s">
        <v>848</v>
      </c>
      <c r="E147" s="192">
        <v>124.4</v>
      </c>
      <c r="F147" s="192">
        <v>92.7</v>
      </c>
      <c r="G147" s="192">
        <v>109</v>
      </c>
    </row>
    <row r="148" spans="1:7" x14ac:dyDescent="0.3">
      <c r="A148" s="191" t="s">
        <v>837</v>
      </c>
      <c r="B148" s="191" t="s">
        <v>887</v>
      </c>
      <c r="C148" s="192" t="s">
        <v>849</v>
      </c>
      <c r="D148" s="201" t="s">
        <v>850</v>
      </c>
      <c r="E148" s="192">
        <v>169.5</v>
      </c>
      <c r="F148" s="192">
        <v>98.4</v>
      </c>
      <c r="G148" s="192">
        <v>125.7</v>
      </c>
    </row>
    <row r="149" spans="1:7" x14ac:dyDescent="0.3">
      <c r="A149" s="191" t="s">
        <v>837</v>
      </c>
      <c r="B149" s="191" t="s">
        <v>887</v>
      </c>
      <c r="C149" s="192" t="s">
        <v>851</v>
      </c>
      <c r="D149" s="201" t="s">
        <v>852</v>
      </c>
      <c r="E149" s="192">
        <v>127.9</v>
      </c>
      <c r="F149" s="192">
        <v>91.3</v>
      </c>
      <c r="G149" s="192">
        <v>116.3</v>
      </c>
    </row>
    <row r="150" spans="1:7" x14ac:dyDescent="0.3">
      <c r="A150" s="191" t="s">
        <v>837</v>
      </c>
      <c r="B150" s="191" t="s">
        <v>887</v>
      </c>
      <c r="C150" s="192" t="s">
        <v>853</v>
      </c>
      <c r="D150" s="201" t="s">
        <v>854</v>
      </c>
      <c r="E150" s="192">
        <v>108.2</v>
      </c>
      <c r="F150" s="192">
        <v>87.6</v>
      </c>
      <c r="G150" s="192">
        <v>96.7</v>
      </c>
    </row>
    <row r="151" spans="1:7" x14ac:dyDescent="0.3">
      <c r="A151" s="191" t="s">
        <v>837</v>
      </c>
      <c r="B151" s="191" t="s">
        <v>887</v>
      </c>
      <c r="C151" s="192" t="s">
        <v>855</v>
      </c>
      <c r="D151" s="201" t="s">
        <v>856</v>
      </c>
      <c r="E151" s="192">
        <v>126.1</v>
      </c>
      <c r="F151" s="192">
        <v>91.7</v>
      </c>
      <c r="G151" s="192">
        <v>111.7</v>
      </c>
    </row>
    <row r="152" spans="1:7" x14ac:dyDescent="0.3">
      <c r="A152" s="191" t="s">
        <v>837</v>
      </c>
      <c r="B152" s="191" t="s">
        <v>887</v>
      </c>
      <c r="C152" s="192" t="s">
        <v>857</v>
      </c>
      <c r="D152" s="201" t="s">
        <v>858</v>
      </c>
      <c r="E152" s="192">
        <v>94.8</v>
      </c>
      <c r="F152" s="192">
        <v>86.6</v>
      </c>
      <c r="G152" s="192">
        <v>92.9</v>
      </c>
    </row>
    <row r="153" spans="1:7" x14ac:dyDescent="0.3">
      <c r="A153" s="191" t="s">
        <v>837</v>
      </c>
      <c r="B153" s="191" t="s">
        <v>887</v>
      </c>
      <c r="C153" s="192" t="s">
        <v>859</v>
      </c>
      <c r="D153" s="201" t="s">
        <v>860</v>
      </c>
      <c r="E153" s="192">
        <v>147.1</v>
      </c>
      <c r="F153" s="192">
        <v>87.2</v>
      </c>
      <c r="G153" s="192">
        <v>107</v>
      </c>
    </row>
    <row r="154" spans="1:7" x14ac:dyDescent="0.3">
      <c r="A154" s="191" t="s">
        <v>837</v>
      </c>
      <c r="B154" s="191" t="s">
        <v>887</v>
      </c>
      <c r="C154" s="192" t="s">
        <v>861</v>
      </c>
      <c r="D154" s="201" t="s">
        <v>862</v>
      </c>
      <c r="E154" s="192">
        <v>129</v>
      </c>
      <c r="F154" s="192">
        <v>87.2</v>
      </c>
      <c r="G154" s="192">
        <v>101.3</v>
      </c>
    </row>
    <row r="155" spans="1:7" x14ac:dyDescent="0.3">
      <c r="A155" s="191" t="s">
        <v>837</v>
      </c>
      <c r="B155" s="191" t="s">
        <v>887</v>
      </c>
      <c r="C155" s="192" t="s">
        <v>863</v>
      </c>
      <c r="D155" s="201" t="s">
        <v>864</v>
      </c>
      <c r="E155" s="192">
        <v>111.4</v>
      </c>
      <c r="F155" s="192">
        <v>96</v>
      </c>
      <c r="G155" s="192">
        <v>107</v>
      </c>
    </row>
    <row r="156" spans="1:7" x14ac:dyDescent="0.3">
      <c r="A156" s="191" t="s">
        <v>837</v>
      </c>
      <c r="B156" s="191" t="s">
        <v>887</v>
      </c>
      <c r="C156" s="192" t="s">
        <v>865</v>
      </c>
      <c r="D156" s="201" t="s">
        <v>866</v>
      </c>
      <c r="E156" s="192">
        <v>115.3</v>
      </c>
      <c r="F156" s="192">
        <v>94.2</v>
      </c>
      <c r="G156" s="192">
        <v>103</v>
      </c>
    </row>
    <row r="157" spans="1:7" x14ac:dyDescent="0.3">
      <c r="A157" s="191" t="s">
        <v>837</v>
      </c>
      <c r="B157" s="191" t="s">
        <v>887</v>
      </c>
      <c r="C157" s="192" t="s">
        <v>867</v>
      </c>
      <c r="D157" s="201" t="s">
        <v>868</v>
      </c>
      <c r="E157" s="192">
        <v>124.1</v>
      </c>
      <c r="F157" s="192">
        <v>90.7</v>
      </c>
      <c r="G157" s="192">
        <v>105.7</v>
      </c>
    </row>
    <row r="158" spans="1:7" x14ac:dyDescent="0.3">
      <c r="A158" s="191" t="s">
        <v>837</v>
      </c>
      <c r="B158" s="191" t="s">
        <v>887</v>
      </c>
      <c r="C158" s="192" t="s">
        <v>869</v>
      </c>
      <c r="D158" s="201" t="s">
        <v>870</v>
      </c>
      <c r="E158" s="192">
        <v>131.1</v>
      </c>
      <c r="F158" s="192">
        <v>95.1</v>
      </c>
      <c r="G158" s="192">
        <v>123.3</v>
      </c>
    </row>
    <row r="159" spans="1:7" x14ac:dyDescent="0.3">
      <c r="A159" s="191" t="s">
        <v>837</v>
      </c>
      <c r="B159" s="191" t="s">
        <v>887</v>
      </c>
      <c r="C159" s="192" t="s">
        <v>871</v>
      </c>
      <c r="D159" s="201" t="s">
        <v>872</v>
      </c>
      <c r="E159" s="192">
        <v>105.7</v>
      </c>
      <c r="F159" s="192">
        <v>86.2</v>
      </c>
      <c r="G159" s="192">
        <v>97.5</v>
      </c>
    </row>
    <row r="160" spans="1:7" x14ac:dyDescent="0.3">
      <c r="A160" s="191" t="s">
        <v>837</v>
      </c>
      <c r="B160" s="191" t="s">
        <v>887</v>
      </c>
      <c r="C160" s="192" t="s">
        <v>873</v>
      </c>
      <c r="D160" s="201" t="s">
        <v>874</v>
      </c>
      <c r="E160" s="192">
        <v>105.1</v>
      </c>
      <c r="F160" s="192">
        <v>98</v>
      </c>
      <c r="G160" s="192">
        <v>101.5</v>
      </c>
    </row>
    <row r="161" spans="1:7" x14ac:dyDescent="0.3">
      <c r="A161" s="191" t="s">
        <v>837</v>
      </c>
      <c r="B161" s="191" t="s">
        <v>887</v>
      </c>
      <c r="C161" s="192" t="s">
        <v>875</v>
      </c>
      <c r="D161" s="201" t="s">
        <v>876</v>
      </c>
      <c r="E161" s="192">
        <v>117.6</v>
      </c>
      <c r="F161" s="192">
        <v>92.9</v>
      </c>
      <c r="G161" s="192">
        <v>106.7</v>
      </c>
    </row>
    <row r="162" spans="1:7" x14ac:dyDescent="0.3">
      <c r="A162" s="191" t="s">
        <v>884</v>
      </c>
      <c r="B162" s="191" t="s">
        <v>884</v>
      </c>
      <c r="C162" s="192" t="s">
        <v>1301</v>
      </c>
      <c r="D162" s="202" t="s">
        <v>1599</v>
      </c>
      <c r="E162" s="192">
        <v>0</v>
      </c>
      <c r="F162" s="192">
        <v>104.2</v>
      </c>
      <c r="G162" s="192">
        <v>104.2</v>
      </c>
    </row>
    <row r="163" spans="1:7" x14ac:dyDescent="0.3">
      <c r="A163" s="191" t="s">
        <v>884</v>
      </c>
      <c r="B163" s="191" t="s">
        <v>884</v>
      </c>
      <c r="C163" s="192" t="s">
        <v>839</v>
      </c>
      <c r="D163" s="201" t="s">
        <v>840</v>
      </c>
      <c r="E163" s="192">
        <v>113.3</v>
      </c>
      <c r="F163" s="192">
        <v>98.8</v>
      </c>
      <c r="G163" s="192">
        <v>103</v>
      </c>
    </row>
    <row r="164" spans="1:7" x14ac:dyDescent="0.3">
      <c r="A164" s="191" t="s">
        <v>884</v>
      </c>
      <c r="B164" s="191" t="s">
        <v>884</v>
      </c>
      <c r="C164" s="192" t="s">
        <v>841</v>
      </c>
      <c r="D164" s="201" t="s">
        <v>842</v>
      </c>
      <c r="E164" s="192">
        <v>120.1</v>
      </c>
      <c r="F164" s="192">
        <v>91.1</v>
      </c>
      <c r="G164" s="192">
        <v>95</v>
      </c>
    </row>
    <row r="165" spans="1:7" x14ac:dyDescent="0.3">
      <c r="A165" s="191" t="s">
        <v>884</v>
      </c>
      <c r="B165" s="191" t="s">
        <v>884</v>
      </c>
      <c r="C165" s="192" t="s">
        <v>843</v>
      </c>
      <c r="D165" s="201" t="s">
        <v>844</v>
      </c>
      <c r="E165" s="192">
        <v>138.1</v>
      </c>
      <c r="F165" s="192">
        <v>94.9</v>
      </c>
      <c r="G165" s="192">
        <v>115.7</v>
      </c>
    </row>
    <row r="166" spans="1:7" x14ac:dyDescent="0.3">
      <c r="A166" s="191" t="s">
        <v>884</v>
      </c>
      <c r="B166" s="191" t="s">
        <v>884</v>
      </c>
      <c r="C166" s="192" t="s">
        <v>845</v>
      </c>
      <c r="D166" s="201" t="s">
        <v>846</v>
      </c>
      <c r="E166" s="192">
        <v>138</v>
      </c>
      <c r="F166" s="192">
        <v>100.5</v>
      </c>
      <c r="G166" s="192">
        <v>123.2</v>
      </c>
    </row>
    <row r="167" spans="1:7" x14ac:dyDescent="0.3">
      <c r="A167" s="191" t="s">
        <v>884</v>
      </c>
      <c r="B167" s="191" t="s">
        <v>884</v>
      </c>
      <c r="C167" s="192" t="s">
        <v>847</v>
      </c>
      <c r="D167" s="201" t="s">
        <v>848</v>
      </c>
      <c r="E167" s="192">
        <v>127.9</v>
      </c>
      <c r="F167" s="192">
        <v>95</v>
      </c>
      <c r="G167" s="192">
        <v>111.9</v>
      </c>
    </row>
    <row r="168" spans="1:7" x14ac:dyDescent="0.3">
      <c r="A168" s="191" t="s">
        <v>884</v>
      </c>
      <c r="B168" s="191" t="s">
        <v>884</v>
      </c>
      <c r="C168" s="192" t="s">
        <v>849</v>
      </c>
      <c r="D168" s="201" t="s">
        <v>850</v>
      </c>
      <c r="E168" s="192">
        <v>166.4</v>
      </c>
      <c r="F168" s="192">
        <v>94.7</v>
      </c>
      <c r="G168" s="192">
        <v>122.2</v>
      </c>
    </row>
    <row r="169" spans="1:7" x14ac:dyDescent="0.3">
      <c r="A169" s="191" t="s">
        <v>884</v>
      </c>
      <c r="B169" s="191" t="s">
        <v>884</v>
      </c>
      <c r="C169" s="192" t="s">
        <v>851</v>
      </c>
      <c r="D169" s="201" t="s">
        <v>852</v>
      </c>
      <c r="E169" s="192">
        <v>130.5</v>
      </c>
      <c r="F169" s="192">
        <v>92.4</v>
      </c>
      <c r="G169" s="192">
        <v>118.4</v>
      </c>
    </row>
    <row r="170" spans="1:7" x14ac:dyDescent="0.3">
      <c r="A170" s="191" t="s">
        <v>884</v>
      </c>
      <c r="B170" s="191" t="s">
        <v>884</v>
      </c>
      <c r="C170" s="192" t="s">
        <v>853</v>
      </c>
      <c r="D170" s="201" t="s">
        <v>854</v>
      </c>
      <c r="E170" s="192">
        <v>108.1</v>
      </c>
      <c r="F170" s="192">
        <v>90.8</v>
      </c>
      <c r="G170" s="192">
        <v>98.5</v>
      </c>
    </row>
    <row r="171" spans="1:7" x14ac:dyDescent="0.3">
      <c r="A171" s="191" t="s">
        <v>884</v>
      </c>
      <c r="B171" s="191" t="s">
        <v>884</v>
      </c>
      <c r="C171" s="192" t="s">
        <v>855</v>
      </c>
      <c r="D171" s="201" t="s">
        <v>856</v>
      </c>
      <c r="E171" s="192">
        <v>120.5</v>
      </c>
      <c r="F171" s="192">
        <v>94.9</v>
      </c>
      <c r="G171" s="192">
        <v>109.8</v>
      </c>
    </row>
    <row r="172" spans="1:7" x14ac:dyDescent="0.3">
      <c r="A172" s="191" t="s">
        <v>884</v>
      </c>
      <c r="B172" s="191" t="s">
        <v>884</v>
      </c>
      <c r="C172" s="192" t="s">
        <v>857</v>
      </c>
      <c r="D172" s="201" t="s">
        <v>858</v>
      </c>
      <c r="E172" s="192">
        <v>92.6</v>
      </c>
      <c r="F172" s="192">
        <v>88</v>
      </c>
      <c r="G172" s="192">
        <v>91.5</v>
      </c>
    </row>
    <row r="173" spans="1:7" x14ac:dyDescent="0.3">
      <c r="A173" s="191" t="s">
        <v>884</v>
      </c>
      <c r="B173" s="191" t="s">
        <v>884</v>
      </c>
      <c r="C173" s="192" t="s">
        <v>859</v>
      </c>
      <c r="D173" s="201" t="s">
        <v>860</v>
      </c>
      <c r="E173" s="192">
        <v>120.7</v>
      </c>
      <c r="F173" s="192">
        <v>90</v>
      </c>
      <c r="G173" s="192">
        <v>100.2</v>
      </c>
    </row>
    <row r="174" spans="1:7" x14ac:dyDescent="0.3">
      <c r="A174" s="191" t="s">
        <v>884</v>
      </c>
      <c r="B174" s="191" t="s">
        <v>884</v>
      </c>
      <c r="C174" s="192" t="s">
        <v>861</v>
      </c>
      <c r="D174" s="201" t="s">
        <v>862</v>
      </c>
      <c r="E174" s="192">
        <v>132.6</v>
      </c>
      <c r="F174" s="192">
        <v>90</v>
      </c>
      <c r="G174" s="192">
        <v>104.4</v>
      </c>
    </row>
    <row r="175" spans="1:7" x14ac:dyDescent="0.3">
      <c r="A175" s="191" t="s">
        <v>884</v>
      </c>
      <c r="B175" s="191" t="s">
        <v>884</v>
      </c>
      <c r="C175" s="192" t="s">
        <v>863</v>
      </c>
      <c r="D175" s="201" t="s">
        <v>864</v>
      </c>
      <c r="E175" s="192">
        <v>122.7</v>
      </c>
      <c r="F175" s="192">
        <v>98</v>
      </c>
      <c r="G175" s="192">
        <v>115.6</v>
      </c>
    </row>
    <row r="176" spans="1:7" x14ac:dyDescent="0.3">
      <c r="A176" s="191" t="s">
        <v>884</v>
      </c>
      <c r="B176" s="191" t="s">
        <v>884</v>
      </c>
      <c r="C176" s="192" t="s">
        <v>865</v>
      </c>
      <c r="D176" s="201" t="s">
        <v>866</v>
      </c>
      <c r="E176" s="192">
        <v>126.8</v>
      </c>
      <c r="F176" s="192">
        <v>106.4</v>
      </c>
      <c r="G176" s="192">
        <v>114.9</v>
      </c>
    </row>
    <row r="177" spans="1:7" x14ac:dyDescent="0.3">
      <c r="A177" s="191" t="s">
        <v>884</v>
      </c>
      <c r="B177" s="191" t="s">
        <v>884</v>
      </c>
      <c r="C177" s="192" t="s">
        <v>867</v>
      </c>
      <c r="D177" s="201" t="s">
        <v>868</v>
      </c>
      <c r="E177" s="192">
        <v>122.3</v>
      </c>
      <c r="F177" s="192">
        <v>94.4</v>
      </c>
      <c r="G177" s="192">
        <v>106.9</v>
      </c>
    </row>
    <row r="178" spans="1:7" x14ac:dyDescent="0.3">
      <c r="A178" s="191" t="s">
        <v>884</v>
      </c>
      <c r="B178" s="191" t="s">
        <v>884</v>
      </c>
      <c r="C178" s="192" t="s">
        <v>869</v>
      </c>
      <c r="D178" s="201" t="s">
        <v>870</v>
      </c>
      <c r="E178" s="192">
        <v>131.1</v>
      </c>
      <c r="F178" s="192">
        <v>86.5</v>
      </c>
      <c r="G178" s="192">
        <v>121.5</v>
      </c>
    </row>
    <row r="179" spans="1:7" x14ac:dyDescent="0.3">
      <c r="A179" s="191" t="s">
        <v>884</v>
      </c>
      <c r="B179" s="191" t="s">
        <v>884</v>
      </c>
      <c r="C179" s="192" t="s">
        <v>871</v>
      </c>
      <c r="D179" s="201" t="s">
        <v>872</v>
      </c>
      <c r="E179" s="192">
        <v>105.3</v>
      </c>
      <c r="F179" s="192">
        <v>93.6</v>
      </c>
      <c r="G179" s="192">
        <v>100.4</v>
      </c>
    </row>
    <row r="180" spans="1:7" x14ac:dyDescent="0.3">
      <c r="A180" s="191" t="s">
        <v>884</v>
      </c>
      <c r="B180" s="191" t="s">
        <v>884</v>
      </c>
      <c r="C180" s="192" t="s">
        <v>873</v>
      </c>
      <c r="D180" s="201" t="s">
        <v>874</v>
      </c>
      <c r="E180" s="192">
        <v>106.1</v>
      </c>
      <c r="F180" s="192">
        <v>86.1</v>
      </c>
      <c r="G180" s="192">
        <v>96</v>
      </c>
    </row>
    <row r="181" spans="1:7" x14ac:dyDescent="0.3">
      <c r="A181" s="191" t="s">
        <v>884</v>
      </c>
      <c r="B181" s="191" t="s">
        <v>884</v>
      </c>
      <c r="C181" s="192" t="s">
        <v>875</v>
      </c>
      <c r="D181" s="201" t="s">
        <v>876</v>
      </c>
      <c r="E181" s="192">
        <v>117.9</v>
      </c>
      <c r="F181" s="192">
        <v>92.8</v>
      </c>
      <c r="G181" s="192">
        <v>106.8</v>
      </c>
    </row>
    <row r="182" spans="1:7" x14ac:dyDescent="0.3">
      <c r="A182" s="191" t="s">
        <v>888</v>
      </c>
      <c r="B182" s="191" t="s">
        <v>889</v>
      </c>
      <c r="C182" s="192" t="s">
        <v>1301</v>
      </c>
      <c r="D182" s="202" t="s">
        <v>1599</v>
      </c>
      <c r="E182" s="192">
        <v>0</v>
      </c>
      <c r="F182" s="192">
        <v>101.6</v>
      </c>
      <c r="G182" s="192">
        <v>101.6</v>
      </c>
    </row>
    <row r="183" spans="1:7" x14ac:dyDescent="0.3">
      <c r="A183" s="191" t="s">
        <v>888</v>
      </c>
      <c r="B183" s="191" t="s">
        <v>889</v>
      </c>
      <c r="C183" s="192" t="s">
        <v>839</v>
      </c>
      <c r="D183" s="201" t="s">
        <v>840</v>
      </c>
      <c r="E183" s="192">
        <v>105.1</v>
      </c>
      <c r="F183" s="192">
        <v>97.3</v>
      </c>
      <c r="G183" s="192">
        <v>99.6</v>
      </c>
    </row>
    <row r="184" spans="1:7" x14ac:dyDescent="0.3">
      <c r="A184" s="191" t="s">
        <v>888</v>
      </c>
      <c r="B184" s="191" t="s">
        <v>889</v>
      </c>
      <c r="C184" s="192" t="s">
        <v>841</v>
      </c>
      <c r="D184" s="201" t="s">
        <v>842</v>
      </c>
      <c r="E184" s="192">
        <v>123.9</v>
      </c>
      <c r="F184" s="192">
        <v>65.2</v>
      </c>
      <c r="G184" s="192">
        <v>73.099999999999994</v>
      </c>
    </row>
    <row r="185" spans="1:7" x14ac:dyDescent="0.3">
      <c r="A185" s="191" t="s">
        <v>888</v>
      </c>
      <c r="B185" s="191" t="s">
        <v>889</v>
      </c>
      <c r="C185" s="192" t="s">
        <v>843</v>
      </c>
      <c r="D185" s="201" t="s">
        <v>844</v>
      </c>
      <c r="E185" s="192">
        <v>136.4</v>
      </c>
      <c r="F185" s="192">
        <v>61.3</v>
      </c>
      <c r="G185" s="192">
        <v>97.5</v>
      </c>
    </row>
    <row r="186" spans="1:7" x14ac:dyDescent="0.3">
      <c r="A186" s="191" t="s">
        <v>888</v>
      </c>
      <c r="B186" s="191" t="s">
        <v>889</v>
      </c>
      <c r="C186" s="192" t="s">
        <v>845</v>
      </c>
      <c r="D186" s="201" t="s">
        <v>846</v>
      </c>
      <c r="E186" s="192">
        <v>128.6</v>
      </c>
      <c r="F186" s="192">
        <v>80.2</v>
      </c>
      <c r="G186" s="192">
        <v>109.5</v>
      </c>
    </row>
    <row r="187" spans="1:7" x14ac:dyDescent="0.3">
      <c r="A187" s="191" t="s">
        <v>888</v>
      </c>
      <c r="B187" s="191" t="s">
        <v>889</v>
      </c>
      <c r="C187" s="192" t="s">
        <v>847</v>
      </c>
      <c r="D187" s="201" t="s">
        <v>848</v>
      </c>
      <c r="E187" s="192">
        <v>124.1</v>
      </c>
      <c r="F187" s="192">
        <v>70.599999999999994</v>
      </c>
      <c r="G187" s="192">
        <v>98.1</v>
      </c>
    </row>
    <row r="188" spans="1:7" x14ac:dyDescent="0.3">
      <c r="A188" s="191" t="s">
        <v>888</v>
      </c>
      <c r="B188" s="191" t="s">
        <v>889</v>
      </c>
      <c r="C188" s="192" t="s">
        <v>849</v>
      </c>
      <c r="D188" s="201" t="s">
        <v>850</v>
      </c>
      <c r="E188" s="192">
        <v>182.3</v>
      </c>
      <c r="F188" s="192">
        <v>73.400000000000006</v>
      </c>
      <c r="G188" s="192">
        <v>115.2</v>
      </c>
    </row>
    <row r="189" spans="1:7" x14ac:dyDescent="0.3">
      <c r="A189" s="191" t="s">
        <v>888</v>
      </c>
      <c r="B189" s="191" t="s">
        <v>889</v>
      </c>
      <c r="C189" s="192" t="s">
        <v>851</v>
      </c>
      <c r="D189" s="201" t="s">
        <v>852</v>
      </c>
      <c r="E189" s="192">
        <v>109.8</v>
      </c>
      <c r="F189" s="192">
        <v>82.2</v>
      </c>
      <c r="G189" s="192">
        <v>101</v>
      </c>
    </row>
    <row r="190" spans="1:7" x14ac:dyDescent="0.3">
      <c r="A190" s="191" t="s">
        <v>888</v>
      </c>
      <c r="B190" s="191" t="s">
        <v>889</v>
      </c>
      <c r="C190" s="192" t="s">
        <v>853</v>
      </c>
      <c r="D190" s="201" t="s">
        <v>854</v>
      </c>
      <c r="E190" s="192">
        <v>122.2</v>
      </c>
      <c r="F190" s="192">
        <v>63.1</v>
      </c>
      <c r="G190" s="192">
        <v>89.3</v>
      </c>
    </row>
    <row r="191" spans="1:7" x14ac:dyDescent="0.3">
      <c r="A191" s="191" t="s">
        <v>888</v>
      </c>
      <c r="B191" s="191" t="s">
        <v>889</v>
      </c>
      <c r="C191" s="192" t="s">
        <v>855</v>
      </c>
      <c r="D191" s="201" t="s">
        <v>856</v>
      </c>
      <c r="E191" s="192">
        <v>114</v>
      </c>
      <c r="F191" s="192">
        <v>69.400000000000006</v>
      </c>
      <c r="G191" s="192">
        <v>95.3</v>
      </c>
    </row>
    <row r="192" spans="1:7" x14ac:dyDescent="0.3">
      <c r="A192" s="191" t="s">
        <v>888</v>
      </c>
      <c r="B192" s="191" t="s">
        <v>889</v>
      </c>
      <c r="C192" s="192" t="s">
        <v>857</v>
      </c>
      <c r="D192" s="201" t="s">
        <v>858</v>
      </c>
      <c r="E192" s="192">
        <v>89.3</v>
      </c>
      <c r="F192" s="192">
        <v>59.5</v>
      </c>
      <c r="G192" s="192">
        <v>82.3</v>
      </c>
    </row>
    <row r="193" spans="1:7" x14ac:dyDescent="0.3">
      <c r="A193" s="191" t="s">
        <v>888</v>
      </c>
      <c r="B193" s="191" t="s">
        <v>889</v>
      </c>
      <c r="C193" s="192" t="s">
        <v>859</v>
      </c>
      <c r="D193" s="201" t="s">
        <v>860</v>
      </c>
      <c r="E193" s="192">
        <v>133.9</v>
      </c>
      <c r="F193" s="192">
        <v>62</v>
      </c>
      <c r="G193" s="192">
        <v>85.9</v>
      </c>
    </row>
    <row r="194" spans="1:7" x14ac:dyDescent="0.3">
      <c r="A194" s="191" t="s">
        <v>888</v>
      </c>
      <c r="B194" s="191" t="s">
        <v>889</v>
      </c>
      <c r="C194" s="192" t="s">
        <v>861</v>
      </c>
      <c r="D194" s="201" t="s">
        <v>862</v>
      </c>
      <c r="E194" s="192">
        <v>112.9</v>
      </c>
      <c r="F194" s="192">
        <v>62</v>
      </c>
      <c r="G194" s="192">
        <v>79.2</v>
      </c>
    </row>
    <row r="195" spans="1:7" x14ac:dyDescent="0.3">
      <c r="A195" s="191" t="s">
        <v>888</v>
      </c>
      <c r="B195" s="191" t="s">
        <v>889</v>
      </c>
      <c r="C195" s="192" t="s">
        <v>863</v>
      </c>
      <c r="D195" s="201" t="s">
        <v>864</v>
      </c>
      <c r="E195" s="192">
        <v>120.3</v>
      </c>
      <c r="F195" s="192">
        <v>71</v>
      </c>
      <c r="G195" s="192">
        <v>106.2</v>
      </c>
    </row>
    <row r="196" spans="1:7" x14ac:dyDescent="0.3">
      <c r="A196" s="191" t="s">
        <v>888</v>
      </c>
      <c r="B196" s="191" t="s">
        <v>889</v>
      </c>
      <c r="C196" s="192" t="s">
        <v>865</v>
      </c>
      <c r="D196" s="201" t="s">
        <v>866</v>
      </c>
      <c r="E196" s="192">
        <v>113.2</v>
      </c>
      <c r="F196" s="192">
        <v>80.2</v>
      </c>
      <c r="G196" s="192">
        <v>94</v>
      </c>
    </row>
    <row r="197" spans="1:7" x14ac:dyDescent="0.3">
      <c r="A197" s="191" t="s">
        <v>888</v>
      </c>
      <c r="B197" s="191" t="s">
        <v>889</v>
      </c>
      <c r="C197" s="192" t="s">
        <v>867</v>
      </c>
      <c r="D197" s="201" t="s">
        <v>868</v>
      </c>
      <c r="E197" s="192">
        <v>116.4</v>
      </c>
      <c r="F197" s="192">
        <v>67.3</v>
      </c>
      <c r="G197" s="192">
        <v>89.3</v>
      </c>
    </row>
    <row r="198" spans="1:7" x14ac:dyDescent="0.3">
      <c r="A198" s="191" t="s">
        <v>888</v>
      </c>
      <c r="B198" s="191" t="s">
        <v>889</v>
      </c>
      <c r="C198" s="192" t="s">
        <v>869</v>
      </c>
      <c r="D198" s="201" t="s">
        <v>870</v>
      </c>
      <c r="E198" s="192">
        <v>131.1</v>
      </c>
      <c r="F198" s="192">
        <v>65.599999999999994</v>
      </c>
      <c r="G198" s="192">
        <v>116.9</v>
      </c>
    </row>
    <row r="199" spans="1:7" x14ac:dyDescent="0.3">
      <c r="A199" s="191" t="s">
        <v>888</v>
      </c>
      <c r="B199" s="191" t="s">
        <v>889</v>
      </c>
      <c r="C199" s="192" t="s">
        <v>871</v>
      </c>
      <c r="D199" s="201" t="s">
        <v>872</v>
      </c>
      <c r="E199" s="192">
        <v>103.6</v>
      </c>
      <c r="F199" s="192">
        <v>80.900000000000006</v>
      </c>
      <c r="G199" s="192">
        <v>94</v>
      </c>
    </row>
    <row r="200" spans="1:7" x14ac:dyDescent="0.3">
      <c r="A200" s="191" t="s">
        <v>888</v>
      </c>
      <c r="B200" s="191" t="s">
        <v>889</v>
      </c>
      <c r="C200" s="192" t="s">
        <v>873</v>
      </c>
      <c r="D200" s="201" t="s">
        <v>874</v>
      </c>
      <c r="E200" s="192">
        <v>115.6</v>
      </c>
      <c r="F200" s="192">
        <v>90.2</v>
      </c>
      <c r="G200" s="192">
        <v>102.7</v>
      </c>
    </row>
    <row r="201" spans="1:7" x14ac:dyDescent="0.3">
      <c r="A201" s="191" t="s">
        <v>888</v>
      </c>
      <c r="B201" s="191" t="s">
        <v>889</v>
      </c>
      <c r="C201" s="192" t="s">
        <v>875</v>
      </c>
      <c r="D201" s="201" t="s">
        <v>876</v>
      </c>
      <c r="E201" s="192">
        <v>114.4</v>
      </c>
      <c r="F201" s="192">
        <v>77.8</v>
      </c>
      <c r="G201" s="192">
        <v>98.3</v>
      </c>
    </row>
    <row r="202" spans="1:7" x14ac:dyDescent="0.3">
      <c r="A202" s="191" t="s">
        <v>837</v>
      </c>
      <c r="B202" s="191" t="s">
        <v>890</v>
      </c>
      <c r="C202" s="192" t="s">
        <v>1301</v>
      </c>
      <c r="D202" s="202" t="s">
        <v>1599</v>
      </c>
      <c r="E202" s="192">
        <v>0</v>
      </c>
      <c r="F202" s="192">
        <v>101.8</v>
      </c>
      <c r="G202" s="192">
        <v>101.8</v>
      </c>
    </row>
    <row r="203" spans="1:7" x14ac:dyDescent="0.3">
      <c r="A203" s="191" t="s">
        <v>837</v>
      </c>
      <c r="B203" s="191" t="s">
        <v>890</v>
      </c>
      <c r="C203" s="192" t="s">
        <v>839</v>
      </c>
      <c r="D203" s="201" t="s">
        <v>840</v>
      </c>
      <c r="E203" s="192">
        <v>99.7</v>
      </c>
      <c r="F203" s="192">
        <v>100.9</v>
      </c>
      <c r="G203" s="192">
        <v>100.6</v>
      </c>
    </row>
    <row r="204" spans="1:7" x14ac:dyDescent="0.3">
      <c r="A204" s="191" t="s">
        <v>837</v>
      </c>
      <c r="B204" s="191" t="s">
        <v>890</v>
      </c>
      <c r="C204" s="192" t="s">
        <v>841</v>
      </c>
      <c r="D204" s="201" t="s">
        <v>842</v>
      </c>
      <c r="E204" s="192">
        <v>110.9</v>
      </c>
      <c r="F204" s="192">
        <v>91.6</v>
      </c>
      <c r="G204" s="192">
        <v>94.2</v>
      </c>
    </row>
    <row r="205" spans="1:7" x14ac:dyDescent="0.3">
      <c r="A205" s="191" t="s">
        <v>837</v>
      </c>
      <c r="B205" s="191" t="s">
        <v>890</v>
      </c>
      <c r="C205" s="192" t="s">
        <v>843</v>
      </c>
      <c r="D205" s="201" t="s">
        <v>844</v>
      </c>
      <c r="E205" s="192">
        <v>97.6</v>
      </c>
      <c r="F205" s="192">
        <v>90.9</v>
      </c>
      <c r="G205" s="192">
        <v>94.2</v>
      </c>
    </row>
    <row r="206" spans="1:7" x14ac:dyDescent="0.3">
      <c r="A206" s="191" t="s">
        <v>837</v>
      </c>
      <c r="B206" s="191" t="s">
        <v>890</v>
      </c>
      <c r="C206" s="192" t="s">
        <v>845</v>
      </c>
      <c r="D206" s="201" t="s">
        <v>846</v>
      </c>
      <c r="E206" s="192">
        <v>120.4</v>
      </c>
      <c r="F206" s="192">
        <v>99.6</v>
      </c>
      <c r="G206" s="192">
        <v>112.2</v>
      </c>
    </row>
    <row r="207" spans="1:7" x14ac:dyDescent="0.3">
      <c r="A207" s="191" t="s">
        <v>837</v>
      </c>
      <c r="B207" s="191" t="s">
        <v>890</v>
      </c>
      <c r="C207" s="192" t="s">
        <v>847</v>
      </c>
      <c r="D207" s="201" t="s">
        <v>848</v>
      </c>
      <c r="E207" s="192">
        <v>105.6</v>
      </c>
      <c r="F207" s="192">
        <v>94.2</v>
      </c>
      <c r="G207" s="192">
        <v>100.1</v>
      </c>
    </row>
    <row r="208" spans="1:7" x14ac:dyDescent="0.3">
      <c r="A208" s="191" t="s">
        <v>837</v>
      </c>
      <c r="B208" s="191" t="s">
        <v>890</v>
      </c>
      <c r="C208" s="192" t="s">
        <v>849</v>
      </c>
      <c r="D208" s="201" t="s">
        <v>850</v>
      </c>
      <c r="E208" s="192">
        <v>148</v>
      </c>
      <c r="F208" s="192">
        <v>100.3</v>
      </c>
      <c r="G208" s="192">
        <v>118.6</v>
      </c>
    </row>
    <row r="209" spans="1:7" x14ac:dyDescent="0.3">
      <c r="A209" s="191" t="s">
        <v>837</v>
      </c>
      <c r="B209" s="191" t="s">
        <v>890</v>
      </c>
      <c r="C209" s="192" t="s">
        <v>851</v>
      </c>
      <c r="D209" s="201" t="s">
        <v>852</v>
      </c>
      <c r="E209" s="192">
        <v>107.6</v>
      </c>
      <c r="F209" s="192">
        <v>91.8</v>
      </c>
      <c r="G209" s="192">
        <v>102.6</v>
      </c>
    </row>
    <row r="210" spans="1:7" x14ac:dyDescent="0.3">
      <c r="A210" s="191" t="s">
        <v>837</v>
      </c>
      <c r="B210" s="191" t="s">
        <v>890</v>
      </c>
      <c r="C210" s="192" t="s">
        <v>853</v>
      </c>
      <c r="D210" s="201" t="s">
        <v>854</v>
      </c>
      <c r="E210" s="192">
        <v>106.9</v>
      </c>
      <c r="F210" s="192">
        <v>90.7</v>
      </c>
      <c r="G210" s="192">
        <v>97.9</v>
      </c>
    </row>
    <row r="211" spans="1:7" x14ac:dyDescent="0.3">
      <c r="A211" s="191" t="s">
        <v>837</v>
      </c>
      <c r="B211" s="191" t="s">
        <v>890</v>
      </c>
      <c r="C211" s="192" t="s">
        <v>855</v>
      </c>
      <c r="D211" s="201" t="s">
        <v>856</v>
      </c>
      <c r="E211" s="192">
        <v>111.2</v>
      </c>
      <c r="F211" s="192">
        <v>94.3</v>
      </c>
      <c r="G211" s="192">
        <v>104.2</v>
      </c>
    </row>
    <row r="212" spans="1:7" x14ac:dyDescent="0.3">
      <c r="A212" s="191" t="s">
        <v>837</v>
      </c>
      <c r="B212" s="191" t="s">
        <v>890</v>
      </c>
      <c r="C212" s="192" t="s">
        <v>857</v>
      </c>
      <c r="D212" s="201" t="s">
        <v>858</v>
      </c>
      <c r="E212" s="192">
        <v>85.9</v>
      </c>
      <c r="F212" s="192">
        <v>88.1</v>
      </c>
      <c r="G212" s="192">
        <v>86.4</v>
      </c>
    </row>
    <row r="213" spans="1:7" x14ac:dyDescent="0.3">
      <c r="A213" s="191" t="s">
        <v>837</v>
      </c>
      <c r="B213" s="191" t="s">
        <v>890</v>
      </c>
      <c r="C213" s="192" t="s">
        <v>859</v>
      </c>
      <c r="D213" s="201" t="s">
        <v>860</v>
      </c>
      <c r="E213" s="192">
        <v>97.9</v>
      </c>
      <c r="F213" s="192">
        <v>90.4</v>
      </c>
      <c r="G213" s="192">
        <v>92.9</v>
      </c>
    </row>
    <row r="214" spans="1:7" x14ac:dyDescent="0.3">
      <c r="A214" s="191" t="s">
        <v>837</v>
      </c>
      <c r="B214" s="191" t="s">
        <v>890</v>
      </c>
      <c r="C214" s="192" t="s">
        <v>861</v>
      </c>
      <c r="D214" s="201" t="s">
        <v>862</v>
      </c>
      <c r="E214" s="192">
        <v>98.4</v>
      </c>
      <c r="F214" s="192">
        <v>90.4</v>
      </c>
      <c r="G214" s="192">
        <v>93.1</v>
      </c>
    </row>
    <row r="215" spans="1:7" x14ac:dyDescent="0.3">
      <c r="A215" s="191" t="s">
        <v>837</v>
      </c>
      <c r="B215" s="191" t="s">
        <v>890</v>
      </c>
      <c r="C215" s="192" t="s">
        <v>863</v>
      </c>
      <c r="D215" s="201" t="s">
        <v>864</v>
      </c>
      <c r="E215" s="192">
        <v>108.4</v>
      </c>
      <c r="F215" s="192">
        <v>97.3</v>
      </c>
      <c r="G215" s="192">
        <v>105.2</v>
      </c>
    </row>
    <row r="216" spans="1:7" x14ac:dyDescent="0.3">
      <c r="A216" s="191" t="s">
        <v>837</v>
      </c>
      <c r="B216" s="191" t="s">
        <v>890</v>
      </c>
      <c r="C216" s="192" t="s">
        <v>865</v>
      </c>
      <c r="D216" s="201" t="s">
        <v>866</v>
      </c>
      <c r="E216" s="192">
        <v>106.2</v>
      </c>
      <c r="F216" s="192">
        <v>116</v>
      </c>
      <c r="G216" s="192">
        <v>111.9</v>
      </c>
    </row>
    <row r="217" spans="1:7" x14ac:dyDescent="0.3">
      <c r="A217" s="191" t="s">
        <v>837</v>
      </c>
      <c r="B217" s="191" t="s">
        <v>890</v>
      </c>
      <c r="C217" s="192" t="s">
        <v>867</v>
      </c>
      <c r="D217" s="201" t="s">
        <v>868</v>
      </c>
      <c r="E217" s="192">
        <v>102.5</v>
      </c>
      <c r="F217" s="192">
        <v>95.4</v>
      </c>
      <c r="G217" s="192">
        <v>98.6</v>
      </c>
    </row>
    <row r="218" spans="1:7" x14ac:dyDescent="0.3">
      <c r="A218" s="191" t="s">
        <v>837</v>
      </c>
      <c r="B218" s="191" t="s">
        <v>890</v>
      </c>
      <c r="C218" s="192" t="s">
        <v>869</v>
      </c>
      <c r="D218" s="201" t="s">
        <v>870</v>
      </c>
      <c r="E218" s="192">
        <v>131.1</v>
      </c>
      <c r="F218" s="192">
        <v>74.400000000000006</v>
      </c>
      <c r="G218" s="192">
        <v>118.8</v>
      </c>
    </row>
    <row r="219" spans="1:7" x14ac:dyDescent="0.3">
      <c r="A219" s="191" t="s">
        <v>837</v>
      </c>
      <c r="B219" s="191" t="s">
        <v>890</v>
      </c>
      <c r="C219" s="192" t="s">
        <v>871</v>
      </c>
      <c r="D219" s="201" t="s">
        <v>872</v>
      </c>
      <c r="E219" s="192">
        <v>104.7</v>
      </c>
      <c r="F219" s="192">
        <v>86.9</v>
      </c>
      <c r="G219" s="192">
        <v>97.2</v>
      </c>
    </row>
    <row r="220" spans="1:7" x14ac:dyDescent="0.3">
      <c r="A220" s="191" t="s">
        <v>837</v>
      </c>
      <c r="B220" s="191" t="s">
        <v>890</v>
      </c>
      <c r="C220" s="192" t="s">
        <v>873</v>
      </c>
      <c r="D220" s="201" t="s">
        <v>874</v>
      </c>
      <c r="E220" s="192">
        <v>107.7</v>
      </c>
      <c r="F220" s="192">
        <v>98.1</v>
      </c>
      <c r="G220" s="192">
        <v>102.8</v>
      </c>
    </row>
    <row r="221" spans="1:7" x14ac:dyDescent="0.3">
      <c r="A221" s="191" t="s">
        <v>837</v>
      </c>
      <c r="B221" s="191" t="s">
        <v>890</v>
      </c>
      <c r="C221" s="192" t="s">
        <v>875</v>
      </c>
      <c r="D221" s="201" t="s">
        <v>876</v>
      </c>
      <c r="E221" s="192">
        <v>107.8</v>
      </c>
      <c r="F221" s="192">
        <v>93.3</v>
      </c>
      <c r="G221" s="192">
        <v>101.5</v>
      </c>
    </row>
    <row r="222" spans="1:7" x14ac:dyDescent="0.3">
      <c r="A222" s="191" t="s">
        <v>837</v>
      </c>
      <c r="B222" s="191" t="s">
        <v>891</v>
      </c>
      <c r="C222" s="192" t="s">
        <v>1301</v>
      </c>
      <c r="D222" s="202" t="s">
        <v>1599</v>
      </c>
      <c r="E222" s="192">
        <v>0</v>
      </c>
      <c r="F222" s="192">
        <v>101.8</v>
      </c>
      <c r="G222" s="192">
        <v>101.8</v>
      </c>
    </row>
    <row r="223" spans="1:7" x14ac:dyDescent="0.3">
      <c r="A223" s="191" t="s">
        <v>837</v>
      </c>
      <c r="B223" s="191" t="s">
        <v>891</v>
      </c>
      <c r="C223" s="192" t="s">
        <v>839</v>
      </c>
      <c r="D223" s="201" t="s">
        <v>840</v>
      </c>
      <c r="E223" s="192">
        <v>104.6</v>
      </c>
      <c r="F223" s="192">
        <v>100.8</v>
      </c>
      <c r="G223" s="192">
        <v>101.9</v>
      </c>
    </row>
    <row r="224" spans="1:7" x14ac:dyDescent="0.3">
      <c r="A224" s="191" t="s">
        <v>837</v>
      </c>
      <c r="B224" s="191" t="s">
        <v>891</v>
      </c>
      <c r="C224" s="192" t="s">
        <v>841</v>
      </c>
      <c r="D224" s="201" t="s">
        <v>842</v>
      </c>
      <c r="E224" s="192">
        <v>118.3</v>
      </c>
      <c r="F224" s="192">
        <v>89.6</v>
      </c>
      <c r="G224" s="192">
        <v>93.5</v>
      </c>
    </row>
    <row r="225" spans="1:7" x14ac:dyDescent="0.3">
      <c r="A225" s="191" t="s">
        <v>837</v>
      </c>
      <c r="B225" s="191" t="s">
        <v>891</v>
      </c>
      <c r="C225" s="192" t="s">
        <v>843</v>
      </c>
      <c r="D225" s="201" t="s">
        <v>844</v>
      </c>
      <c r="E225" s="192">
        <v>87.3</v>
      </c>
      <c r="F225" s="192">
        <v>89.8</v>
      </c>
      <c r="G225" s="192">
        <v>88.6</v>
      </c>
    </row>
    <row r="226" spans="1:7" x14ac:dyDescent="0.3">
      <c r="A226" s="191" t="s">
        <v>837</v>
      </c>
      <c r="B226" s="191" t="s">
        <v>891</v>
      </c>
      <c r="C226" s="192" t="s">
        <v>845</v>
      </c>
      <c r="D226" s="201" t="s">
        <v>846</v>
      </c>
      <c r="E226" s="192">
        <v>132.5</v>
      </c>
      <c r="F226" s="192">
        <v>98.7</v>
      </c>
      <c r="G226" s="192">
        <v>119.1</v>
      </c>
    </row>
    <row r="227" spans="1:7" x14ac:dyDescent="0.3">
      <c r="A227" s="191" t="s">
        <v>837</v>
      </c>
      <c r="B227" s="191" t="s">
        <v>891</v>
      </c>
      <c r="C227" s="192" t="s">
        <v>847</v>
      </c>
      <c r="D227" s="201" t="s">
        <v>848</v>
      </c>
      <c r="E227" s="192">
        <v>113.4</v>
      </c>
      <c r="F227" s="192">
        <v>92.8</v>
      </c>
      <c r="G227" s="192">
        <v>103.4</v>
      </c>
    </row>
    <row r="228" spans="1:7" x14ac:dyDescent="0.3">
      <c r="A228" s="191" t="s">
        <v>837</v>
      </c>
      <c r="B228" s="191" t="s">
        <v>891</v>
      </c>
      <c r="C228" s="192" t="s">
        <v>849</v>
      </c>
      <c r="D228" s="201" t="s">
        <v>850</v>
      </c>
      <c r="E228" s="192">
        <v>148.6</v>
      </c>
      <c r="F228" s="192">
        <v>100.1</v>
      </c>
      <c r="G228" s="192">
        <v>118.8</v>
      </c>
    </row>
    <row r="229" spans="1:7" x14ac:dyDescent="0.3">
      <c r="A229" s="191" t="s">
        <v>837</v>
      </c>
      <c r="B229" s="191" t="s">
        <v>891</v>
      </c>
      <c r="C229" s="192" t="s">
        <v>851</v>
      </c>
      <c r="D229" s="201" t="s">
        <v>852</v>
      </c>
      <c r="E229" s="192">
        <v>107.4</v>
      </c>
      <c r="F229" s="192">
        <v>90.8</v>
      </c>
      <c r="G229" s="192">
        <v>102.1</v>
      </c>
    </row>
    <row r="230" spans="1:7" x14ac:dyDescent="0.3">
      <c r="A230" s="191" t="s">
        <v>837</v>
      </c>
      <c r="B230" s="191" t="s">
        <v>891</v>
      </c>
      <c r="C230" s="192" t="s">
        <v>853</v>
      </c>
      <c r="D230" s="201" t="s">
        <v>854</v>
      </c>
      <c r="E230" s="192">
        <v>115.8</v>
      </c>
      <c r="F230" s="192">
        <v>87.8</v>
      </c>
      <c r="G230" s="192">
        <v>100.2</v>
      </c>
    </row>
    <row r="231" spans="1:7" x14ac:dyDescent="0.3">
      <c r="A231" s="191" t="s">
        <v>837</v>
      </c>
      <c r="B231" s="191" t="s">
        <v>891</v>
      </c>
      <c r="C231" s="192" t="s">
        <v>855</v>
      </c>
      <c r="D231" s="201" t="s">
        <v>856</v>
      </c>
      <c r="E231" s="192">
        <v>111.5</v>
      </c>
      <c r="F231" s="192">
        <v>91.8</v>
      </c>
      <c r="G231" s="192">
        <v>103.3</v>
      </c>
    </row>
    <row r="232" spans="1:7" x14ac:dyDescent="0.3">
      <c r="A232" s="191" t="s">
        <v>837</v>
      </c>
      <c r="B232" s="191" t="s">
        <v>891</v>
      </c>
      <c r="C232" s="192" t="s">
        <v>857</v>
      </c>
      <c r="D232" s="201" t="s">
        <v>858</v>
      </c>
      <c r="E232" s="192">
        <v>85.1</v>
      </c>
      <c r="F232" s="192">
        <v>85.9</v>
      </c>
      <c r="G232" s="192">
        <v>85.3</v>
      </c>
    </row>
    <row r="233" spans="1:7" x14ac:dyDescent="0.3">
      <c r="A233" s="191" t="s">
        <v>837</v>
      </c>
      <c r="B233" s="191" t="s">
        <v>891</v>
      </c>
      <c r="C233" s="192" t="s">
        <v>859</v>
      </c>
      <c r="D233" s="201" t="s">
        <v>860</v>
      </c>
      <c r="E233" s="192">
        <v>123.8</v>
      </c>
      <c r="F233" s="192">
        <v>87.4</v>
      </c>
      <c r="G233" s="192">
        <v>99.5</v>
      </c>
    </row>
    <row r="234" spans="1:7" x14ac:dyDescent="0.3">
      <c r="A234" s="191" t="s">
        <v>837</v>
      </c>
      <c r="B234" s="191" t="s">
        <v>891</v>
      </c>
      <c r="C234" s="192" t="s">
        <v>861</v>
      </c>
      <c r="D234" s="201" t="s">
        <v>862</v>
      </c>
      <c r="E234" s="192">
        <v>93.5</v>
      </c>
      <c r="F234" s="192">
        <v>87.4</v>
      </c>
      <c r="G234" s="192">
        <v>89.4</v>
      </c>
    </row>
    <row r="235" spans="1:7" x14ac:dyDescent="0.3">
      <c r="A235" s="191" t="s">
        <v>837</v>
      </c>
      <c r="B235" s="191" t="s">
        <v>891</v>
      </c>
      <c r="C235" s="192" t="s">
        <v>863</v>
      </c>
      <c r="D235" s="201" t="s">
        <v>864</v>
      </c>
      <c r="E235" s="192">
        <v>112.8</v>
      </c>
      <c r="F235" s="192">
        <v>104.3</v>
      </c>
      <c r="G235" s="192">
        <v>110.3</v>
      </c>
    </row>
    <row r="236" spans="1:7" x14ac:dyDescent="0.3">
      <c r="A236" s="191" t="s">
        <v>837</v>
      </c>
      <c r="B236" s="191" t="s">
        <v>891</v>
      </c>
      <c r="C236" s="192" t="s">
        <v>865</v>
      </c>
      <c r="D236" s="201" t="s">
        <v>866</v>
      </c>
      <c r="E236" s="192">
        <v>106.2</v>
      </c>
      <c r="F236" s="192">
        <v>94.6</v>
      </c>
      <c r="G236" s="192">
        <v>99.4</v>
      </c>
    </row>
    <row r="237" spans="1:7" x14ac:dyDescent="0.3">
      <c r="A237" s="191" t="s">
        <v>837</v>
      </c>
      <c r="B237" s="191" t="s">
        <v>891</v>
      </c>
      <c r="C237" s="192" t="s">
        <v>867</v>
      </c>
      <c r="D237" s="201" t="s">
        <v>868</v>
      </c>
      <c r="E237" s="192">
        <v>106.8</v>
      </c>
      <c r="F237" s="192">
        <v>92.8</v>
      </c>
      <c r="G237" s="192">
        <v>99.1</v>
      </c>
    </row>
    <row r="238" spans="1:7" x14ac:dyDescent="0.3">
      <c r="A238" s="191" t="s">
        <v>837</v>
      </c>
      <c r="B238" s="191" t="s">
        <v>891</v>
      </c>
      <c r="C238" s="192" t="s">
        <v>869</v>
      </c>
      <c r="D238" s="201" t="s">
        <v>870</v>
      </c>
      <c r="E238" s="192">
        <v>131.1</v>
      </c>
      <c r="F238" s="192">
        <v>74.400000000000006</v>
      </c>
      <c r="G238" s="192">
        <v>118.9</v>
      </c>
    </row>
    <row r="239" spans="1:7" x14ac:dyDescent="0.3">
      <c r="A239" s="191" t="s">
        <v>837</v>
      </c>
      <c r="B239" s="191" t="s">
        <v>891</v>
      </c>
      <c r="C239" s="192" t="s">
        <v>871</v>
      </c>
      <c r="D239" s="201" t="s">
        <v>872</v>
      </c>
      <c r="E239" s="192">
        <v>104.7</v>
      </c>
      <c r="F239" s="192">
        <v>87</v>
      </c>
      <c r="G239" s="192">
        <v>97.2</v>
      </c>
    </row>
    <row r="240" spans="1:7" x14ac:dyDescent="0.3">
      <c r="A240" s="191" t="s">
        <v>837</v>
      </c>
      <c r="B240" s="191" t="s">
        <v>891</v>
      </c>
      <c r="C240" s="192" t="s">
        <v>873</v>
      </c>
      <c r="D240" s="201" t="s">
        <v>874</v>
      </c>
      <c r="E240" s="192">
        <v>106.3</v>
      </c>
      <c r="F240" s="192">
        <v>96.3</v>
      </c>
      <c r="G240" s="192">
        <v>101.2</v>
      </c>
    </row>
    <row r="241" spans="1:7" x14ac:dyDescent="0.3">
      <c r="A241" s="191" t="s">
        <v>837</v>
      </c>
      <c r="B241" s="191" t="s">
        <v>891</v>
      </c>
      <c r="C241" s="192" t="s">
        <v>875</v>
      </c>
      <c r="D241" s="201" t="s">
        <v>876</v>
      </c>
      <c r="E241" s="192">
        <v>109.1</v>
      </c>
      <c r="F241" s="192">
        <v>92.3</v>
      </c>
      <c r="G241" s="192">
        <v>101.7</v>
      </c>
    </row>
    <row r="242" spans="1:7" x14ac:dyDescent="0.3">
      <c r="A242" s="191" t="s">
        <v>892</v>
      </c>
      <c r="B242" s="191" t="s">
        <v>893</v>
      </c>
      <c r="C242" s="192" t="s">
        <v>1301</v>
      </c>
      <c r="D242" s="202" t="s">
        <v>1599</v>
      </c>
      <c r="E242" s="192">
        <v>0</v>
      </c>
      <c r="F242" s="192">
        <v>108.8</v>
      </c>
      <c r="G242" s="192">
        <v>108.7</v>
      </c>
    </row>
    <row r="243" spans="1:7" x14ac:dyDescent="0.3">
      <c r="A243" s="191" t="s">
        <v>892</v>
      </c>
      <c r="B243" s="191" t="s">
        <v>893</v>
      </c>
      <c r="C243" s="192" t="s">
        <v>839</v>
      </c>
      <c r="D243" s="201" t="s">
        <v>840</v>
      </c>
      <c r="E243" s="192">
        <v>123.8</v>
      </c>
      <c r="F243" s="192">
        <v>106.7</v>
      </c>
      <c r="G243" s="192">
        <v>111.7</v>
      </c>
    </row>
    <row r="244" spans="1:7" x14ac:dyDescent="0.3">
      <c r="A244" s="191" t="s">
        <v>892</v>
      </c>
      <c r="B244" s="191" t="s">
        <v>893</v>
      </c>
      <c r="C244" s="192" t="s">
        <v>841</v>
      </c>
      <c r="D244" s="201" t="s">
        <v>842</v>
      </c>
      <c r="E244" s="192">
        <v>111.3</v>
      </c>
      <c r="F244" s="192">
        <v>88.2</v>
      </c>
      <c r="G244" s="192">
        <v>91.3</v>
      </c>
    </row>
    <row r="245" spans="1:7" x14ac:dyDescent="0.3">
      <c r="A245" s="191" t="s">
        <v>892</v>
      </c>
      <c r="B245" s="191" t="s">
        <v>893</v>
      </c>
      <c r="C245" s="192" t="s">
        <v>843</v>
      </c>
      <c r="D245" s="201" t="s">
        <v>844</v>
      </c>
      <c r="E245" s="192">
        <v>108.4</v>
      </c>
      <c r="F245" s="192">
        <v>81</v>
      </c>
      <c r="G245" s="192">
        <v>94.2</v>
      </c>
    </row>
    <row r="246" spans="1:7" x14ac:dyDescent="0.3">
      <c r="A246" s="191" t="s">
        <v>892</v>
      </c>
      <c r="B246" s="191" t="s">
        <v>893</v>
      </c>
      <c r="C246" s="192" t="s">
        <v>845</v>
      </c>
      <c r="D246" s="201" t="s">
        <v>846</v>
      </c>
      <c r="E246" s="192">
        <v>135.30000000000001</v>
      </c>
      <c r="F246" s="192">
        <v>98</v>
      </c>
      <c r="G246" s="192">
        <v>120.6</v>
      </c>
    </row>
    <row r="247" spans="1:7" x14ac:dyDescent="0.3">
      <c r="A247" s="191" t="s">
        <v>892</v>
      </c>
      <c r="B247" s="191" t="s">
        <v>893</v>
      </c>
      <c r="C247" s="192" t="s">
        <v>847</v>
      </c>
      <c r="D247" s="201" t="s">
        <v>848</v>
      </c>
      <c r="E247" s="192">
        <v>147.5</v>
      </c>
      <c r="F247" s="192">
        <v>90.3</v>
      </c>
      <c r="G247" s="192">
        <v>119.7</v>
      </c>
    </row>
    <row r="248" spans="1:7" x14ac:dyDescent="0.3">
      <c r="A248" s="191" t="s">
        <v>892</v>
      </c>
      <c r="B248" s="191" t="s">
        <v>893</v>
      </c>
      <c r="C248" s="192" t="s">
        <v>849</v>
      </c>
      <c r="D248" s="201" t="s">
        <v>850</v>
      </c>
      <c r="E248" s="192">
        <v>174.8</v>
      </c>
      <c r="F248" s="192">
        <v>93.2</v>
      </c>
      <c r="G248" s="192">
        <v>124.5</v>
      </c>
    </row>
    <row r="249" spans="1:7" x14ac:dyDescent="0.3">
      <c r="A249" s="191" t="s">
        <v>892</v>
      </c>
      <c r="B249" s="191" t="s">
        <v>893</v>
      </c>
      <c r="C249" s="192" t="s">
        <v>851</v>
      </c>
      <c r="D249" s="201" t="s">
        <v>852</v>
      </c>
      <c r="E249" s="192">
        <v>109.1</v>
      </c>
      <c r="F249" s="192">
        <v>86.7</v>
      </c>
      <c r="G249" s="192">
        <v>102</v>
      </c>
    </row>
    <row r="250" spans="1:7" x14ac:dyDescent="0.3">
      <c r="A250" s="191" t="s">
        <v>892</v>
      </c>
      <c r="B250" s="191" t="s">
        <v>893</v>
      </c>
      <c r="C250" s="192" t="s">
        <v>853</v>
      </c>
      <c r="D250" s="201" t="s">
        <v>854</v>
      </c>
      <c r="E250" s="192">
        <v>103.3</v>
      </c>
      <c r="F250" s="192">
        <v>88.4</v>
      </c>
      <c r="G250" s="192">
        <v>95</v>
      </c>
    </row>
    <row r="251" spans="1:7" x14ac:dyDescent="0.3">
      <c r="A251" s="191" t="s">
        <v>892</v>
      </c>
      <c r="B251" s="191" t="s">
        <v>893</v>
      </c>
      <c r="C251" s="192" t="s">
        <v>855</v>
      </c>
      <c r="D251" s="201" t="s">
        <v>856</v>
      </c>
      <c r="E251" s="192">
        <v>120.1</v>
      </c>
      <c r="F251" s="192">
        <v>85.8</v>
      </c>
      <c r="G251" s="192">
        <v>105.8</v>
      </c>
    </row>
    <row r="252" spans="1:7" x14ac:dyDescent="0.3">
      <c r="A252" s="191" t="s">
        <v>892</v>
      </c>
      <c r="B252" s="191" t="s">
        <v>893</v>
      </c>
      <c r="C252" s="192" t="s">
        <v>857</v>
      </c>
      <c r="D252" s="201" t="s">
        <v>858</v>
      </c>
      <c r="E252" s="192">
        <v>91.7</v>
      </c>
      <c r="F252" s="192">
        <v>81.2</v>
      </c>
      <c r="G252" s="192">
        <v>89.3</v>
      </c>
    </row>
    <row r="253" spans="1:7" x14ac:dyDescent="0.3">
      <c r="A253" s="191" t="s">
        <v>892</v>
      </c>
      <c r="B253" s="191" t="s">
        <v>893</v>
      </c>
      <c r="C253" s="192" t="s">
        <v>859</v>
      </c>
      <c r="D253" s="201" t="s">
        <v>860</v>
      </c>
      <c r="E253" s="192">
        <v>108.3</v>
      </c>
      <c r="F253" s="192">
        <v>87.5</v>
      </c>
      <c r="G253" s="192">
        <v>94.4</v>
      </c>
    </row>
    <row r="254" spans="1:7" x14ac:dyDescent="0.3">
      <c r="A254" s="191" t="s">
        <v>892</v>
      </c>
      <c r="B254" s="191" t="s">
        <v>893</v>
      </c>
      <c r="C254" s="192" t="s">
        <v>861</v>
      </c>
      <c r="D254" s="201" t="s">
        <v>862</v>
      </c>
      <c r="E254" s="192">
        <v>101.3</v>
      </c>
      <c r="F254" s="192">
        <v>87.5</v>
      </c>
      <c r="G254" s="192">
        <v>92.2</v>
      </c>
    </row>
    <row r="255" spans="1:7" x14ac:dyDescent="0.3">
      <c r="A255" s="191" t="s">
        <v>892</v>
      </c>
      <c r="B255" s="191" t="s">
        <v>893</v>
      </c>
      <c r="C255" s="192" t="s">
        <v>863</v>
      </c>
      <c r="D255" s="201" t="s">
        <v>864</v>
      </c>
      <c r="E255" s="192">
        <v>120.2</v>
      </c>
      <c r="F255" s="192">
        <v>73.3</v>
      </c>
      <c r="G255" s="192">
        <v>106.7</v>
      </c>
    </row>
    <row r="256" spans="1:7" x14ac:dyDescent="0.3">
      <c r="A256" s="191" t="s">
        <v>892</v>
      </c>
      <c r="B256" s="191" t="s">
        <v>893</v>
      </c>
      <c r="C256" s="192" t="s">
        <v>865</v>
      </c>
      <c r="D256" s="201" t="s">
        <v>866</v>
      </c>
      <c r="E256" s="192">
        <v>115.5</v>
      </c>
      <c r="F256" s="192">
        <v>95.6</v>
      </c>
      <c r="G256" s="192">
        <v>103.9</v>
      </c>
    </row>
    <row r="257" spans="1:7" x14ac:dyDescent="0.3">
      <c r="A257" s="191" t="s">
        <v>892</v>
      </c>
      <c r="B257" s="191" t="s">
        <v>893</v>
      </c>
      <c r="C257" s="192" t="s">
        <v>867</v>
      </c>
      <c r="D257" s="201" t="s">
        <v>868</v>
      </c>
      <c r="E257" s="192">
        <v>113.7</v>
      </c>
      <c r="F257" s="192">
        <v>87</v>
      </c>
      <c r="G257" s="192">
        <v>99</v>
      </c>
    </row>
    <row r="258" spans="1:7" x14ac:dyDescent="0.3">
      <c r="A258" s="191" t="s">
        <v>892</v>
      </c>
      <c r="B258" s="191" t="s">
        <v>893</v>
      </c>
      <c r="C258" s="192" t="s">
        <v>869</v>
      </c>
      <c r="D258" s="201" t="s">
        <v>870</v>
      </c>
      <c r="E258" s="192">
        <v>131.1</v>
      </c>
      <c r="F258" s="192">
        <v>69.7</v>
      </c>
      <c r="G258" s="192">
        <v>117.8</v>
      </c>
    </row>
    <row r="259" spans="1:7" x14ac:dyDescent="0.3">
      <c r="A259" s="191" t="s">
        <v>892</v>
      </c>
      <c r="B259" s="191" t="s">
        <v>893</v>
      </c>
      <c r="C259" s="192" t="s">
        <v>871</v>
      </c>
      <c r="D259" s="201" t="s">
        <v>872</v>
      </c>
      <c r="E259" s="192">
        <v>103.6</v>
      </c>
      <c r="F259" s="192">
        <v>80.099999999999994</v>
      </c>
      <c r="G259" s="192">
        <v>93.7</v>
      </c>
    </row>
    <row r="260" spans="1:7" x14ac:dyDescent="0.3">
      <c r="A260" s="191" t="s">
        <v>892</v>
      </c>
      <c r="B260" s="191" t="s">
        <v>893</v>
      </c>
      <c r="C260" s="192" t="s">
        <v>873</v>
      </c>
      <c r="D260" s="201" t="s">
        <v>874</v>
      </c>
      <c r="E260" s="192">
        <v>110.3</v>
      </c>
      <c r="F260" s="192">
        <v>82.1</v>
      </c>
      <c r="G260" s="192">
        <v>96</v>
      </c>
    </row>
    <row r="261" spans="1:7" x14ac:dyDescent="0.3">
      <c r="A261" s="191" t="s">
        <v>892</v>
      </c>
      <c r="B261" s="191" t="s">
        <v>893</v>
      </c>
      <c r="C261" s="192" t="s">
        <v>875</v>
      </c>
      <c r="D261" s="201" t="s">
        <v>876</v>
      </c>
      <c r="E261" s="192">
        <v>116.6</v>
      </c>
      <c r="F261" s="192">
        <v>86.7</v>
      </c>
      <c r="G261" s="192">
        <v>103.4</v>
      </c>
    </row>
    <row r="262" spans="1:7" x14ac:dyDescent="0.3">
      <c r="A262" s="191" t="s">
        <v>888</v>
      </c>
      <c r="B262" s="191" t="s">
        <v>894</v>
      </c>
      <c r="C262" s="192" t="s">
        <v>1301</v>
      </c>
      <c r="D262" s="202" t="s">
        <v>1599</v>
      </c>
      <c r="E262" s="192">
        <v>0</v>
      </c>
      <c r="F262" s="192">
        <v>101.6</v>
      </c>
      <c r="G262" s="192">
        <v>101.6</v>
      </c>
    </row>
    <row r="263" spans="1:7" x14ac:dyDescent="0.3">
      <c r="A263" s="191" t="s">
        <v>888</v>
      </c>
      <c r="B263" s="191" t="s">
        <v>894</v>
      </c>
      <c r="C263" s="192" t="s">
        <v>839</v>
      </c>
      <c r="D263" s="201" t="s">
        <v>840</v>
      </c>
      <c r="E263" s="192">
        <v>105</v>
      </c>
      <c r="F263" s="192">
        <v>95.8</v>
      </c>
      <c r="G263" s="192">
        <v>98.5</v>
      </c>
    </row>
    <row r="264" spans="1:7" x14ac:dyDescent="0.3">
      <c r="A264" s="191" t="s">
        <v>888</v>
      </c>
      <c r="B264" s="191" t="s">
        <v>894</v>
      </c>
      <c r="C264" s="192" t="s">
        <v>841</v>
      </c>
      <c r="D264" s="201" t="s">
        <v>842</v>
      </c>
      <c r="E264" s="192">
        <v>103.7</v>
      </c>
      <c r="F264" s="192">
        <v>61.8</v>
      </c>
      <c r="G264" s="192">
        <v>67.400000000000006</v>
      </c>
    </row>
    <row r="265" spans="1:7" x14ac:dyDescent="0.3">
      <c r="A265" s="191" t="s">
        <v>888</v>
      </c>
      <c r="B265" s="191" t="s">
        <v>894</v>
      </c>
      <c r="C265" s="192" t="s">
        <v>843</v>
      </c>
      <c r="D265" s="201" t="s">
        <v>844</v>
      </c>
      <c r="E265" s="192">
        <v>136.4</v>
      </c>
      <c r="F265" s="192">
        <v>55.9</v>
      </c>
      <c r="G265" s="192">
        <v>94.7</v>
      </c>
    </row>
    <row r="266" spans="1:7" x14ac:dyDescent="0.3">
      <c r="A266" s="191" t="s">
        <v>888</v>
      </c>
      <c r="B266" s="191" t="s">
        <v>894</v>
      </c>
      <c r="C266" s="192" t="s">
        <v>845</v>
      </c>
      <c r="D266" s="201" t="s">
        <v>846</v>
      </c>
      <c r="E266" s="192">
        <v>130.5</v>
      </c>
      <c r="F266" s="192">
        <v>61</v>
      </c>
      <c r="G266" s="192">
        <v>103.1</v>
      </c>
    </row>
    <row r="267" spans="1:7" x14ac:dyDescent="0.3">
      <c r="A267" s="191" t="s">
        <v>888</v>
      </c>
      <c r="B267" s="191" t="s">
        <v>894</v>
      </c>
      <c r="C267" s="192" t="s">
        <v>847</v>
      </c>
      <c r="D267" s="201" t="s">
        <v>848</v>
      </c>
      <c r="E267" s="192">
        <v>123.6</v>
      </c>
      <c r="F267" s="192">
        <v>61.2</v>
      </c>
      <c r="G267" s="192">
        <v>93.3</v>
      </c>
    </row>
    <row r="268" spans="1:7" x14ac:dyDescent="0.3">
      <c r="A268" s="191" t="s">
        <v>888</v>
      </c>
      <c r="B268" s="191" t="s">
        <v>894</v>
      </c>
      <c r="C268" s="192" t="s">
        <v>849</v>
      </c>
      <c r="D268" s="201" t="s">
        <v>850</v>
      </c>
      <c r="E268" s="192">
        <v>161.5</v>
      </c>
      <c r="F268" s="192">
        <v>64.7</v>
      </c>
      <c r="G268" s="192">
        <v>101.8</v>
      </c>
    </row>
    <row r="269" spans="1:7" x14ac:dyDescent="0.3">
      <c r="A269" s="191" t="s">
        <v>888</v>
      </c>
      <c r="B269" s="191" t="s">
        <v>894</v>
      </c>
      <c r="C269" s="192" t="s">
        <v>851</v>
      </c>
      <c r="D269" s="201" t="s">
        <v>852</v>
      </c>
      <c r="E269" s="192">
        <v>109.9</v>
      </c>
      <c r="F269" s="192">
        <v>71.599999999999994</v>
      </c>
      <c r="G269" s="192">
        <v>97.7</v>
      </c>
    </row>
    <row r="270" spans="1:7" x14ac:dyDescent="0.3">
      <c r="A270" s="191" t="s">
        <v>888</v>
      </c>
      <c r="B270" s="191" t="s">
        <v>894</v>
      </c>
      <c r="C270" s="192" t="s">
        <v>853</v>
      </c>
      <c r="D270" s="201" t="s">
        <v>854</v>
      </c>
      <c r="E270" s="192">
        <v>100</v>
      </c>
      <c r="F270" s="192">
        <v>61.8</v>
      </c>
      <c r="G270" s="192">
        <v>78.7</v>
      </c>
    </row>
    <row r="271" spans="1:7" x14ac:dyDescent="0.3">
      <c r="A271" s="191" t="s">
        <v>888</v>
      </c>
      <c r="B271" s="191" t="s">
        <v>894</v>
      </c>
      <c r="C271" s="192" t="s">
        <v>855</v>
      </c>
      <c r="D271" s="201" t="s">
        <v>856</v>
      </c>
      <c r="E271" s="192">
        <v>109.4</v>
      </c>
      <c r="F271" s="192">
        <v>60.9</v>
      </c>
      <c r="G271" s="192">
        <v>89.1</v>
      </c>
    </row>
    <row r="272" spans="1:7" x14ac:dyDescent="0.3">
      <c r="A272" s="191" t="s">
        <v>888</v>
      </c>
      <c r="B272" s="191" t="s">
        <v>894</v>
      </c>
      <c r="C272" s="192" t="s">
        <v>857</v>
      </c>
      <c r="D272" s="201" t="s">
        <v>858</v>
      </c>
      <c r="E272" s="192">
        <v>89.3</v>
      </c>
      <c r="F272" s="192">
        <v>54.3</v>
      </c>
      <c r="G272" s="192">
        <v>81.2</v>
      </c>
    </row>
    <row r="273" spans="1:7" x14ac:dyDescent="0.3">
      <c r="A273" s="191" t="s">
        <v>888</v>
      </c>
      <c r="B273" s="191" t="s">
        <v>894</v>
      </c>
      <c r="C273" s="192" t="s">
        <v>859</v>
      </c>
      <c r="D273" s="201" t="s">
        <v>860</v>
      </c>
      <c r="E273" s="192">
        <v>121.2</v>
      </c>
      <c r="F273" s="192">
        <v>60.6</v>
      </c>
      <c r="G273" s="192">
        <v>80.7</v>
      </c>
    </row>
    <row r="274" spans="1:7" x14ac:dyDescent="0.3">
      <c r="A274" s="191" t="s">
        <v>888</v>
      </c>
      <c r="B274" s="191" t="s">
        <v>894</v>
      </c>
      <c r="C274" s="192" t="s">
        <v>861</v>
      </c>
      <c r="D274" s="201" t="s">
        <v>862</v>
      </c>
      <c r="E274" s="192">
        <v>108</v>
      </c>
      <c r="F274" s="192">
        <v>60.6</v>
      </c>
      <c r="G274" s="192">
        <v>76.599999999999994</v>
      </c>
    </row>
    <row r="275" spans="1:7" x14ac:dyDescent="0.3">
      <c r="A275" s="191" t="s">
        <v>888</v>
      </c>
      <c r="B275" s="191" t="s">
        <v>894</v>
      </c>
      <c r="C275" s="192" t="s">
        <v>863</v>
      </c>
      <c r="D275" s="201" t="s">
        <v>864</v>
      </c>
      <c r="E275" s="192">
        <v>107.8</v>
      </c>
      <c r="F275" s="192">
        <v>45.3</v>
      </c>
      <c r="G275" s="192">
        <v>89.9</v>
      </c>
    </row>
    <row r="276" spans="1:7" x14ac:dyDescent="0.3">
      <c r="A276" s="191" t="s">
        <v>888</v>
      </c>
      <c r="B276" s="191" t="s">
        <v>894</v>
      </c>
      <c r="C276" s="192" t="s">
        <v>865</v>
      </c>
      <c r="D276" s="201" t="s">
        <v>866</v>
      </c>
      <c r="E276" s="192">
        <v>113.2</v>
      </c>
      <c r="F276" s="192">
        <v>51.6</v>
      </c>
      <c r="G276" s="192">
        <v>77.400000000000006</v>
      </c>
    </row>
    <row r="277" spans="1:7" x14ac:dyDescent="0.3">
      <c r="A277" s="191" t="s">
        <v>888</v>
      </c>
      <c r="B277" s="191" t="s">
        <v>894</v>
      </c>
      <c r="C277" s="192" t="s">
        <v>867</v>
      </c>
      <c r="D277" s="201" t="s">
        <v>868</v>
      </c>
      <c r="E277" s="192">
        <v>109.7</v>
      </c>
      <c r="F277" s="192">
        <v>57.9</v>
      </c>
      <c r="G277" s="192">
        <v>81.099999999999994</v>
      </c>
    </row>
    <row r="278" spans="1:7" x14ac:dyDescent="0.3">
      <c r="A278" s="191" t="s">
        <v>888</v>
      </c>
      <c r="B278" s="191" t="s">
        <v>894</v>
      </c>
      <c r="C278" s="192" t="s">
        <v>869</v>
      </c>
      <c r="D278" s="201" t="s">
        <v>870</v>
      </c>
      <c r="E278" s="192">
        <v>131.1</v>
      </c>
      <c r="F278" s="192">
        <v>63.4</v>
      </c>
      <c r="G278" s="192">
        <v>116.5</v>
      </c>
    </row>
    <row r="279" spans="1:7" x14ac:dyDescent="0.3">
      <c r="A279" s="191" t="s">
        <v>888</v>
      </c>
      <c r="B279" s="191" t="s">
        <v>894</v>
      </c>
      <c r="C279" s="192" t="s">
        <v>871</v>
      </c>
      <c r="D279" s="201" t="s">
        <v>872</v>
      </c>
      <c r="E279" s="192">
        <v>103.6</v>
      </c>
      <c r="F279" s="192">
        <v>69</v>
      </c>
      <c r="G279" s="192">
        <v>89</v>
      </c>
    </row>
    <row r="280" spans="1:7" x14ac:dyDescent="0.3">
      <c r="A280" s="191" t="s">
        <v>888</v>
      </c>
      <c r="B280" s="191" t="s">
        <v>894</v>
      </c>
      <c r="C280" s="192" t="s">
        <v>873</v>
      </c>
      <c r="D280" s="201" t="s">
        <v>874</v>
      </c>
      <c r="E280" s="192">
        <v>109.3</v>
      </c>
      <c r="F280" s="192">
        <v>61.4</v>
      </c>
      <c r="G280" s="192">
        <v>85.1</v>
      </c>
    </row>
    <row r="281" spans="1:7" x14ac:dyDescent="0.3">
      <c r="A281" s="191" t="s">
        <v>888</v>
      </c>
      <c r="B281" s="191" t="s">
        <v>894</v>
      </c>
      <c r="C281" s="192" t="s">
        <v>875</v>
      </c>
      <c r="D281" s="201" t="s">
        <v>876</v>
      </c>
      <c r="E281" s="192">
        <v>111.8</v>
      </c>
      <c r="F281" s="192">
        <v>66.3</v>
      </c>
      <c r="G281" s="192">
        <v>91.8</v>
      </c>
    </row>
    <row r="282" spans="1:7" x14ac:dyDescent="0.3">
      <c r="A282" s="191" t="s">
        <v>837</v>
      </c>
      <c r="B282" s="191" t="s">
        <v>895</v>
      </c>
      <c r="C282" s="192" t="s">
        <v>1301</v>
      </c>
      <c r="D282" s="202" t="s">
        <v>1599</v>
      </c>
      <c r="E282" s="192">
        <v>0</v>
      </c>
      <c r="F282" s="192">
        <v>101.8</v>
      </c>
      <c r="G282" s="192">
        <v>101.8</v>
      </c>
    </row>
    <row r="283" spans="1:7" x14ac:dyDescent="0.3">
      <c r="A283" s="191" t="s">
        <v>837</v>
      </c>
      <c r="B283" s="191" t="s">
        <v>895</v>
      </c>
      <c r="C283" s="192" t="s">
        <v>839</v>
      </c>
      <c r="D283" s="201" t="s">
        <v>840</v>
      </c>
      <c r="E283" s="192">
        <v>119.2</v>
      </c>
      <c r="F283" s="192">
        <v>100.2</v>
      </c>
      <c r="G283" s="192">
        <v>105.8</v>
      </c>
    </row>
    <row r="284" spans="1:7" x14ac:dyDescent="0.3">
      <c r="A284" s="191" t="s">
        <v>837</v>
      </c>
      <c r="B284" s="191" t="s">
        <v>895</v>
      </c>
      <c r="C284" s="192" t="s">
        <v>841</v>
      </c>
      <c r="D284" s="201" t="s">
        <v>842</v>
      </c>
      <c r="E284" s="192">
        <v>124.1</v>
      </c>
      <c r="F284" s="192">
        <v>94.1</v>
      </c>
      <c r="G284" s="192">
        <v>98.2</v>
      </c>
    </row>
    <row r="285" spans="1:7" x14ac:dyDescent="0.3">
      <c r="A285" s="191" t="s">
        <v>837</v>
      </c>
      <c r="B285" s="191" t="s">
        <v>895</v>
      </c>
      <c r="C285" s="192" t="s">
        <v>843</v>
      </c>
      <c r="D285" s="201" t="s">
        <v>844</v>
      </c>
      <c r="E285" s="192">
        <v>160.69999999999999</v>
      </c>
      <c r="F285" s="192">
        <v>81.599999999999994</v>
      </c>
      <c r="G285" s="192">
        <v>119.7</v>
      </c>
    </row>
    <row r="286" spans="1:7" x14ac:dyDescent="0.3">
      <c r="A286" s="191" t="s">
        <v>837</v>
      </c>
      <c r="B286" s="191" t="s">
        <v>895</v>
      </c>
      <c r="C286" s="192" t="s">
        <v>845</v>
      </c>
      <c r="D286" s="201" t="s">
        <v>846</v>
      </c>
      <c r="E286" s="192">
        <v>150</v>
      </c>
      <c r="F286" s="192">
        <v>109.2</v>
      </c>
      <c r="G286" s="192">
        <v>133.9</v>
      </c>
    </row>
    <row r="287" spans="1:7" x14ac:dyDescent="0.3">
      <c r="A287" s="191" t="s">
        <v>837</v>
      </c>
      <c r="B287" s="191" t="s">
        <v>895</v>
      </c>
      <c r="C287" s="192" t="s">
        <v>847</v>
      </c>
      <c r="D287" s="201" t="s">
        <v>848</v>
      </c>
      <c r="E287" s="192">
        <v>139.30000000000001</v>
      </c>
      <c r="F287" s="192">
        <v>97</v>
      </c>
      <c r="G287" s="192">
        <v>118.7</v>
      </c>
    </row>
    <row r="288" spans="1:7" x14ac:dyDescent="0.3">
      <c r="A288" s="191" t="s">
        <v>837</v>
      </c>
      <c r="B288" s="191" t="s">
        <v>895</v>
      </c>
      <c r="C288" s="192" t="s">
        <v>849</v>
      </c>
      <c r="D288" s="201" t="s">
        <v>850</v>
      </c>
      <c r="E288" s="192">
        <v>169.6</v>
      </c>
      <c r="F288" s="192">
        <v>102.1</v>
      </c>
      <c r="G288" s="192">
        <v>128</v>
      </c>
    </row>
    <row r="289" spans="1:7" x14ac:dyDescent="0.3">
      <c r="A289" s="191" t="s">
        <v>837</v>
      </c>
      <c r="B289" s="191" t="s">
        <v>895</v>
      </c>
      <c r="C289" s="192" t="s">
        <v>851</v>
      </c>
      <c r="D289" s="201" t="s">
        <v>852</v>
      </c>
      <c r="E289" s="192">
        <v>110.2</v>
      </c>
      <c r="F289" s="192">
        <v>90.3</v>
      </c>
      <c r="G289" s="192">
        <v>103.9</v>
      </c>
    </row>
    <row r="290" spans="1:7" x14ac:dyDescent="0.3">
      <c r="A290" s="191" t="s">
        <v>837</v>
      </c>
      <c r="B290" s="191" t="s">
        <v>895</v>
      </c>
      <c r="C290" s="192" t="s">
        <v>853</v>
      </c>
      <c r="D290" s="201" t="s">
        <v>854</v>
      </c>
      <c r="E290" s="192">
        <v>121.6</v>
      </c>
      <c r="F290" s="192">
        <v>92.5</v>
      </c>
      <c r="G290" s="192">
        <v>105.4</v>
      </c>
    </row>
    <row r="291" spans="1:7" x14ac:dyDescent="0.3">
      <c r="A291" s="191" t="s">
        <v>837</v>
      </c>
      <c r="B291" s="191" t="s">
        <v>895</v>
      </c>
      <c r="C291" s="192" t="s">
        <v>855</v>
      </c>
      <c r="D291" s="201" t="s">
        <v>856</v>
      </c>
      <c r="E291" s="192">
        <v>117.1</v>
      </c>
      <c r="F291" s="192">
        <v>92.6</v>
      </c>
      <c r="G291" s="192">
        <v>106.9</v>
      </c>
    </row>
    <row r="292" spans="1:7" x14ac:dyDescent="0.3">
      <c r="A292" s="191" t="s">
        <v>837</v>
      </c>
      <c r="B292" s="191" t="s">
        <v>895</v>
      </c>
      <c r="C292" s="192" t="s">
        <v>857</v>
      </c>
      <c r="D292" s="201" t="s">
        <v>858</v>
      </c>
      <c r="E292" s="192">
        <v>93.6</v>
      </c>
      <c r="F292" s="192">
        <v>90</v>
      </c>
      <c r="G292" s="192">
        <v>92.8</v>
      </c>
    </row>
    <row r="293" spans="1:7" x14ac:dyDescent="0.3">
      <c r="A293" s="191" t="s">
        <v>837</v>
      </c>
      <c r="B293" s="191" t="s">
        <v>895</v>
      </c>
      <c r="C293" s="192" t="s">
        <v>859</v>
      </c>
      <c r="D293" s="201" t="s">
        <v>860</v>
      </c>
      <c r="E293" s="192">
        <v>117.6</v>
      </c>
      <c r="F293" s="192">
        <v>92.2</v>
      </c>
      <c r="G293" s="192">
        <v>100.7</v>
      </c>
    </row>
    <row r="294" spans="1:7" x14ac:dyDescent="0.3">
      <c r="A294" s="191" t="s">
        <v>837</v>
      </c>
      <c r="B294" s="191" t="s">
        <v>895</v>
      </c>
      <c r="C294" s="192" t="s">
        <v>861</v>
      </c>
      <c r="D294" s="201" t="s">
        <v>862</v>
      </c>
      <c r="E294" s="192">
        <v>98.9</v>
      </c>
      <c r="F294" s="192">
        <v>92.2</v>
      </c>
      <c r="G294" s="192">
        <v>94.5</v>
      </c>
    </row>
    <row r="295" spans="1:7" x14ac:dyDescent="0.3">
      <c r="A295" s="191" t="s">
        <v>837</v>
      </c>
      <c r="B295" s="191" t="s">
        <v>895</v>
      </c>
      <c r="C295" s="192" t="s">
        <v>863</v>
      </c>
      <c r="D295" s="201" t="s">
        <v>864</v>
      </c>
      <c r="E295" s="192">
        <v>122.5</v>
      </c>
      <c r="F295" s="192">
        <v>95</v>
      </c>
      <c r="G295" s="192">
        <v>114.6</v>
      </c>
    </row>
    <row r="296" spans="1:7" x14ac:dyDescent="0.3">
      <c r="A296" s="191" t="s">
        <v>837</v>
      </c>
      <c r="B296" s="191" t="s">
        <v>895</v>
      </c>
      <c r="C296" s="192" t="s">
        <v>865</v>
      </c>
      <c r="D296" s="201" t="s">
        <v>866</v>
      </c>
      <c r="E296" s="192">
        <v>112.3</v>
      </c>
      <c r="F296" s="192">
        <v>98.7</v>
      </c>
      <c r="G296" s="192">
        <v>104.3</v>
      </c>
    </row>
    <row r="297" spans="1:7" x14ac:dyDescent="0.3">
      <c r="A297" s="191" t="s">
        <v>837</v>
      </c>
      <c r="B297" s="191" t="s">
        <v>895</v>
      </c>
      <c r="C297" s="192" t="s">
        <v>867</v>
      </c>
      <c r="D297" s="201" t="s">
        <v>868</v>
      </c>
      <c r="E297" s="192">
        <v>112.3</v>
      </c>
      <c r="F297" s="192">
        <v>95.1</v>
      </c>
      <c r="G297" s="192">
        <v>102.8</v>
      </c>
    </row>
    <row r="298" spans="1:7" x14ac:dyDescent="0.3">
      <c r="A298" s="191" t="s">
        <v>837</v>
      </c>
      <c r="B298" s="191" t="s">
        <v>895</v>
      </c>
      <c r="C298" s="192" t="s">
        <v>869</v>
      </c>
      <c r="D298" s="201" t="s">
        <v>870</v>
      </c>
      <c r="E298" s="192">
        <v>131.1</v>
      </c>
      <c r="F298" s="192">
        <v>74.400000000000006</v>
      </c>
      <c r="G298" s="192">
        <v>118.8</v>
      </c>
    </row>
    <row r="299" spans="1:7" x14ac:dyDescent="0.3">
      <c r="A299" s="191" t="s">
        <v>837</v>
      </c>
      <c r="B299" s="191" t="s">
        <v>895</v>
      </c>
      <c r="C299" s="192" t="s">
        <v>871</v>
      </c>
      <c r="D299" s="201" t="s">
        <v>872</v>
      </c>
      <c r="E299" s="192">
        <v>103.6</v>
      </c>
      <c r="F299" s="192">
        <v>101.2</v>
      </c>
      <c r="G299" s="192">
        <v>102.6</v>
      </c>
    </row>
    <row r="300" spans="1:7" x14ac:dyDescent="0.3">
      <c r="A300" s="191" t="s">
        <v>837</v>
      </c>
      <c r="B300" s="191" t="s">
        <v>895</v>
      </c>
      <c r="C300" s="192" t="s">
        <v>873</v>
      </c>
      <c r="D300" s="201" t="s">
        <v>874</v>
      </c>
      <c r="E300" s="192">
        <v>108.9</v>
      </c>
      <c r="F300" s="192">
        <v>89.3</v>
      </c>
      <c r="G300" s="192">
        <v>99</v>
      </c>
    </row>
    <row r="301" spans="1:7" x14ac:dyDescent="0.3">
      <c r="A301" s="191" t="s">
        <v>837</v>
      </c>
      <c r="B301" s="191" t="s">
        <v>895</v>
      </c>
      <c r="C301" s="192" t="s">
        <v>875</v>
      </c>
      <c r="D301" s="201" t="s">
        <v>876</v>
      </c>
      <c r="E301" s="192">
        <v>115.5</v>
      </c>
      <c r="F301" s="192">
        <v>95.5</v>
      </c>
      <c r="G301" s="192">
        <v>106.7</v>
      </c>
    </row>
    <row r="302" spans="1:7" x14ac:dyDescent="0.3">
      <c r="A302" s="191" t="s">
        <v>884</v>
      </c>
      <c r="B302" s="191" t="s">
        <v>896</v>
      </c>
      <c r="C302" s="192" t="s">
        <v>1301</v>
      </c>
      <c r="D302" s="202" t="s">
        <v>1599</v>
      </c>
      <c r="E302" s="192">
        <v>0</v>
      </c>
      <c r="F302" s="192">
        <v>102.2</v>
      </c>
      <c r="G302" s="192">
        <v>102.2</v>
      </c>
    </row>
    <row r="303" spans="1:7" x14ac:dyDescent="0.3">
      <c r="A303" s="191" t="s">
        <v>884</v>
      </c>
      <c r="B303" s="191" t="s">
        <v>896</v>
      </c>
      <c r="C303" s="192" t="s">
        <v>839</v>
      </c>
      <c r="D303" s="201" t="s">
        <v>840</v>
      </c>
      <c r="E303" s="192">
        <v>102</v>
      </c>
      <c r="F303" s="192">
        <v>98.4</v>
      </c>
      <c r="G303" s="192">
        <v>99.5</v>
      </c>
    </row>
    <row r="304" spans="1:7" x14ac:dyDescent="0.3">
      <c r="A304" s="191" t="s">
        <v>884</v>
      </c>
      <c r="B304" s="191" t="s">
        <v>896</v>
      </c>
      <c r="C304" s="192" t="s">
        <v>841</v>
      </c>
      <c r="D304" s="201" t="s">
        <v>842</v>
      </c>
      <c r="E304" s="192">
        <v>132.5</v>
      </c>
      <c r="F304" s="192">
        <v>90.5</v>
      </c>
      <c r="G304" s="192">
        <v>96.2</v>
      </c>
    </row>
    <row r="305" spans="1:7" x14ac:dyDescent="0.3">
      <c r="A305" s="191" t="s">
        <v>884</v>
      </c>
      <c r="B305" s="191" t="s">
        <v>896</v>
      </c>
      <c r="C305" s="192" t="s">
        <v>843</v>
      </c>
      <c r="D305" s="201" t="s">
        <v>844</v>
      </c>
      <c r="E305" s="192">
        <v>102.9</v>
      </c>
      <c r="F305" s="192">
        <v>94.8</v>
      </c>
      <c r="G305" s="192">
        <v>98.7</v>
      </c>
    </row>
    <row r="306" spans="1:7" x14ac:dyDescent="0.3">
      <c r="A306" s="191" t="s">
        <v>884</v>
      </c>
      <c r="B306" s="191" t="s">
        <v>896</v>
      </c>
      <c r="C306" s="192" t="s">
        <v>845</v>
      </c>
      <c r="D306" s="201" t="s">
        <v>846</v>
      </c>
      <c r="E306" s="192">
        <v>122.9</v>
      </c>
      <c r="F306" s="192">
        <v>98.8</v>
      </c>
      <c r="G306" s="192">
        <v>113.4</v>
      </c>
    </row>
    <row r="307" spans="1:7" x14ac:dyDescent="0.3">
      <c r="A307" s="191" t="s">
        <v>884</v>
      </c>
      <c r="B307" s="191" t="s">
        <v>896</v>
      </c>
      <c r="C307" s="192" t="s">
        <v>847</v>
      </c>
      <c r="D307" s="201" t="s">
        <v>848</v>
      </c>
      <c r="E307" s="192">
        <v>113.9</v>
      </c>
      <c r="F307" s="192">
        <v>94.1</v>
      </c>
      <c r="G307" s="192">
        <v>104.3</v>
      </c>
    </row>
    <row r="308" spans="1:7" x14ac:dyDescent="0.3">
      <c r="A308" s="191" t="s">
        <v>884</v>
      </c>
      <c r="B308" s="191" t="s">
        <v>896</v>
      </c>
      <c r="C308" s="192" t="s">
        <v>849</v>
      </c>
      <c r="D308" s="201" t="s">
        <v>850</v>
      </c>
      <c r="E308" s="192">
        <v>163.6</v>
      </c>
      <c r="F308" s="192">
        <v>94.6</v>
      </c>
      <c r="G308" s="192">
        <v>121.1</v>
      </c>
    </row>
    <row r="309" spans="1:7" x14ac:dyDescent="0.3">
      <c r="A309" s="191" t="s">
        <v>884</v>
      </c>
      <c r="B309" s="191" t="s">
        <v>896</v>
      </c>
      <c r="C309" s="192" t="s">
        <v>851</v>
      </c>
      <c r="D309" s="201" t="s">
        <v>852</v>
      </c>
      <c r="E309" s="192">
        <v>109.7</v>
      </c>
      <c r="F309" s="192">
        <v>91.6</v>
      </c>
      <c r="G309" s="192">
        <v>103.9</v>
      </c>
    </row>
    <row r="310" spans="1:7" x14ac:dyDescent="0.3">
      <c r="A310" s="191" t="s">
        <v>884</v>
      </c>
      <c r="B310" s="191" t="s">
        <v>896</v>
      </c>
      <c r="C310" s="192" t="s">
        <v>853</v>
      </c>
      <c r="D310" s="201" t="s">
        <v>854</v>
      </c>
      <c r="E310" s="192">
        <v>133</v>
      </c>
      <c r="F310" s="192">
        <v>90.5</v>
      </c>
      <c r="G310" s="192">
        <v>109.3</v>
      </c>
    </row>
    <row r="311" spans="1:7" x14ac:dyDescent="0.3">
      <c r="A311" s="191" t="s">
        <v>884</v>
      </c>
      <c r="B311" s="191" t="s">
        <v>896</v>
      </c>
      <c r="C311" s="192" t="s">
        <v>855</v>
      </c>
      <c r="D311" s="201" t="s">
        <v>856</v>
      </c>
      <c r="E311" s="192">
        <v>109.8</v>
      </c>
      <c r="F311" s="192">
        <v>94.2</v>
      </c>
      <c r="G311" s="192">
        <v>103.3</v>
      </c>
    </row>
    <row r="312" spans="1:7" x14ac:dyDescent="0.3">
      <c r="A312" s="191" t="s">
        <v>884</v>
      </c>
      <c r="B312" s="191" t="s">
        <v>896</v>
      </c>
      <c r="C312" s="192" t="s">
        <v>857</v>
      </c>
      <c r="D312" s="201" t="s">
        <v>858</v>
      </c>
      <c r="E312" s="192">
        <v>93.5</v>
      </c>
      <c r="F312" s="192">
        <v>78.2</v>
      </c>
      <c r="G312" s="192">
        <v>90</v>
      </c>
    </row>
    <row r="313" spans="1:7" x14ac:dyDescent="0.3">
      <c r="A313" s="191" t="s">
        <v>884</v>
      </c>
      <c r="B313" s="191" t="s">
        <v>896</v>
      </c>
      <c r="C313" s="192" t="s">
        <v>859</v>
      </c>
      <c r="D313" s="201" t="s">
        <v>860</v>
      </c>
      <c r="E313" s="192">
        <v>139.5</v>
      </c>
      <c r="F313" s="192">
        <v>90</v>
      </c>
      <c r="G313" s="192">
        <v>106.4</v>
      </c>
    </row>
    <row r="314" spans="1:7" x14ac:dyDescent="0.3">
      <c r="A314" s="191" t="s">
        <v>884</v>
      </c>
      <c r="B314" s="191" t="s">
        <v>896</v>
      </c>
      <c r="C314" s="192" t="s">
        <v>861</v>
      </c>
      <c r="D314" s="201" t="s">
        <v>862</v>
      </c>
      <c r="E314" s="192">
        <v>107.1</v>
      </c>
      <c r="F314" s="192">
        <v>90</v>
      </c>
      <c r="G314" s="192">
        <v>95.8</v>
      </c>
    </row>
    <row r="315" spans="1:7" x14ac:dyDescent="0.3">
      <c r="A315" s="191" t="s">
        <v>884</v>
      </c>
      <c r="B315" s="191" t="s">
        <v>896</v>
      </c>
      <c r="C315" s="192" t="s">
        <v>863</v>
      </c>
      <c r="D315" s="201" t="s">
        <v>864</v>
      </c>
      <c r="E315" s="192">
        <v>124.9</v>
      </c>
      <c r="F315" s="192">
        <v>95.7</v>
      </c>
      <c r="G315" s="192">
        <v>116.5</v>
      </c>
    </row>
    <row r="316" spans="1:7" x14ac:dyDescent="0.3">
      <c r="A316" s="191" t="s">
        <v>884</v>
      </c>
      <c r="B316" s="191" t="s">
        <v>896</v>
      </c>
      <c r="C316" s="192" t="s">
        <v>865</v>
      </c>
      <c r="D316" s="201" t="s">
        <v>866</v>
      </c>
      <c r="E316" s="192">
        <v>113.2</v>
      </c>
      <c r="F316" s="192">
        <v>106.4</v>
      </c>
      <c r="G316" s="192">
        <v>109.2</v>
      </c>
    </row>
    <row r="317" spans="1:7" x14ac:dyDescent="0.3">
      <c r="A317" s="191" t="s">
        <v>884</v>
      </c>
      <c r="B317" s="191" t="s">
        <v>896</v>
      </c>
      <c r="C317" s="192" t="s">
        <v>867</v>
      </c>
      <c r="D317" s="201" t="s">
        <v>868</v>
      </c>
      <c r="E317" s="192">
        <v>117</v>
      </c>
      <c r="F317" s="192">
        <v>93.8</v>
      </c>
      <c r="G317" s="192">
        <v>104.1</v>
      </c>
    </row>
    <row r="318" spans="1:7" x14ac:dyDescent="0.3">
      <c r="A318" s="191" t="s">
        <v>884</v>
      </c>
      <c r="B318" s="191" t="s">
        <v>896</v>
      </c>
      <c r="C318" s="192" t="s">
        <v>869</v>
      </c>
      <c r="D318" s="201" t="s">
        <v>870</v>
      </c>
      <c r="E318" s="192">
        <v>131.1</v>
      </c>
      <c r="F318" s="192">
        <v>85.8</v>
      </c>
      <c r="G318" s="192">
        <v>121.3</v>
      </c>
    </row>
    <row r="319" spans="1:7" x14ac:dyDescent="0.3">
      <c r="A319" s="191" t="s">
        <v>884</v>
      </c>
      <c r="B319" s="191" t="s">
        <v>896</v>
      </c>
      <c r="C319" s="192" t="s">
        <v>871</v>
      </c>
      <c r="D319" s="201" t="s">
        <v>872</v>
      </c>
      <c r="E319" s="192">
        <v>103.6</v>
      </c>
      <c r="F319" s="192">
        <v>93.5</v>
      </c>
      <c r="G319" s="192">
        <v>99.3</v>
      </c>
    </row>
    <row r="320" spans="1:7" x14ac:dyDescent="0.3">
      <c r="A320" s="191" t="s">
        <v>884</v>
      </c>
      <c r="B320" s="191" t="s">
        <v>896</v>
      </c>
      <c r="C320" s="192" t="s">
        <v>873</v>
      </c>
      <c r="D320" s="201" t="s">
        <v>874</v>
      </c>
      <c r="E320" s="192">
        <v>106.5</v>
      </c>
      <c r="F320" s="192">
        <v>86.1</v>
      </c>
      <c r="G320" s="192">
        <v>96.2</v>
      </c>
    </row>
    <row r="321" spans="1:7" x14ac:dyDescent="0.3">
      <c r="A321" s="191" t="s">
        <v>884</v>
      </c>
      <c r="B321" s="191" t="s">
        <v>896</v>
      </c>
      <c r="C321" s="192" t="s">
        <v>875</v>
      </c>
      <c r="D321" s="201" t="s">
        <v>876</v>
      </c>
      <c r="E321" s="192">
        <v>111.7</v>
      </c>
      <c r="F321" s="192">
        <v>92</v>
      </c>
      <c r="G321" s="192">
        <v>103</v>
      </c>
    </row>
    <row r="322" spans="1:7" x14ac:dyDescent="0.3">
      <c r="A322" s="191" t="s">
        <v>881</v>
      </c>
      <c r="B322" s="191" t="s">
        <v>897</v>
      </c>
      <c r="C322" s="192" t="s">
        <v>1301</v>
      </c>
      <c r="D322" s="202" t="s">
        <v>1599</v>
      </c>
      <c r="E322" s="192">
        <v>0</v>
      </c>
      <c r="F322" s="192">
        <v>104.2</v>
      </c>
      <c r="G322" s="192">
        <v>104.2</v>
      </c>
    </row>
    <row r="323" spans="1:7" x14ac:dyDescent="0.3">
      <c r="A323" s="191" t="s">
        <v>881</v>
      </c>
      <c r="B323" s="191" t="s">
        <v>897</v>
      </c>
      <c r="C323" s="192" t="s">
        <v>839</v>
      </c>
      <c r="D323" s="201" t="s">
        <v>840</v>
      </c>
      <c r="E323" s="192">
        <v>124.4</v>
      </c>
      <c r="F323" s="192">
        <v>101</v>
      </c>
      <c r="G323" s="192">
        <v>107.8</v>
      </c>
    </row>
    <row r="324" spans="1:7" x14ac:dyDescent="0.3">
      <c r="A324" s="191" t="s">
        <v>881</v>
      </c>
      <c r="B324" s="191" t="s">
        <v>897</v>
      </c>
      <c r="C324" s="192" t="s">
        <v>841</v>
      </c>
      <c r="D324" s="201" t="s">
        <v>842</v>
      </c>
      <c r="E324" s="192">
        <v>121.9</v>
      </c>
      <c r="F324" s="192">
        <v>89.8</v>
      </c>
      <c r="G324" s="192">
        <v>94.1</v>
      </c>
    </row>
    <row r="325" spans="1:7" x14ac:dyDescent="0.3">
      <c r="A325" s="191" t="s">
        <v>881</v>
      </c>
      <c r="B325" s="191" t="s">
        <v>897</v>
      </c>
      <c r="C325" s="192" t="s">
        <v>843</v>
      </c>
      <c r="D325" s="201" t="s">
        <v>844</v>
      </c>
      <c r="E325" s="192">
        <v>148.69999999999999</v>
      </c>
      <c r="F325" s="192">
        <v>73.5</v>
      </c>
      <c r="G325" s="192">
        <v>109.7</v>
      </c>
    </row>
    <row r="326" spans="1:7" x14ac:dyDescent="0.3">
      <c r="A326" s="191" t="s">
        <v>881</v>
      </c>
      <c r="B326" s="191" t="s">
        <v>897</v>
      </c>
      <c r="C326" s="192" t="s">
        <v>845</v>
      </c>
      <c r="D326" s="201" t="s">
        <v>846</v>
      </c>
      <c r="E326" s="192">
        <v>199.2</v>
      </c>
      <c r="F326" s="192">
        <v>104.1</v>
      </c>
      <c r="G326" s="192">
        <v>161.69999999999999</v>
      </c>
    </row>
    <row r="327" spans="1:7" x14ac:dyDescent="0.3">
      <c r="A327" s="191" t="s">
        <v>881</v>
      </c>
      <c r="B327" s="191" t="s">
        <v>897</v>
      </c>
      <c r="C327" s="192" t="s">
        <v>847</v>
      </c>
      <c r="D327" s="201" t="s">
        <v>848</v>
      </c>
      <c r="E327" s="192">
        <v>161.5</v>
      </c>
      <c r="F327" s="192">
        <v>91.9</v>
      </c>
      <c r="G327" s="192">
        <v>127.7</v>
      </c>
    </row>
    <row r="328" spans="1:7" x14ac:dyDescent="0.3">
      <c r="A328" s="191" t="s">
        <v>881</v>
      </c>
      <c r="B328" s="191" t="s">
        <v>897</v>
      </c>
      <c r="C328" s="192" t="s">
        <v>849</v>
      </c>
      <c r="D328" s="201" t="s">
        <v>850</v>
      </c>
      <c r="E328" s="192">
        <v>210</v>
      </c>
      <c r="F328" s="192">
        <v>88.7</v>
      </c>
      <c r="G328" s="192">
        <v>135.30000000000001</v>
      </c>
    </row>
    <row r="329" spans="1:7" x14ac:dyDescent="0.3">
      <c r="A329" s="191" t="s">
        <v>881</v>
      </c>
      <c r="B329" s="191" t="s">
        <v>897</v>
      </c>
      <c r="C329" s="192" t="s">
        <v>851</v>
      </c>
      <c r="D329" s="201" t="s">
        <v>852</v>
      </c>
      <c r="E329" s="192">
        <v>136.9</v>
      </c>
      <c r="F329" s="192">
        <v>88.7</v>
      </c>
      <c r="G329" s="192">
        <v>121.5</v>
      </c>
    </row>
    <row r="330" spans="1:7" x14ac:dyDescent="0.3">
      <c r="A330" s="191" t="s">
        <v>881</v>
      </c>
      <c r="B330" s="191" t="s">
        <v>897</v>
      </c>
      <c r="C330" s="192" t="s">
        <v>853</v>
      </c>
      <c r="D330" s="201" t="s">
        <v>854</v>
      </c>
      <c r="E330" s="192">
        <v>115.9</v>
      </c>
      <c r="F330" s="192">
        <v>88.8</v>
      </c>
      <c r="G330" s="192">
        <v>100.8</v>
      </c>
    </row>
    <row r="331" spans="1:7" x14ac:dyDescent="0.3">
      <c r="A331" s="191" t="s">
        <v>881</v>
      </c>
      <c r="B331" s="191" t="s">
        <v>897</v>
      </c>
      <c r="C331" s="192" t="s">
        <v>855</v>
      </c>
      <c r="D331" s="201" t="s">
        <v>856</v>
      </c>
      <c r="E331" s="192">
        <v>125.7</v>
      </c>
      <c r="F331" s="192">
        <v>90</v>
      </c>
      <c r="G331" s="192">
        <v>110.7</v>
      </c>
    </row>
    <row r="332" spans="1:7" x14ac:dyDescent="0.3">
      <c r="A332" s="191" t="s">
        <v>881</v>
      </c>
      <c r="B332" s="191" t="s">
        <v>897</v>
      </c>
      <c r="C332" s="192" t="s">
        <v>857</v>
      </c>
      <c r="D332" s="201" t="s">
        <v>858</v>
      </c>
      <c r="E332" s="192">
        <v>94.8</v>
      </c>
      <c r="F332" s="192">
        <v>81.2</v>
      </c>
      <c r="G332" s="192">
        <v>91.7</v>
      </c>
    </row>
    <row r="333" spans="1:7" x14ac:dyDescent="0.3">
      <c r="A333" s="191" t="s">
        <v>881</v>
      </c>
      <c r="B333" s="191" t="s">
        <v>897</v>
      </c>
      <c r="C333" s="192" t="s">
        <v>859</v>
      </c>
      <c r="D333" s="201" t="s">
        <v>860</v>
      </c>
      <c r="E333" s="192">
        <v>116.3</v>
      </c>
      <c r="F333" s="192">
        <v>88</v>
      </c>
      <c r="G333" s="192">
        <v>97.4</v>
      </c>
    </row>
    <row r="334" spans="1:7" x14ac:dyDescent="0.3">
      <c r="A334" s="191" t="s">
        <v>881</v>
      </c>
      <c r="B334" s="191" t="s">
        <v>897</v>
      </c>
      <c r="C334" s="192" t="s">
        <v>861</v>
      </c>
      <c r="D334" s="201" t="s">
        <v>862</v>
      </c>
      <c r="E334" s="192">
        <v>106.3</v>
      </c>
      <c r="F334" s="192">
        <v>88</v>
      </c>
      <c r="G334" s="192">
        <v>94.2</v>
      </c>
    </row>
    <row r="335" spans="1:7" x14ac:dyDescent="0.3">
      <c r="A335" s="191" t="s">
        <v>881</v>
      </c>
      <c r="B335" s="191" t="s">
        <v>897</v>
      </c>
      <c r="C335" s="192" t="s">
        <v>863</v>
      </c>
      <c r="D335" s="201" t="s">
        <v>864</v>
      </c>
      <c r="E335" s="192">
        <v>122.5</v>
      </c>
      <c r="F335" s="192">
        <v>91.2</v>
      </c>
      <c r="G335" s="192">
        <v>113.5</v>
      </c>
    </row>
    <row r="336" spans="1:7" x14ac:dyDescent="0.3">
      <c r="A336" s="191" t="s">
        <v>881</v>
      </c>
      <c r="B336" s="191" t="s">
        <v>897</v>
      </c>
      <c r="C336" s="192" t="s">
        <v>865</v>
      </c>
      <c r="D336" s="201" t="s">
        <v>866</v>
      </c>
      <c r="E336" s="192">
        <v>112.4</v>
      </c>
      <c r="F336" s="192">
        <v>95.5</v>
      </c>
      <c r="G336" s="192">
        <v>102.5</v>
      </c>
    </row>
    <row r="337" spans="1:7" x14ac:dyDescent="0.3">
      <c r="A337" s="191" t="s">
        <v>881</v>
      </c>
      <c r="B337" s="191" t="s">
        <v>897</v>
      </c>
      <c r="C337" s="192" t="s">
        <v>867</v>
      </c>
      <c r="D337" s="201" t="s">
        <v>868</v>
      </c>
      <c r="E337" s="192">
        <v>115</v>
      </c>
      <c r="F337" s="192">
        <v>90.7</v>
      </c>
      <c r="G337" s="192">
        <v>101.6</v>
      </c>
    </row>
    <row r="338" spans="1:7" x14ac:dyDescent="0.3">
      <c r="A338" s="191" t="s">
        <v>881</v>
      </c>
      <c r="B338" s="191" t="s">
        <v>897</v>
      </c>
      <c r="C338" s="192" t="s">
        <v>869</v>
      </c>
      <c r="D338" s="201" t="s">
        <v>870</v>
      </c>
      <c r="E338" s="192">
        <v>131.1</v>
      </c>
      <c r="F338" s="192">
        <v>94.6</v>
      </c>
      <c r="G338" s="192">
        <v>123.2</v>
      </c>
    </row>
    <row r="339" spans="1:7" x14ac:dyDescent="0.3">
      <c r="A339" s="191" t="s">
        <v>881</v>
      </c>
      <c r="B339" s="191" t="s">
        <v>897</v>
      </c>
      <c r="C339" s="192" t="s">
        <v>871</v>
      </c>
      <c r="D339" s="201" t="s">
        <v>872</v>
      </c>
      <c r="E339" s="192">
        <v>104.1</v>
      </c>
      <c r="F339" s="192">
        <v>97.9</v>
      </c>
      <c r="G339" s="192">
        <v>101.5</v>
      </c>
    </row>
    <row r="340" spans="1:7" x14ac:dyDescent="0.3">
      <c r="A340" s="191" t="s">
        <v>881</v>
      </c>
      <c r="B340" s="191" t="s">
        <v>897</v>
      </c>
      <c r="C340" s="192" t="s">
        <v>873</v>
      </c>
      <c r="D340" s="201" t="s">
        <v>874</v>
      </c>
      <c r="E340" s="192">
        <v>103.7</v>
      </c>
      <c r="F340" s="192">
        <v>84.8</v>
      </c>
      <c r="G340" s="192">
        <v>94.2</v>
      </c>
    </row>
    <row r="341" spans="1:7" x14ac:dyDescent="0.3">
      <c r="A341" s="191" t="s">
        <v>881</v>
      </c>
      <c r="B341" s="191" t="s">
        <v>897</v>
      </c>
      <c r="C341" s="192" t="s">
        <v>875</v>
      </c>
      <c r="D341" s="201" t="s">
        <v>876</v>
      </c>
      <c r="E341" s="192">
        <v>124.5</v>
      </c>
      <c r="F341" s="192">
        <v>91.7</v>
      </c>
      <c r="G341" s="192">
        <v>110</v>
      </c>
    </row>
    <row r="342" spans="1:7" x14ac:dyDescent="0.3">
      <c r="A342" s="191" t="s">
        <v>884</v>
      </c>
      <c r="B342" s="191" t="s">
        <v>898</v>
      </c>
      <c r="C342" s="192" t="s">
        <v>1301</v>
      </c>
      <c r="D342" s="202" t="s">
        <v>1599</v>
      </c>
      <c r="E342" s="192">
        <v>0</v>
      </c>
      <c r="F342" s="192">
        <v>102.2</v>
      </c>
      <c r="G342" s="192">
        <v>102.2</v>
      </c>
    </row>
    <row r="343" spans="1:7" x14ac:dyDescent="0.3">
      <c r="A343" s="191" t="s">
        <v>884</v>
      </c>
      <c r="B343" s="191" t="s">
        <v>898</v>
      </c>
      <c r="C343" s="192" t="s">
        <v>839</v>
      </c>
      <c r="D343" s="201" t="s">
        <v>840</v>
      </c>
      <c r="E343" s="192">
        <v>99.2</v>
      </c>
      <c r="F343" s="192">
        <v>99.1</v>
      </c>
      <c r="G343" s="192">
        <v>99.1</v>
      </c>
    </row>
    <row r="344" spans="1:7" x14ac:dyDescent="0.3">
      <c r="A344" s="191" t="s">
        <v>884</v>
      </c>
      <c r="B344" s="191" t="s">
        <v>898</v>
      </c>
      <c r="C344" s="192" t="s">
        <v>841</v>
      </c>
      <c r="D344" s="201" t="s">
        <v>842</v>
      </c>
      <c r="E344" s="192">
        <v>130</v>
      </c>
      <c r="F344" s="192">
        <v>85.3</v>
      </c>
      <c r="G344" s="192">
        <v>91.3</v>
      </c>
    </row>
    <row r="345" spans="1:7" x14ac:dyDescent="0.3">
      <c r="A345" s="191" t="s">
        <v>884</v>
      </c>
      <c r="B345" s="191" t="s">
        <v>898</v>
      </c>
      <c r="C345" s="192" t="s">
        <v>843</v>
      </c>
      <c r="D345" s="201" t="s">
        <v>844</v>
      </c>
      <c r="E345" s="192">
        <v>144.6</v>
      </c>
      <c r="F345" s="192">
        <v>77.900000000000006</v>
      </c>
      <c r="G345" s="192">
        <v>110.1</v>
      </c>
    </row>
    <row r="346" spans="1:7" x14ac:dyDescent="0.3">
      <c r="A346" s="191" t="s">
        <v>884</v>
      </c>
      <c r="B346" s="191" t="s">
        <v>898</v>
      </c>
      <c r="C346" s="192" t="s">
        <v>845</v>
      </c>
      <c r="D346" s="201" t="s">
        <v>846</v>
      </c>
      <c r="E346" s="192">
        <v>119.4</v>
      </c>
      <c r="F346" s="192">
        <v>96.6</v>
      </c>
      <c r="G346" s="192">
        <v>110.4</v>
      </c>
    </row>
    <row r="347" spans="1:7" x14ac:dyDescent="0.3">
      <c r="A347" s="191" t="s">
        <v>884</v>
      </c>
      <c r="B347" s="191" t="s">
        <v>898</v>
      </c>
      <c r="C347" s="192" t="s">
        <v>847</v>
      </c>
      <c r="D347" s="201" t="s">
        <v>848</v>
      </c>
      <c r="E347" s="192">
        <v>122.3</v>
      </c>
      <c r="F347" s="192">
        <v>88</v>
      </c>
      <c r="G347" s="192">
        <v>105.7</v>
      </c>
    </row>
    <row r="348" spans="1:7" x14ac:dyDescent="0.3">
      <c r="A348" s="191" t="s">
        <v>884</v>
      </c>
      <c r="B348" s="191" t="s">
        <v>898</v>
      </c>
      <c r="C348" s="192" t="s">
        <v>849</v>
      </c>
      <c r="D348" s="201" t="s">
        <v>850</v>
      </c>
      <c r="E348" s="192">
        <v>165.4</v>
      </c>
      <c r="F348" s="192">
        <v>86.7</v>
      </c>
      <c r="G348" s="192">
        <v>116.9</v>
      </c>
    </row>
    <row r="349" spans="1:7" x14ac:dyDescent="0.3">
      <c r="A349" s="191" t="s">
        <v>884</v>
      </c>
      <c r="B349" s="191" t="s">
        <v>898</v>
      </c>
      <c r="C349" s="192" t="s">
        <v>851</v>
      </c>
      <c r="D349" s="201" t="s">
        <v>852</v>
      </c>
      <c r="E349" s="192">
        <v>108.6</v>
      </c>
      <c r="F349" s="192">
        <v>86.8</v>
      </c>
      <c r="G349" s="192">
        <v>101.7</v>
      </c>
    </row>
    <row r="350" spans="1:7" x14ac:dyDescent="0.3">
      <c r="A350" s="191" t="s">
        <v>884</v>
      </c>
      <c r="B350" s="191" t="s">
        <v>898</v>
      </c>
      <c r="C350" s="192" t="s">
        <v>853</v>
      </c>
      <c r="D350" s="201" t="s">
        <v>854</v>
      </c>
      <c r="E350" s="192">
        <v>132.5</v>
      </c>
      <c r="F350" s="192">
        <v>85</v>
      </c>
      <c r="G350" s="192">
        <v>106</v>
      </c>
    </row>
    <row r="351" spans="1:7" x14ac:dyDescent="0.3">
      <c r="A351" s="191" t="s">
        <v>884</v>
      </c>
      <c r="B351" s="191" t="s">
        <v>898</v>
      </c>
      <c r="C351" s="192" t="s">
        <v>855</v>
      </c>
      <c r="D351" s="201" t="s">
        <v>856</v>
      </c>
      <c r="E351" s="192">
        <v>110.6</v>
      </c>
      <c r="F351" s="192">
        <v>87.9</v>
      </c>
      <c r="G351" s="192">
        <v>101.1</v>
      </c>
    </row>
    <row r="352" spans="1:7" x14ac:dyDescent="0.3">
      <c r="A352" s="191" t="s">
        <v>884</v>
      </c>
      <c r="B352" s="191" t="s">
        <v>898</v>
      </c>
      <c r="C352" s="192" t="s">
        <v>857</v>
      </c>
      <c r="D352" s="201" t="s">
        <v>858</v>
      </c>
      <c r="E352" s="192">
        <v>94.8</v>
      </c>
      <c r="F352" s="192">
        <v>74.099999999999994</v>
      </c>
      <c r="G352" s="192">
        <v>90</v>
      </c>
    </row>
    <row r="353" spans="1:7" x14ac:dyDescent="0.3">
      <c r="A353" s="191" t="s">
        <v>884</v>
      </c>
      <c r="B353" s="191" t="s">
        <v>898</v>
      </c>
      <c r="C353" s="192" t="s">
        <v>859</v>
      </c>
      <c r="D353" s="201" t="s">
        <v>860</v>
      </c>
      <c r="E353" s="192">
        <v>115.9</v>
      </c>
      <c r="F353" s="192">
        <v>84.4</v>
      </c>
      <c r="G353" s="192">
        <v>94.8</v>
      </c>
    </row>
    <row r="354" spans="1:7" x14ac:dyDescent="0.3">
      <c r="A354" s="191" t="s">
        <v>884</v>
      </c>
      <c r="B354" s="191" t="s">
        <v>898</v>
      </c>
      <c r="C354" s="192" t="s">
        <v>861</v>
      </c>
      <c r="D354" s="201" t="s">
        <v>862</v>
      </c>
      <c r="E354" s="192">
        <v>98.9</v>
      </c>
      <c r="F354" s="192">
        <v>84.4</v>
      </c>
      <c r="G354" s="192">
        <v>89.3</v>
      </c>
    </row>
    <row r="355" spans="1:7" x14ac:dyDescent="0.3">
      <c r="A355" s="191" t="s">
        <v>884</v>
      </c>
      <c r="B355" s="191" t="s">
        <v>898</v>
      </c>
      <c r="C355" s="192" t="s">
        <v>863</v>
      </c>
      <c r="D355" s="201" t="s">
        <v>864</v>
      </c>
      <c r="E355" s="192">
        <v>122.5</v>
      </c>
      <c r="F355" s="192">
        <v>95.7</v>
      </c>
      <c r="G355" s="192">
        <v>114.8</v>
      </c>
    </row>
    <row r="356" spans="1:7" x14ac:dyDescent="0.3">
      <c r="A356" s="191" t="s">
        <v>884</v>
      </c>
      <c r="B356" s="191" t="s">
        <v>898</v>
      </c>
      <c r="C356" s="192" t="s">
        <v>865</v>
      </c>
      <c r="D356" s="201" t="s">
        <v>866</v>
      </c>
      <c r="E356" s="192">
        <v>112.3</v>
      </c>
      <c r="F356" s="192">
        <v>91.7</v>
      </c>
      <c r="G356" s="192">
        <v>100.3</v>
      </c>
    </row>
    <row r="357" spans="1:7" x14ac:dyDescent="0.3">
      <c r="A357" s="191" t="s">
        <v>884</v>
      </c>
      <c r="B357" s="191" t="s">
        <v>898</v>
      </c>
      <c r="C357" s="192" t="s">
        <v>867</v>
      </c>
      <c r="D357" s="201" t="s">
        <v>868</v>
      </c>
      <c r="E357" s="192">
        <v>111.3</v>
      </c>
      <c r="F357" s="192">
        <v>88.2</v>
      </c>
      <c r="G357" s="192">
        <v>98.5</v>
      </c>
    </row>
    <row r="358" spans="1:7" x14ac:dyDescent="0.3">
      <c r="A358" s="191" t="s">
        <v>884</v>
      </c>
      <c r="B358" s="191" t="s">
        <v>898</v>
      </c>
      <c r="C358" s="192" t="s">
        <v>869</v>
      </c>
      <c r="D358" s="201" t="s">
        <v>870</v>
      </c>
      <c r="E358" s="192">
        <v>131.1</v>
      </c>
      <c r="F358" s="192">
        <v>82.8</v>
      </c>
      <c r="G358" s="192">
        <v>120.7</v>
      </c>
    </row>
    <row r="359" spans="1:7" x14ac:dyDescent="0.3">
      <c r="A359" s="191" t="s">
        <v>884</v>
      </c>
      <c r="B359" s="191" t="s">
        <v>898</v>
      </c>
      <c r="C359" s="192" t="s">
        <v>871</v>
      </c>
      <c r="D359" s="201" t="s">
        <v>872</v>
      </c>
      <c r="E359" s="192">
        <v>103.6</v>
      </c>
      <c r="F359" s="192">
        <v>90</v>
      </c>
      <c r="G359" s="192">
        <v>97.8</v>
      </c>
    </row>
    <row r="360" spans="1:7" x14ac:dyDescent="0.3">
      <c r="A360" s="191" t="s">
        <v>884</v>
      </c>
      <c r="B360" s="191" t="s">
        <v>898</v>
      </c>
      <c r="C360" s="192" t="s">
        <v>873</v>
      </c>
      <c r="D360" s="201" t="s">
        <v>874</v>
      </c>
      <c r="E360" s="192">
        <v>110</v>
      </c>
      <c r="F360" s="192">
        <v>72.099999999999994</v>
      </c>
      <c r="G360" s="192">
        <v>90.8</v>
      </c>
    </row>
    <row r="361" spans="1:7" x14ac:dyDescent="0.3">
      <c r="A361" s="191" t="s">
        <v>884</v>
      </c>
      <c r="B361" s="191" t="s">
        <v>898</v>
      </c>
      <c r="C361" s="192" t="s">
        <v>875</v>
      </c>
      <c r="D361" s="201" t="s">
        <v>876</v>
      </c>
      <c r="E361" s="192">
        <v>112.6</v>
      </c>
      <c r="F361" s="192">
        <v>86.1</v>
      </c>
      <c r="G361" s="192">
        <v>100.9</v>
      </c>
    </row>
    <row r="362" spans="1:7" x14ac:dyDescent="0.3">
      <c r="A362" s="191" t="s">
        <v>881</v>
      </c>
      <c r="B362" s="191" t="s">
        <v>899</v>
      </c>
      <c r="C362" s="192" t="s">
        <v>1301</v>
      </c>
      <c r="D362" s="202" t="s">
        <v>1599</v>
      </c>
      <c r="E362" s="192">
        <v>0</v>
      </c>
      <c r="F362" s="192">
        <v>104.2</v>
      </c>
      <c r="G362" s="192">
        <v>104.2</v>
      </c>
    </row>
    <row r="363" spans="1:7" x14ac:dyDescent="0.3">
      <c r="A363" s="191" t="s">
        <v>881</v>
      </c>
      <c r="B363" s="191" t="s">
        <v>899</v>
      </c>
      <c r="C363" s="192" t="s">
        <v>839</v>
      </c>
      <c r="D363" s="201" t="s">
        <v>840</v>
      </c>
      <c r="E363" s="192">
        <v>116.6</v>
      </c>
      <c r="F363" s="192">
        <v>101.6</v>
      </c>
      <c r="G363" s="192">
        <v>106</v>
      </c>
    </row>
    <row r="364" spans="1:7" x14ac:dyDescent="0.3">
      <c r="A364" s="191" t="s">
        <v>881</v>
      </c>
      <c r="B364" s="191" t="s">
        <v>899</v>
      </c>
      <c r="C364" s="192" t="s">
        <v>841</v>
      </c>
      <c r="D364" s="201" t="s">
        <v>842</v>
      </c>
      <c r="E364" s="192">
        <v>123.4</v>
      </c>
      <c r="F364" s="192">
        <v>89.8</v>
      </c>
      <c r="G364" s="192">
        <v>94.4</v>
      </c>
    </row>
    <row r="365" spans="1:7" x14ac:dyDescent="0.3">
      <c r="A365" s="191" t="s">
        <v>881</v>
      </c>
      <c r="B365" s="191" t="s">
        <v>899</v>
      </c>
      <c r="C365" s="192" t="s">
        <v>843</v>
      </c>
      <c r="D365" s="201" t="s">
        <v>844</v>
      </c>
      <c r="E365" s="192">
        <v>148.69999999999999</v>
      </c>
      <c r="F365" s="192">
        <v>73.5</v>
      </c>
      <c r="G365" s="192">
        <v>109.7</v>
      </c>
    </row>
    <row r="366" spans="1:7" x14ac:dyDescent="0.3">
      <c r="A366" s="191" t="s">
        <v>881</v>
      </c>
      <c r="B366" s="191" t="s">
        <v>899</v>
      </c>
      <c r="C366" s="192" t="s">
        <v>845</v>
      </c>
      <c r="D366" s="201" t="s">
        <v>846</v>
      </c>
      <c r="E366" s="192">
        <v>149.4</v>
      </c>
      <c r="F366" s="192">
        <v>104.2</v>
      </c>
      <c r="G366" s="192">
        <v>131.6</v>
      </c>
    </row>
    <row r="367" spans="1:7" x14ac:dyDescent="0.3">
      <c r="A367" s="191" t="s">
        <v>881</v>
      </c>
      <c r="B367" s="191" t="s">
        <v>899</v>
      </c>
      <c r="C367" s="192" t="s">
        <v>847</v>
      </c>
      <c r="D367" s="201" t="s">
        <v>848</v>
      </c>
      <c r="E367" s="192">
        <v>137.19999999999999</v>
      </c>
      <c r="F367" s="192">
        <v>91.9</v>
      </c>
      <c r="G367" s="192">
        <v>115.2</v>
      </c>
    </row>
    <row r="368" spans="1:7" x14ac:dyDescent="0.3">
      <c r="A368" s="191" t="s">
        <v>881</v>
      </c>
      <c r="B368" s="191" t="s">
        <v>899</v>
      </c>
      <c r="C368" s="192" t="s">
        <v>849</v>
      </c>
      <c r="D368" s="201" t="s">
        <v>850</v>
      </c>
      <c r="E368" s="192">
        <v>183.5</v>
      </c>
      <c r="F368" s="192">
        <v>88.7</v>
      </c>
      <c r="G368" s="192">
        <v>125.1</v>
      </c>
    </row>
    <row r="369" spans="1:7" x14ac:dyDescent="0.3">
      <c r="A369" s="191" t="s">
        <v>881</v>
      </c>
      <c r="B369" s="191" t="s">
        <v>899</v>
      </c>
      <c r="C369" s="192" t="s">
        <v>851</v>
      </c>
      <c r="D369" s="201" t="s">
        <v>852</v>
      </c>
      <c r="E369" s="192">
        <v>130.69999999999999</v>
      </c>
      <c r="F369" s="192">
        <v>88.8</v>
      </c>
      <c r="G369" s="192">
        <v>117.4</v>
      </c>
    </row>
    <row r="370" spans="1:7" x14ac:dyDescent="0.3">
      <c r="A370" s="191" t="s">
        <v>881</v>
      </c>
      <c r="B370" s="191" t="s">
        <v>899</v>
      </c>
      <c r="C370" s="192" t="s">
        <v>853</v>
      </c>
      <c r="D370" s="201" t="s">
        <v>854</v>
      </c>
      <c r="E370" s="192">
        <v>119.3</v>
      </c>
      <c r="F370" s="192">
        <v>88.8</v>
      </c>
      <c r="G370" s="192">
        <v>102.3</v>
      </c>
    </row>
    <row r="371" spans="1:7" x14ac:dyDescent="0.3">
      <c r="A371" s="191" t="s">
        <v>881</v>
      </c>
      <c r="B371" s="191" t="s">
        <v>899</v>
      </c>
      <c r="C371" s="192" t="s">
        <v>855</v>
      </c>
      <c r="D371" s="201" t="s">
        <v>856</v>
      </c>
      <c r="E371" s="192">
        <v>122.9</v>
      </c>
      <c r="F371" s="192">
        <v>90</v>
      </c>
      <c r="G371" s="192">
        <v>109.1</v>
      </c>
    </row>
    <row r="372" spans="1:7" x14ac:dyDescent="0.3">
      <c r="A372" s="191" t="s">
        <v>881</v>
      </c>
      <c r="B372" s="191" t="s">
        <v>899</v>
      </c>
      <c r="C372" s="192" t="s">
        <v>857</v>
      </c>
      <c r="D372" s="201" t="s">
        <v>858</v>
      </c>
      <c r="E372" s="192">
        <v>94.8</v>
      </c>
      <c r="F372" s="192">
        <v>81.2</v>
      </c>
      <c r="G372" s="192">
        <v>91.7</v>
      </c>
    </row>
    <row r="373" spans="1:7" x14ac:dyDescent="0.3">
      <c r="A373" s="191" t="s">
        <v>881</v>
      </c>
      <c r="B373" s="191" t="s">
        <v>899</v>
      </c>
      <c r="C373" s="192" t="s">
        <v>859</v>
      </c>
      <c r="D373" s="201" t="s">
        <v>860</v>
      </c>
      <c r="E373" s="192">
        <v>107.7</v>
      </c>
      <c r="F373" s="192">
        <v>88</v>
      </c>
      <c r="G373" s="192">
        <v>94.5</v>
      </c>
    </row>
    <row r="374" spans="1:7" x14ac:dyDescent="0.3">
      <c r="A374" s="191" t="s">
        <v>881</v>
      </c>
      <c r="B374" s="191" t="s">
        <v>899</v>
      </c>
      <c r="C374" s="192" t="s">
        <v>861</v>
      </c>
      <c r="D374" s="201" t="s">
        <v>862</v>
      </c>
      <c r="E374" s="192">
        <v>106.3</v>
      </c>
      <c r="F374" s="192">
        <v>88</v>
      </c>
      <c r="G374" s="192">
        <v>94.2</v>
      </c>
    </row>
    <row r="375" spans="1:7" x14ac:dyDescent="0.3">
      <c r="A375" s="191" t="s">
        <v>881</v>
      </c>
      <c r="B375" s="191" t="s">
        <v>899</v>
      </c>
      <c r="C375" s="192" t="s">
        <v>863</v>
      </c>
      <c r="D375" s="201" t="s">
        <v>864</v>
      </c>
      <c r="E375" s="192">
        <v>122.5</v>
      </c>
      <c r="F375" s="192">
        <v>91.2</v>
      </c>
      <c r="G375" s="192">
        <v>113.5</v>
      </c>
    </row>
    <row r="376" spans="1:7" x14ac:dyDescent="0.3">
      <c r="A376" s="191" t="s">
        <v>881</v>
      </c>
      <c r="B376" s="191" t="s">
        <v>899</v>
      </c>
      <c r="C376" s="192" t="s">
        <v>865</v>
      </c>
      <c r="D376" s="201" t="s">
        <v>866</v>
      </c>
      <c r="E376" s="192">
        <v>112.2</v>
      </c>
      <c r="F376" s="192">
        <v>104.3</v>
      </c>
      <c r="G376" s="192">
        <v>107.6</v>
      </c>
    </row>
    <row r="377" spans="1:7" x14ac:dyDescent="0.3">
      <c r="A377" s="191" t="s">
        <v>881</v>
      </c>
      <c r="B377" s="191" t="s">
        <v>899</v>
      </c>
      <c r="C377" s="192" t="s">
        <v>867</v>
      </c>
      <c r="D377" s="201" t="s">
        <v>868</v>
      </c>
      <c r="E377" s="192">
        <v>112.9</v>
      </c>
      <c r="F377" s="192">
        <v>91.7</v>
      </c>
      <c r="G377" s="192">
        <v>101.1</v>
      </c>
    </row>
    <row r="378" spans="1:7" x14ac:dyDescent="0.3">
      <c r="A378" s="191" t="s">
        <v>881</v>
      </c>
      <c r="B378" s="191" t="s">
        <v>899</v>
      </c>
      <c r="C378" s="192" t="s">
        <v>869</v>
      </c>
      <c r="D378" s="201" t="s">
        <v>870</v>
      </c>
      <c r="E378" s="192">
        <v>131.1</v>
      </c>
      <c r="F378" s="192">
        <v>94.6</v>
      </c>
      <c r="G378" s="192">
        <v>123.2</v>
      </c>
    </row>
    <row r="379" spans="1:7" x14ac:dyDescent="0.3">
      <c r="A379" s="191" t="s">
        <v>881</v>
      </c>
      <c r="B379" s="191" t="s">
        <v>899</v>
      </c>
      <c r="C379" s="192" t="s">
        <v>871</v>
      </c>
      <c r="D379" s="201" t="s">
        <v>872</v>
      </c>
      <c r="E379" s="192">
        <v>103.9</v>
      </c>
      <c r="F379" s="192">
        <v>94.6</v>
      </c>
      <c r="G379" s="192">
        <v>100</v>
      </c>
    </row>
    <row r="380" spans="1:7" x14ac:dyDescent="0.3">
      <c r="A380" s="191" t="s">
        <v>881</v>
      </c>
      <c r="B380" s="191" t="s">
        <v>899</v>
      </c>
      <c r="C380" s="192" t="s">
        <v>873</v>
      </c>
      <c r="D380" s="201" t="s">
        <v>874</v>
      </c>
      <c r="E380" s="192">
        <v>104.9</v>
      </c>
      <c r="F380" s="192">
        <v>84.8</v>
      </c>
      <c r="G380" s="192">
        <v>94.8</v>
      </c>
    </row>
    <row r="381" spans="1:7" x14ac:dyDescent="0.3">
      <c r="A381" s="191" t="s">
        <v>881</v>
      </c>
      <c r="B381" s="191" t="s">
        <v>899</v>
      </c>
      <c r="C381" s="192" t="s">
        <v>875</v>
      </c>
      <c r="D381" s="201" t="s">
        <v>876</v>
      </c>
      <c r="E381" s="192">
        <v>119.1</v>
      </c>
      <c r="F381" s="192">
        <v>91.2</v>
      </c>
      <c r="G381" s="192">
        <v>106.8</v>
      </c>
    </row>
    <row r="382" spans="1:7" x14ac:dyDescent="0.3">
      <c r="A382" s="191" t="s">
        <v>900</v>
      </c>
      <c r="B382" s="191" t="s">
        <v>901</v>
      </c>
      <c r="C382" s="192" t="s">
        <v>1301</v>
      </c>
      <c r="D382" s="202" t="s">
        <v>1599</v>
      </c>
      <c r="E382" s="192">
        <v>0</v>
      </c>
      <c r="F382" s="192">
        <v>100.3</v>
      </c>
      <c r="G382" s="192">
        <v>100.3</v>
      </c>
    </row>
    <row r="383" spans="1:7" x14ac:dyDescent="0.3">
      <c r="A383" s="191" t="s">
        <v>900</v>
      </c>
      <c r="B383" s="191" t="s">
        <v>901</v>
      </c>
      <c r="C383" s="192" t="s">
        <v>839</v>
      </c>
      <c r="D383" s="201" t="s">
        <v>840</v>
      </c>
      <c r="E383" s="192">
        <v>116.7</v>
      </c>
      <c r="F383" s="192">
        <v>95.3</v>
      </c>
      <c r="G383" s="192">
        <v>101.6</v>
      </c>
    </row>
    <row r="384" spans="1:7" x14ac:dyDescent="0.3">
      <c r="A384" s="191" t="s">
        <v>900</v>
      </c>
      <c r="B384" s="191" t="s">
        <v>901</v>
      </c>
      <c r="C384" s="192" t="s">
        <v>841</v>
      </c>
      <c r="D384" s="201" t="s">
        <v>842</v>
      </c>
      <c r="E384" s="192">
        <v>106.5</v>
      </c>
      <c r="F384" s="192">
        <v>58.7</v>
      </c>
      <c r="G384" s="192">
        <v>65.2</v>
      </c>
    </row>
    <row r="385" spans="1:7" x14ac:dyDescent="0.3">
      <c r="A385" s="191" t="s">
        <v>900</v>
      </c>
      <c r="B385" s="191" t="s">
        <v>901</v>
      </c>
      <c r="C385" s="192" t="s">
        <v>843</v>
      </c>
      <c r="D385" s="201" t="s">
        <v>844</v>
      </c>
      <c r="E385" s="192">
        <v>104.9</v>
      </c>
      <c r="F385" s="192">
        <v>61.2</v>
      </c>
      <c r="G385" s="192">
        <v>82.2</v>
      </c>
    </row>
    <row r="386" spans="1:7" x14ac:dyDescent="0.3">
      <c r="A386" s="191" t="s">
        <v>900</v>
      </c>
      <c r="B386" s="191" t="s">
        <v>901</v>
      </c>
      <c r="C386" s="192" t="s">
        <v>845</v>
      </c>
      <c r="D386" s="201" t="s">
        <v>846</v>
      </c>
      <c r="E386" s="192">
        <v>134.5</v>
      </c>
      <c r="F386" s="192">
        <v>70.2</v>
      </c>
      <c r="G386" s="192">
        <v>109.1</v>
      </c>
    </row>
    <row r="387" spans="1:7" x14ac:dyDescent="0.3">
      <c r="A387" s="191" t="s">
        <v>900</v>
      </c>
      <c r="B387" s="191" t="s">
        <v>901</v>
      </c>
      <c r="C387" s="192" t="s">
        <v>847</v>
      </c>
      <c r="D387" s="201" t="s">
        <v>848</v>
      </c>
      <c r="E387" s="192">
        <v>116.3</v>
      </c>
      <c r="F387" s="192">
        <v>63.9</v>
      </c>
      <c r="G387" s="192">
        <v>90.8</v>
      </c>
    </row>
    <row r="388" spans="1:7" x14ac:dyDescent="0.3">
      <c r="A388" s="191" t="s">
        <v>900</v>
      </c>
      <c r="B388" s="191" t="s">
        <v>901</v>
      </c>
      <c r="C388" s="192" t="s">
        <v>849</v>
      </c>
      <c r="D388" s="201" t="s">
        <v>850</v>
      </c>
      <c r="E388" s="192">
        <v>163.6</v>
      </c>
      <c r="F388" s="192">
        <v>64.099999999999994</v>
      </c>
      <c r="G388" s="192">
        <v>102.3</v>
      </c>
    </row>
    <row r="389" spans="1:7" x14ac:dyDescent="0.3">
      <c r="A389" s="191" t="s">
        <v>900</v>
      </c>
      <c r="B389" s="191" t="s">
        <v>901</v>
      </c>
      <c r="C389" s="192" t="s">
        <v>851</v>
      </c>
      <c r="D389" s="201" t="s">
        <v>852</v>
      </c>
      <c r="E389" s="192">
        <v>107.5</v>
      </c>
      <c r="F389" s="192">
        <v>74</v>
      </c>
      <c r="G389" s="192">
        <v>96.9</v>
      </c>
    </row>
    <row r="390" spans="1:7" x14ac:dyDescent="0.3">
      <c r="A390" s="191" t="s">
        <v>900</v>
      </c>
      <c r="B390" s="191" t="s">
        <v>901</v>
      </c>
      <c r="C390" s="192" t="s">
        <v>853</v>
      </c>
      <c r="D390" s="201" t="s">
        <v>854</v>
      </c>
      <c r="E390" s="192">
        <v>101.7</v>
      </c>
      <c r="F390" s="192">
        <v>57.1</v>
      </c>
      <c r="G390" s="192">
        <v>76.900000000000006</v>
      </c>
    </row>
    <row r="391" spans="1:7" x14ac:dyDescent="0.3">
      <c r="A391" s="191" t="s">
        <v>900</v>
      </c>
      <c r="B391" s="191" t="s">
        <v>901</v>
      </c>
      <c r="C391" s="192" t="s">
        <v>855</v>
      </c>
      <c r="D391" s="201" t="s">
        <v>856</v>
      </c>
      <c r="E391" s="192">
        <v>110</v>
      </c>
      <c r="F391" s="192">
        <v>62.8</v>
      </c>
      <c r="G391" s="192">
        <v>90.2</v>
      </c>
    </row>
    <row r="392" spans="1:7" x14ac:dyDescent="0.3">
      <c r="A392" s="191" t="s">
        <v>900</v>
      </c>
      <c r="B392" s="191" t="s">
        <v>901</v>
      </c>
      <c r="C392" s="192" t="s">
        <v>857</v>
      </c>
      <c r="D392" s="201" t="s">
        <v>858</v>
      </c>
      <c r="E392" s="192">
        <v>90.7</v>
      </c>
      <c r="F392" s="192">
        <v>55.1</v>
      </c>
      <c r="G392" s="192">
        <v>82.4</v>
      </c>
    </row>
    <row r="393" spans="1:7" x14ac:dyDescent="0.3">
      <c r="A393" s="191" t="s">
        <v>900</v>
      </c>
      <c r="B393" s="191" t="s">
        <v>901</v>
      </c>
      <c r="C393" s="192" t="s">
        <v>859</v>
      </c>
      <c r="D393" s="201" t="s">
        <v>860</v>
      </c>
      <c r="E393" s="192">
        <v>100.5</v>
      </c>
      <c r="F393" s="192">
        <v>55.8</v>
      </c>
      <c r="G393" s="192">
        <v>70.599999999999994</v>
      </c>
    </row>
    <row r="394" spans="1:7" x14ac:dyDescent="0.3">
      <c r="A394" s="191" t="s">
        <v>900</v>
      </c>
      <c r="B394" s="191" t="s">
        <v>901</v>
      </c>
      <c r="C394" s="192" t="s">
        <v>861</v>
      </c>
      <c r="D394" s="201" t="s">
        <v>862</v>
      </c>
      <c r="E394" s="192">
        <v>98.9</v>
      </c>
      <c r="F394" s="192">
        <v>55.8</v>
      </c>
      <c r="G394" s="192">
        <v>70.400000000000006</v>
      </c>
    </row>
    <row r="395" spans="1:7" x14ac:dyDescent="0.3">
      <c r="A395" s="191" t="s">
        <v>900</v>
      </c>
      <c r="B395" s="191" t="s">
        <v>901</v>
      </c>
      <c r="C395" s="192" t="s">
        <v>863</v>
      </c>
      <c r="D395" s="201" t="s">
        <v>864</v>
      </c>
      <c r="E395" s="192">
        <v>111.9</v>
      </c>
      <c r="F395" s="192">
        <v>60.8</v>
      </c>
      <c r="G395" s="192">
        <v>97.2</v>
      </c>
    </row>
    <row r="396" spans="1:7" x14ac:dyDescent="0.3">
      <c r="A396" s="191" t="s">
        <v>900</v>
      </c>
      <c r="B396" s="191" t="s">
        <v>901</v>
      </c>
      <c r="C396" s="192" t="s">
        <v>865</v>
      </c>
      <c r="D396" s="201" t="s">
        <v>866</v>
      </c>
      <c r="E396" s="192">
        <v>112.3</v>
      </c>
      <c r="F396" s="192">
        <v>66.8</v>
      </c>
      <c r="G396" s="192">
        <v>85.8</v>
      </c>
    </row>
    <row r="397" spans="1:7" x14ac:dyDescent="0.3">
      <c r="A397" s="191" t="s">
        <v>900</v>
      </c>
      <c r="B397" s="191" t="s">
        <v>901</v>
      </c>
      <c r="C397" s="192" t="s">
        <v>867</v>
      </c>
      <c r="D397" s="201" t="s">
        <v>868</v>
      </c>
      <c r="E397" s="192">
        <v>107</v>
      </c>
      <c r="F397" s="192">
        <v>59.6</v>
      </c>
      <c r="G397" s="192">
        <v>80.8</v>
      </c>
    </row>
    <row r="398" spans="1:7" x14ac:dyDescent="0.3">
      <c r="A398" s="191" t="s">
        <v>900</v>
      </c>
      <c r="B398" s="191" t="s">
        <v>901</v>
      </c>
      <c r="C398" s="192" t="s">
        <v>869</v>
      </c>
      <c r="D398" s="201" t="s">
        <v>870</v>
      </c>
      <c r="E398" s="192">
        <v>131.1</v>
      </c>
      <c r="F398" s="192">
        <v>62.7</v>
      </c>
      <c r="G398" s="192">
        <v>116.3</v>
      </c>
    </row>
    <row r="399" spans="1:7" x14ac:dyDescent="0.3">
      <c r="A399" s="191" t="s">
        <v>900</v>
      </c>
      <c r="B399" s="191" t="s">
        <v>901</v>
      </c>
      <c r="C399" s="192" t="s">
        <v>871</v>
      </c>
      <c r="D399" s="201" t="s">
        <v>872</v>
      </c>
      <c r="E399" s="192">
        <v>103.9</v>
      </c>
      <c r="F399" s="192">
        <v>75.3</v>
      </c>
      <c r="G399" s="192">
        <v>91.8</v>
      </c>
    </row>
    <row r="400" spans="1:7" x14ac:dyDescent="0.3">
      <c r="A400" s="191" t="s">
        <v>900</v>
      </c>
      <c r="B400" s="191" t="s">
        <v>901</v>
      </c>
      <c r="C400" s="192" t="s">
        <v>873</v>
      </c>
      <c r="D400" s="201" t="s">
        <v>874</v>
      </c>
      <c r="E400" s="192">
        <v>110.9</v>
      </c>
      <c r="F400" s="192">
        <v>62.3</v>
      </c>
      <c r="G400" s="192">
        <v>86.3</v>
      </c>
    </row>
    <row r="401" spans="1:7" x14ac:dyDescent="0.3">
      <c r="A401" s="191" t="s">
        <v>900</v>
      </c>
      <c r="B401" s="191" t="s">
        <v>901</v>
      </c>
      <c r="C401" s="192" t="s">
        <v>875</v>
      </c>
      <c r="D401" s="201" t="s">
        <v>876</v>
      </c>
      <c r="E401" s="192">
        <v>111.2</v>
      </c>
      <c r="F401" s="192">
        <v>68.5</v>
      </c>
      <c r="G401" s="192">
        <v>92.4</v>
      </c>
    </row>
    <row r="402" spans="1:7" x14ac:dyDescent="0.3">
      <c r="A402" s="191" t="s">
        <v>837</v>
      </c>
      <c r="B402" s="191" t="s">
        <v>902</v>
      </c>
      <c r="C402" s="192" t="s">
        <v>1301</v>
      </c>
      <c r="D402" s="202" t="s">
        <v>1599</v>
      </c>
      <c r="E402" s="192">
        <v>0</v>
      </c>
      <c r="F402" s="192">
        <v>101.8</v>
      </c>
      <c r="G402" s="192">
        <v>101.8</v>
      </c>
    </row>
    <row r="403" spans="1:7" x14ac:dyDescent="0.3">
      <c r="A403" s="191" t="s">
        <v>837</v>
      </c>
      <c r="B403" s="191" t="s">
        <v>902</v>
      </c>
      <c r="C403" s="192" t="s">
        <v>839</v>
      </c>
      <c r="D403" s="201" t="s">
        <v>840</v>
      </c>
      <c r="E403" s="192">
        <v>119.8</v>
      </c>
      <c r="F403" s="192">
        <v>99.7</v>
      </c>
      <c r="G403" s="192">
        <v>105.6</v>
      </c>
    </row>
    <row r="404" spans="1:7" x14ac:dyDescent="0.3">
      <c r="A404" s="191" t="s">
        <v>837</v>
      </c>
      <c r="B404" s="191" t="s">
        <v>902</v>
      </c>
      <c r="C404" s="192" t="s">
        <v>841</v>
      </c>
      <c r="D404" s="201" t="s">
        <v>842</v>
      </c>
      <c r="E404" s="192">
        <v>125</v>
      </c>
      <c r="F404" s="192">
        <v>83.1</v>
      </c>
      <c r="G404" s="192">
        <v>88.7</v>
      </c>
    </row>
    <row r="405" spans="1:7" x14ac:dyDescent="0.3">
      <c r="A405" s="191" t="s">
        <v>837</v>
      </c>
      <c r="B405" s="191" t="s">
        <v>902</v>
      </c>
      <c r="C405" s="192" t="s">
        <v>843</v>
      </c>
      <c r="D405" s="201" t="s">
        <v>844</v>
      </c>
      <c r="E405" s="192">
        <v>175.6</v>
      </c>
      <c r="F405" s="192">
        <v>82.8</v>
      </c>
      <c r="G405" s="192">
        <v>127.5</v>
      </c>
    </row>
    <row r="406" spans="1:7" x14ac:dyDescent="0.3">
      <c r="A406" s="191" t="s">
        <v>837</v>
      </c>
      <c r="B406" s="191" t="s">
        <v>902</v>
      </c>
      <c r="C406" s="192" t="s">
        <v>845</v>
      </c>
      <c r="D406" s="201" t="s">
        <v>846</v>
      </c>
      <c r="E406" s="192">
        <v>163.9</v>
      </c>
      <c r="F406" s="192">
        <v>82.1</v>
      </c>
      <c r="G406" s="192">
        <v>131.69999999999999</v>
      </c>
    </row>
    <row r="407" spans="1:7" x14ac:dyDescent="0.3">
      <c r="A407" s="191" t="s">
        <v>837</v>
      </c>
      <c r="B407" s="191" t="s">
        <v>902</v>
      </c>
      <c r="C407" s="192" t="s">
        <v>847</v>
      </c>
      <c r="D407" s="201" t="s">
        <v>848</v>
      </c>
      <c r="E407" s="192">
        <v>150.4</v>
      </c>
      <c r="F407" s="192">
        <v>83.1</v>
      </c>
      <c r="G407" s="192">
        <v>117.7</v>
      </c>
    </row>
    <row r="408" spans="1:7" x14ac:dyDescent="0.3">
      <c r="A408" s="191" t="s">
        <v>837</v>
      </c>
      <c r="B408" s="191" t="s">
        <v>902</v>
      </c>
      <c r="C408" s="192" t="s">
        <v>849</v>
      </c>
      <c r="D408" s="201" t="s">
        <v>850</v>
      </c>
      <c r="E408" s="192">
        <v>173.7</v>
      </c>
      <c r="F408" s="192">
        <v>95.2</v>
      </c>
      <c r="G408" s="192">
        <v>125.3</v>
      </c>
    </row>
    <row r="409" spans="1:7" x14ac:dyDescent="0.3">
      <c r="A409" s="191" t="s">
        <v>837</v>
      </c>
      <c r="B409" s="191" t="s">
        <v>902</v>
      </c>
      <c r="C409" s="192" t="s">
        <v>851</v>
      </c>
      <c r="D409" s="201" t="s">
        <v>852</v>
      </c>
      <c r="E409" s="192">
        <v>109.3</v>
      </c>
      <c r="F409" s="192">
        <v>89.5</v>
      </c>
      <c r="G409" s="192">
        <v>103</v>
      </c>
    </row>
    <row r="410" spans="1:7" x14ac:dyDescent="0.3">
      <c r="A410" s="191" t="s">
        <v>837</v>
      </c>
      <c r="B410" s="191" t="s">
        <v>902</v>
      </c>
      <c r="C410" s="192" t="s">
        <v>853</v>
      </c>
      <c r="D410" s="201" t="s">
        <v>854</v>
      </c>
      <c r="E410" s="192">
        <v>118.8</v>
      </c>
      <c r="F410" s="192">
        <v>81.5</v>
      </c>
      <c r="G410" s="192">
        <v>98</v>
      </c>
    </row>
    <row r="411" spans="1:7" x14ac:dyDescent="0.3">
      <c r="A411" s="191" t="s">
        <v>837</v>
      </c>
      <c r="B411" s="191" t="s">
        <v>902</v>
      </c>
      <c r="C411" s="192" t="s">
        <v>855</v>
      </c>
      <c r="D411" s="201" t="s">
        <v>856</v>
      </c>
      <c r="E411" s="192">
        <v>113.6</v>
      </c>
      <c r="F411" s="192">
        <v>84.5</v>
      </c>
      <c r="G411" s="192">
        <v>101.4</v>
      </c>
    </row>
    <row r="412" spans="1:7" x14ac:dyDescent="0.3">
      <c r="A412" s="191" t="s">
        <v>837</v>
      </c>
      <c r="B412" s="191" t="s">
        <v>902</v>
      </c>
      <c r="C412" s="192" t="s">
        <v>857</v>
      </c>
      <c r="D412" s="201" t="s">
        <v>858</v>
      </c>
      <c r="E412" s="192">
        <v>94.7</v>
      </c>
      <c r="F412" s="192">
        <v>80.7</v>
      </c>
      <c r="G412" s="192">
        <v>91.4</v>
      </c>
    </row>
    <row r="413" spans="1:7" x14ac:dyDescent="0.3">
      <c r="A413" s="191" t="s">
        <v>837</v>
      </c>
      <c r="B413" s="191" t="s">
        <v>902</v>
      </c>
      <c r="C413" s="192" t="s">
        <v>859</v>
      </c>
      <c r="D413" s="201" t="s">
        <v>860</v>
      </c>
      <c r="E413" s="192">
        <v>148.80000000000001</v>
      </c>
      <c r="F413" s="192">
        <v>80.900000000000006</v>
      </c>
      <c r="G413" s="192">
        <v>103.4</v>
      </c>
    </row>
    <row r="414" spans="1:7" x14ac:dyDescent="0.3">
      <c r="A414" s="191" t="s">
        <v>837</v>
      </c>
      <c r="B414" s="191" t="s">
        <v>902</v>
      </c>
      <c r="C414" s="192" t="s">
        <v>861</v>
      </c>
      <c r="D414" s="201" t="s">
        <v>862</v>
      </c>
      <c r="E414" s="192">
        <v>92.2</v>
      </c>
      <c r="F414" s="192">
        <v>80.900000000000006</v>
      </c>
      <c r="G414" s="192">
        <v>84.7</v>
      </c>
    </row>
    <row r="415" spans="1:7" x14ac:dyDescent="0.3">
      <c r="A415" s="191" t="s">
        <v>837</v>
      </c>
      <c r="B415" s="191" t="s">
        <v>902</v>
      </c>
      <c r="C415" s="192" t="s">
        <v>863</v>
      </c>
      <c r="D415" s="201" t="s">
        <v>864</v>
      </c>
      <c r="E415" s="192">
        <v>126.6</v>
      </c>
      <c r="F415" s="192">
        <v>95</v>
      </c>
      <c r="G415" s="192">
        <v>117.5</v>
      </c>
    </row>
    <row r="416" spans="1:7" x14ac:dyDescent="0.3">
      <c r="A416" s="191" t="s">
        <v>837</v>
      </c>
      <c r="B416" s="191" t="s">
        <v>902</v>
      </c>
      <c r="C416" s="192" t="s">
        <v>865</v>
      </c>
      <c r="D416" s="201" t="s">
        <v>866</v>
      </c>
      <c r="E416" s="192">
        <v>107.4</v>
      </c>
      <c r="F416" s="192">
        <v>89.9</v>
      </c>
      <c r="G416" s="192">
        <v>97.2</v>
      </c>
    </row>
    <row r="417" spans="1:7" x14ac:dyDescent="0.3">
      <c r="A417" s="191" t="s">
        <v>837</v>
      </c>
      <c r="B417" s="191" t="s">
        <v>902</v>
      </c>
      <c r="C417" s="192" t="s">
        <v>867</v>
      </c>
      <c r="D417" s="201" t="s">
        <v>868</v>
      </c>
      <c r="E417" s="192">
        <v>114.4</v>
      </c>
      <c r="F417" s="192">
        <v>86.1</v>
      </c>
      <c r="G417" s="192">
        <v>98.8</v>
      </c>
    </row>
    <row r="418" spans="1:7" x14ac:dyDescent="0.3">
      <c r="A418" s="191" t="s">
        <v>837</v>
      </c>
      <c r="B418" s="191" t="s">
        <v>902</v>
      </c>
      <c r="C418" s="192" t="s">
        <v>869</v>
      </c>
      <c r="D418" s="201" t="s">
        <v>870</v>
      </c>
      <c r="E418" s="192">
        <v>139.19999999999999</v>
      </c>
      <c r="F418" s="192">
        <v>71.099999999999994</v>
      </c>
      <c r="G418" s="192">
        <v>124.5</v>
      </c>
    </row>
    <row r="419" spans="1:7" x14ac:dyDescent="0.3">
      <c r="A419" s="191" t="s">
        <v>837</v>
      </c>
      <c r="B419" s="191" t="s">
        <v>902</v>
      </c>
      <c r="C419" s="192" t="s">
        <v>871</v>
      </c>
      <c r="D419" s="201" t="s">
        <v>872</v>
      </c>
      <c r="E419" s="192">
        <v>103.5</v>
      </c>
      <c r="F419" s="192">
        <v>97</v>
      </c>
      <c r="G419" s="192">
        <v>100.8</v>
      </c>
    </row>
    <row r="420" spans="1:7" x14ac:dyDescent="0.3">
      <c r="A420" s="191" t="s">
        <v>837</v>
      </c>
      <c r="B420" s="191" t="s">
        <v>902</v>
      </c>
      <c r="C420" s="192" t="s">
        <v>873</v>
      </c>
      <c r="D420" s="201" t="s">
        <v>874</v>
      </c>
      <c r="E420" s="192">
        <v>115.9</v>
      </c>
      <c r="F420" s="192">
        <v>88.9</v>
      </c>
      <c r="G420" s="192">
        <v>102.2</v>
      </c>
    </row>
    <row r="421" spans="1:7" x14ac:dyDescent="0.3">
      <c r="A421" s="191" t="s">
        <v>837</v>
      </c>
      <c r="B421" s="191" t="s">
        <v>902</v>
      </c>
      <c r="C421" s="192" t="s">
        <v>875</v>
      </c>
      <c r="D421" s="201" t="s">
        <v>876</v>
      </c>
      <c r="E421" s="192">
        <v>118.4</v>
      </c>
      <c r="F421" s="192">
        <v>89.9</v>
      </c>
      <c r="G421" s="192">
        <v>105.8</v>
      </c>
    </row>
    <row r="422" spans="1:7" x14ac:dyDescent="0.3">
      <c r="A422" s="191" t="s">
        <v>881</v>
      </c>
      <c r="B422" s="191" t="s">
        <v>903</v>
      </c>
      <c r="C422" s="192" t="s">
        <v>1301</v>
      </c>
      <c r="D422" s="202" t="s">
        <v>1599</v>
      </c>
      <c r="E422" s="192">
        <v>0</v>
      </c>
      <c r="F422" s="192">
        <v>104.2</v>
      </c>
      <c r="G422" s="192">
        <v>104.2</v>
      </c>
    </row>
    <row r="423" spans="1:7" x14ac:dyDescent="0.3">
      <c r="A423" s="191" t="s">
        <v>881</v>
      </c>
      <c r="B423" s="191" t="s">
        <v>903</v>
      </c>
      <c r="C423" s="192" t="s">
        <v>839</v>
      </c>
      <c r="D423" s="201" t="s">
        <v>840</v>
      </c>
      <c r="E423" s="192">
        <v>115.2</v>
      </c>
      <c r="F423" s="192">
        <v>101</v>
      </c>
      <c r="G423" s="192">
        <v>105.2</v>
      </c>
    </row>
    <row r="424" spans="1:7" x14ac:dyDescent="0.3">
      <c r="A424" s="191" t="s">
        <v>881</v>
      </c>
      <c r="B424" s="191" t="s">
        <v>903</v>
      </c>
      <c r="C424" s="192" t="s">
        <v>841</v>
      </c>
      <c r="D424" s="201" t="s">
        <v>842</v>
      </c>
      <c r="E424" s="192">
        <v>138.6</v>
      </c>
      <c r="F424" s="192">
        <v>80.3</v>
      </c>
      <c r="G424" s="192">
        <v>88.2</v>
      </c>
    </row>
    <row r="425" spans="1:7" x14ac:dyDescent="0.3">
      <c r="A425" s="191" t="s">
        <v>881</v>
      </c>
      <c r="B425" s="191" t="s">
        <v>903</v>
      </c>
      <c r="C425" s="192" t="s">
        <v>843</v>
      </c>
      <c r="D425" s="201" t="s">
        <v>844</v>
      </c>
      <c r="E425" s="192">
        <v>148.69999999999999</v>
      </c>
      <c r="F425" s="192">
        <v>73.400000000000006</v>
      </c>
      <c r="G425" s="192">
        <v>109.7</v>
      </c>
    </row>
    <row r="426" spans="1:7" x14ac:dyDescent="0.3">
      <c r="A426" s="191" t="s">
        <v>881</v>
      </c>
      <c r="B426" s="191" t="s">
        <v>903</v>
      </c>
      <c r="C426" s="192" t="s">
        <v>845</v>
      </c>
      <c r="D426" s="201" t="s">
        <v>846</v>
      </c>
      <c r="E426" s="192">
        <v>138.6</v>
      </c>
      <c r="F426" s="192">
        <v>100.5</v>
      </c>
      <c r="G426" s="192">
        <v>123.6</v>
      </c>
    </row>
    <row r="427" spans="1:7" x14ac:dyDescent="0.3">
      <c r="A427" s="191" t="s">
        <v>881</v>
      </c>
      <c r="B427" s="191" t="s">
        <v>903</v>
      </c>
      <c r="C427" s="192" t="s">
        <v>847</v>
      </c>
      <c r="D427" s="201" t="s">
        <v>848</v>
      </c>
      <c r="E427" s="192">
        <v>132.9</v>
      </c>
      <c r="F427" s="192">
        <v>86.4</v>
      </c>
      <c r="G427" s="192">
        <v>110.3</v>
      </c>
    </row>
    <row r="428" spans="1:7" x14ac:dyDescent="0.3">
      <c r="A428" s="191" t="s">
        <v>881</v>
      </c>
      <c r="B428" s="191" t="s">
        <v>903</v>
      </c>
      <c r="C428" s="192" t="s">
        <v>849</v>
      </c>
      <c r="D428" s="201" t="s">
        <v>850</v>
      </c>
      <c r="E428" s="192">
        <v>165</v>
      </c>
      <c r="F428" s="192">
        <v>82.1</v>
      </c>
      <c r="G428" s="192">
        <v>113.9</v>
      </c>
    </row>
    <row r="429" spans="1:7" x14ac:dyDescent="0.3">
      <c r="A429" s="191" t="s">
        <v>881</v>
      </c>
      <c r="B429" s="191" t="s">
        <v>903</v>
      </c>
      <c r="C429" s="192" t="s">
        <v>851</v>
      </c>
      <c r="D429" s="201" t="s">
        <v>852</v>
      </c>
      <c r="E429" s="192">
        <v>111</v>
      </c>
      <c r="F429" s="192">
        <v>88.5</v>
      </c>
      <c r="G429" s="192">
        <v>103.8</v>
      </c>
    </row>
    <row r="430" spans="1:7" x14ac:dyDescent="0.3">
      <c r="A430" s="191" t="s">
        <v>881</v>
      </c>
      <c r="B430" s="191" t="s">
        <v>903</v>
      </c>
      <c r="C430" s="192" t="s">
        <v>853</v>
      </c>
      <c r="D430" s="201" t="s">
        <v>854</v>
      </c>
      <c r="E430" s="192">
        <v>119.3</v>
      </c>
      <c r="F430" s="192">
        <v>79.3</v>
      </c>
      <c r="G430" s="192">
        <v>97</v>
      </c>
    </row>
    <row r="431" spans="1:7" x14ac:dyDescent="0.3">
      <c r="A431" s="191" t="s">
        <v>881</v>
      </c>
      <c r="B431" s="191" t="s">
        <v>903</v>
      </c>
      <c r="C431" s="192" t="s">
        <v>855</v>
      </c>
      <c r="D431" s="201" t="s">
        <v>856</v>
      </c>
      <c r="E431" s="192">
        <v>135.9</v>
      </c>
      <c r="F431" s="192">
        <v>85.7</v>
      </c>
      <c r="G431" s="192">
        <v>114.9</v>
      </c>
    </row>
    <row r="432" spans="1:7" x14ac:dyDescent="0.3">
      <c r="A432" s="191" t="s">
        <v>881</v>
      </c>
      <c r="B432" s="191" t="s">
        <v>903</v>
      </c>
      <c r="C432" s="192" t="s">
        <v>857</v>
      </c>
      <c r="D432" s="201" t="s">
        <v>858</v>
      </c>
      <c r="E432" s="192">
        <v>94.8</v>
      </c>
      <c r="F432" s="192">
        <v>76</v>
      </c>
      <c r="G432" s="192">
        <v>90.5</v>
      </c>
    </row>
    <row r="433" spans="1:7" x14ac:dyDescent="0.3">
      <c r="A433" s="191" t="s">
        <v>881</v>
      </c>
      <c r="B433" s="191" t="s">
        <v>903</v>
      </c>
      <c r="C433" s="192" t="s">
        <v>859</v>
      </c>
      <c r="D433" s="201" t="s">
        <v>860</v>
      </c>
      <c r="E433" s="192">
        <v>105.9</v>
      </c>
      <c r="F433" s="192">
        <v>78.3</v>
      </c>
      <c r="G433" s="192">
        <v>87.4</v>
      </c>
    </row>
    <row r="434" spans="1:7" x14ac:dyDescent="0.3">
      <c r="A434" s="191" t="s">
        <v>881</v>
      </c>
      <c r="B434" s="191" t="s">
        <v>903</v>
      </c>
      <c r="C434" s="192" t="s">
        <v>861</v>
      </c>
      <c r="D434" s="201" t="s">
        <v>862</v>
      </c>
      <c r="E434" s="192">
        <v>98.9</v>
      </c>
      <c r="F434" s="192">
        <v>78.3</v>
      </c>
      <c r="G434" s="192">
        <v>85.2</v>
      </c>
    </row>
    <row r="435" spans="1:7" x14ac:dyDescent="0.3">
      <c r="A435" s="191" t="s">
        <v>881</v>
      </c>
      <c r="B435" s="191" t="s">
        <v>903</v>
      </c>
      <c r="C435" s="192" t="s">
        <v>863</v>
      </c>
      <c r="D435" s="201" t="s">
        <v>864</v>
      </c>
      <c r="E435" s="192">
        <v>124.9</v>
      </c>
      <c r="F435" s="192">
        <v>91.2</v>
      </c>
      <c r="G435" s="192">
        <v>115.2</v>
      </c>
    </row>
    <row r="436" spans="1:7" x14ac:dyDescent="0.3">
      <c r="A436" s="191" t="s">
        <v>881</v>
      </c>
      <c r="B436" s="191" t="s">
        <v>903</v>
      </c>
      <c r="C436" s="192" t="s">
        <v>865</v>
      </c>
      <c r="D436" s="201" t="s">
        <v>866</v>
      </c>
      <c r="E436" s="192">
        <v>112.2</v>
      </c>
      <c r="F436" s="192">
        <v>81.2</v>
      </c>
      <c r="G436" s="192">
        <v>94.2</v>
      </c>
    </row>
    <row r="437" spans="1:7" x14ac:dyDescent="0.3">
      <c r="A437" s="191" t="s">
        <v>881</v>
      </c>
      <c r="B437" s="191" t="s">
        <v>903</v>
      </c>
      <c r="C437" s="192" t="s">
        <v>867</v>
      </c>
      <c r="D437" s="201" t="s">
        <v>868</v>
      </c>
      <c r="E437" s="192">
        <v>111.7</v>
      </c>
      <c r="F437" s="192">
        <v>82</v>
      </c>
      <c r="G437" s="192">
        <v>95.2</v>
      </c>
    </row>
    <row r="438" spans="1:7" x14ac:dyDescent="0.3">
      <c r="A438" s="191" t="s">
        <v>881</v>
      </c>
      <c r="B438" s="191" t="s">
        <v>903</v>
      </c>
      <c r="C438" s="192" t="s">
        <v>869</v>
      </c>
      <c r="D438" s="201" t="s">
        <v>870</v>
      </c>
      <c r="E438" s="192">
        <v>131.1</v>
      </c>
      <c r="F438" s="192">
        <v>91.4</v>
      </c>
      <c r="G438" s="192">
        <v>122.5</v>
      </c>
    </row>
    <row r="439" spans="1:7" x14ac:dyDescent="0.3">
      <c r="A439" s="191" t="s">
        <v>881</v>
      </c>
      <c r="B439" s="191" t="s">
        <v>903</v>
      </c>
      <c r="C439" s="192" t="s">
        <v>871</v>
      </c>
      <c r="D439" s="201" t="s">
        <v>872</v>
      </c>
      <c r="E439" s="192">
        <v>103.6</v>
      </c>
      <c r="F439" s="192">
        <v>91.3</v>
      </c>
      <c r="G439" s="192">
        <v>98.4</v>
      </c>
    </row>
    <row r="440" spans="1:7" x14ac:dyDescent="0.3">
      <c r="A440" s="191" t="s">
        <v>881</v>
      </c>
      <c r="B440" s="191" t="s">
        <v>903</v>
      </c>
      <c r="C440" s="192" t="s">
        <v>873</v>
      </c>
      <c r="D440" s="201" t="s">
        <v>874</v>
      </c>
      <c r="E440" s="192">
        <v>102.9</v>
      </c>
      <c r="F440" s="192">
        <v>84.8</v>
      </c>
      <c r="G440" s="192">
        <v>93.8</v>
      </c>
    </row>
    <row r="441" spans="1:7" x14ac:dyDescent="0.3">
      <c r="A441" s="191" t="s">
        <v>881</v>
      </c>
      <c r="B441" s="191" t="s">
        <v>903</v>
      </c>
      <c r="C441" s="192" t="s">
        <v>875</v>
      </c>
      <c r="D441" s="201" t="s">
        <v>876</v>
      </c>
      <c r="E441" s="192">
        <v>114.6</v>
      </c>
      <c r="F441" s="192">
        <v>87.2</v>
      </c>
      <c r="G441" s="192">
        <v>102.5</v>
      </c>
    </row>
    <row r="442" spans="1:7" x14ac:dyDescent="0.3">
      <c r="A442" s="191" t="s">
        <v>837</v>
      </c>
      <c r="B442" s="191" t="s">
        <v>904</v>
      </c>
      <c r="C442" s="192" t="s">
        <v>1301</v>
      </c>
      <c r="D442" s="202" t="s">
        <v>1599</v>
      </c>
      <c r="E442" s="192">
        <v>0</v>
      </c>
      <c r="F442" s="192">
        <v>101.8</v>
      </c>
      <c r="G442" s="192">
        <v>101.8</v>
      </c>
    </row>
    <row r="443" spans="1:7" x14ac:dyDescent="0.3">
      <c r="A443" s="191" t="s">
        <v>837</v>
      </c>
      <c r="B443" s="191" t="s">
        <v>904</v>
      </c>
      <c r="C443" s="192" t="s">
        <v>839</v>
      </c>
      <c r="D443" s="201" t="s">
        <v>840</v>
      </c>
      <c r="E443" s="192">
        <v>117.7</v>
      </c>
      <c r="F443" s="192">
        <v>99.7</v>
      </c>
      <c r="G443" s="192">
        <v>105</v>
      </c>
    </row>
    <row r="444" spans="1:7" x14ac:dyDescent="0.3">
      <c r="A444" s="191" t="s">
        <v>837</v>
      </c>
      <c r="B444" s="191" t="s">
        <v>904</v>
      </c>
      <c r="C444" s="192" t="s">
        <v>841</v>
      </c>
      <c r="D444" s="201" t="s">
        <v>842</v>
      </c>
      <c r="E444" s="192">
        <v>122.8</v>
      </c>
      <c r="F444" s="192">
        <v>92.5</v>
      </c>
      <c r="G444" s="192">
        <v>96.6</v>
      </c>
    </row>
    <row r="445" spans="1:7" x14ac:dyDescent="0.3">
      <c r="A445" s="191" t="s">
        <v>837</v>
      </c>
      <c r="B445" s="191" t="s">
        <v>904</v>
      </c>
      <c r="C445" s="192" t="s">
        <v>843</v>
      </c>
      <c r="D445" s="201" t="s">
        <v>844</v>
      </c>
      <c r="E445" s="192">
        <v>114.3</v>
      </c>
      <c r="F445" s="192">
        <v>82.6</v>
      </c>
      <c r="G445" s="192">
        <v>97.9</v>
      </c>
    </row>
    <row r="446" spans="1:7" x14ac:dyDescent="0.3">
      <c r="A446" s="191" t="s">
        <v>837</v>
      </c>
      <c r="B446" s="191" t="s">
        <v>904</v>
      </c>
      <c r="C446" s="192" t="s">
        <v>845</v>
      </c>
      <c r="D446" s="201" t="s">
        <v>846</v>
      </c>
      <c r="E446" s="192">
        <v>138.4</v>
      </c>
      <c r="F446" s="192">
        <v>101</v>
      </c>
      <c r="G446" s="192">
        <v>123.7</v>
      </c>
    </row>
    <row r="447" spans="1:7" x14ac:dyDescent="0.3">
      <c r="A447" s="191" t="s">
        <v>837</v>
      </c>
      <c r="B447" s="191" t="s">
        <v>904</v>
      </c>
      <c r="C447" s="192" t="s">
        <v>847</v>
      </c>
      <c r="D447" s="201" t="s">
        <v>848</v>
      </c>
      <c r="E447" s="192">
        <v>126.7</v>
      </c>
      <c r="F447" s="192">
        <v>93.6</v>
      </c>
      <c r="G447" s="192">
        <v>110.6</v>
      </c>
    </row>
    <row r="448" spans="1:7" x14ac:dyDescent="0.3">
      <c r="A448" s="191" t="s">
        <v>837</v>
      </c>
      <c r="B448" s="191" t="s">
        <v>904</v>
      </c>
      <c r="C448" s="192" t="s">
        <v>849</v>
      </c>
      <c r="D448" s="201" t="s">
        <v>850</v>
      </c>
      <c r="E448" s="192">
        <v>181</v>
      </c>
      <c r="F448" s="192">
        <v>99</v>
      </c>
      <c r="G448" s="192">
        <v>130.5</v>
      </c>
    </row>
    <row r="449" spans="1:7" x14ac:dyDescent="0.3">
      <c r="A449" s="191" t="s">
        <v>837</v>
      </c>
      <c r="B449" s="191" t="s">
        <v>904</v>
      </c>
      <c r="C449" s="192" t="s">
        <v>851</v>
      </c>
      <c r="D449" s="201" t="s">
        <v>852</v>
      </c>
      <c r="E449" s="192">
        <v>110.1</v>
      </c>
      <c r="F449" s="192">
        <v>89.5</v>
      </c>
      <c r="G449" s="192">
        <v>103.6</v>
      </c>
    </row>
    <row r="450" spans="1:7" x14ac:dyDescent="0.3">
      <c r="A450" s="191" t="s">
        <v>837</v>
      </c>
      <c r="B450" s="191" t="s">
        <v>904</v>
      </c>
      <c r="C450" s="192" t="s">
        <v>853</v>
      </c>
      <c r="D450" s="201" t="s">
        <v>854</v>
      </c>
      <c r="E450" s="192">
        <v>120.5</v>
      </c>
      <c r="F450" s="192">
        <v>91.5</v>
      </c>
      <c r="G450" s="192">
        <v>104.3</v>
      </c>
    </row>
    <row r="451" spans="1:7" x14ac:dyDescent="0.3">
      <c r="A451" s="191" t="s">
        <v>837</v>
      </c>
      <c r="B451" s="191" t="s">
        <v>904</v>
      </c>
      <c r="C451" s="192" t="s">
        <v>855</v>
      </c>
      <c r="D451" s="201" t="s">
        <v>856</v>
      </c>
      <c r="E451" s="192">
        <v>117.2</v>
      </c>
      <c r="F451" s="192">
        <v>92.6</v>
      </c>
      <c r="G451" s="192">
        <v>106.9</v>
      </c>
    </row>
    <row r="452" spans="1:7" x14ac:dyDescent="0.3">
      <c r="A452" s="191" t="s">
        <v>837</v>
      </c>
      <c r="B452" s="191" t="s">
        <v>904</v>
      </c>
      <c r="C452" s="192" t="s">
        <v>857</v>
      </c>
      <c r="D452" s="201" t="s">
        <v>858</v>
      </c>
      <c r="E452" s="192">
        <v>96</v>
      </c>
      <c r="F452" s="192">
        <v>86.8</v>
      </c>
      <c r="G452" s="192">
        <v>93.8</v>
      </c>
    </row>
    <row r="453" spans="1:7" x14ac:dyDescent="0.3">
      <c r="A453" s="191" t="s">
        <v>837</v>
      </c>
      <c r="B453" s="191" t="s">
        <v>904</v>
      </c>
      <c r="C453" s="192" t="s">
        <v>859</v>
      </c>
      <c r="D453" s="201" t="s">
        <v>860</v>
      </c>
      <c r="E453" s="192">
        <v>136.69999999999999</v>
      </c>
      <c r="F453" s="192">
        <v>91.2</v>
      </c>
      <c r="G453" s="192">
        <v>106.3</v>
      </c>
    </row>
    <row r="454" spans="1:7" x14ac:dyDescent="0.3">
      <c r="A454" s="191" t="s">
        <v>837</v>
      </c>
      <c r="B454" s="191" t="s">
        <v>904</v>
      </c>
      <c r="C454" s="192" t="s">
        <v>861</v>
      </c>
      <c r="D454" s="201" t="s">
        <v>862</v>
      </c>
      <c r="E454" s="192">
        <v>103</v>
      </c>
      <c r="F454" s="192">
        <v>91.2</v>
      </c>
      <c r="G454" s="192">
        <v>95.2</v>
      </c>
    </row>
    <row r="455" spans="1:7" x14ac:dyDescent="0.3">
      <c r="A455" s="191" t="s">
        <v>837</v>
      </c>
      <c r="B455" s="191" t="s">
        <v>904</v>
      </c>
      <c r="C455" s="192" t="s">
        <v>863</v>
      </c>
      <c r="D455" s="201" t="s">
        <v>864</v>
      </c>
      <c r="E455" s="192">
        <v>122.5</v>
      </c>
      <c r="F455" s="192">
        <v>102.4</v>
      </c>
      <c r="G455" s="192">
        <v>116.7</v>
      </c>
    </row>
    <row r="456" spans="1:7" x14ac:dyDescent="0.3">
      <c r="A456" s="191" t="s">
        <v>837</v>
      </c>
      <c r="B456" s="191" t="s">
        <v>904</v>
      </c>
      <c r="C456" s="192" t="s">
        <v>865</v>
      </c>
      <c r="D456" s="201" t="s">
        <v>866</v>
      </c>
      <c r="E456" s="192">
        <v>112.3</v>
      </c>
      <c r="F456" s="192">
        <v>105.7</v>
      </c>
      <c r="G456" s="192">
        <v>108.4</v>
      </c>
    </row>
    <row r="457" spans="1:7" x14ac:dyDescent="0.3">
      <c r="A457" s="191" t="s">
        <v>837</v>
      </c>
      <c r="B457" s="191" t="s">
        <v>904</v>
      </c>
      <c r="C457" s="192" t="s">
        <v>867</v>
      </c>
      <c r="D457" s="201" t="s">
        <v>868</v>
      </c>
      <c r="E457" s="192">
        <v>116</v>
      </c>
      <c r="F457" s="192">
        <v>96.1</v>
      </c>
      <c r="G457" s="192">
        <v>105</v>
      </c>
    </row>
    <row r="458" spans="1:7" x14ac:dyDescent="0.3">
      <c r="A458" s="191" t="s">
        <v>837</v>
      </c>
      <c r="B458" s="191" t="s">
        <v>904</v>
      </c>
      <c r="C458" s="192" t="s">
        <v>869</v>
      </c>
      <c r="D458" s="201" t="s">
        <v>870</v>
      </c>
      <c r="E458" s="192">
        <v>131.1</v>
      </c>
      <c r="F458" s="192">
        <v>73.5</v>
      </c>
      <c r="G458" s="192">
        <v>118.7</v>
      </c>
    </row>
    <row r="459" spans="1:7" x14ac:dyDescent="0.3">
      <c r="A459" s="191" t="s">
        <v>837</v>
      </c>
      <c r="B459" s="191" t="s">
        <v>904</v>
      </c>
      <c r="C459" s="192" t="s">
        <v>871</v>
      </c>
      <c r="D459" s="201" t="s">
        <v>872</v>
      </c>
      <c r="E459" s="192">
        <v>103.6</v>
      </c>
      <c r="F459" s="192">
        <v>106.6</v>
      </c>
      <c r="G459" s="192">
        <v>104.9</v>
      </c>
    </row>
    <row r="460" spans="1:7" x14ac:dyDescent="0.3">
      <c r="A460" s="191" t="s">
        <v>837</v>
      </c>
      <c r="B460" s="191" t="s">
        <v>904</v>
      </c>
      <c r="C460" s="192" t="s">
        <v>873</v>
      </c>
      <c r="D460" s="201" t="s">
        <v>874</v>
      </c>
      <c r="E460" s="192">
        <v>111.4</v>
      </c>
      <c r="F460" s="192">
        <v>92</v>
      </c>
      <c r="G460" s="192">
        <v>101.6</v>
      </c>
    </row>
    <row r="461" spans="1:7" x14ac:dyDescent="0.3">
      <c r="A461" s="191" t="s">
        <v>837</v>
      </c>
      <c r="B461" s="191" t="s">
        <v>904</v>
      </c>
      <c r="C461" s="192" t="s">
        <v>875</v>
      </c>
      <c r="D461" s="201" t="s">
        <v>876</v>
      </c>
      <c r="E461" s="192">
        <v>115.3</v>
      </c>
      <c r="F461" s="192">
        <v>96.1</v>
      </c>
      <c r="G461" s="192">
        <v>106.9</v>
      </c>
    </row>
    <row r="462" spans="1:7" x14ac:dyDescent="0.3">
      <c r="A462" s="191" t="s">
        <v>884</v>
      </c>
      <c r="B462" s="191" t="s">
        <v>905</v>
      </c>
      <c r="C462" s="192" t="s">
        <v>1301</v>
      </c>
      <c r="D462" s="202" t="s">
        <v>1599</v>
      </c>
      <c r="E462" s="192">
        <v>0</v>
      </c>
      <c r="F462" s="192">
        <v>102.2</v>
      </c>
      <c r="G462" s="192">
        <v>102.2</v>
      </c>
    </row>
    <row r="463" spans="1:7" x14ac:dyDescent="0.3">
      <c r="A463" s="191" t="s">
        <v>884</v>
      </c>
      <c r="B463" s="191" t="s">
        <v>905</v>
      </c>
      <c r="C463" s="192" t="s">
        <v>839</v>
      </c>
      <c r="D463" s="201" t="s">
        <v>840</v>
      </c>
      <c r="E463" s="192">
        <v>99.2</v>
      </c>
      <c r="F463" s="192">
        <v>99.1</v>
      </c>
      <c r="G463" s="192">
        <v>99.1</v>
      </c>
    </row>
    <row r="464" spans="1:7" x14ac:dyDescent="0.3">
      <c r="A464" s="191" t="s">
        <v>884</v>
      </c>
      <c r="B464" s="191" t="s">
        <v>905</v>
      </c>
      <c r="C464" s="192" t="s">
        <v>841</v>
      </c>
      <c r="D464" s="201" t="s">
        <v>842</v>
      </c>
      <c r="E464" s="192">
        <v>130</v>
      </c>
      <c r="F464" s="192">
        <v>85.3</v>
      </c>
      <c r="G464" s="192">
        <v>91.3</v>
      </c>
    </row>
    <row r="465" spans="1:7" x14ac:dyDescent="0.3">
      <c r="A465" s="191" t="s">
        <v>884</v>
      </c>
      <c r="B465" s="191" t="s">
        <v>905</v>
      </c>
      <c r="C465" s="192" t="s">
        <v>843</v>
      </c>
      <c r="D465" s="201" t="s">
        <v>844</v>
      </c>
      <c r="E465" s="192">
        <v>144.6</v>
      </c>
      <c r="F465" s="192">
        <v>77.900000000000006</v>
      </c>
      <c r="G465" s="192">
        <v>110.1</v>
      </c>
    </row>
    <row r="466" spans="1:7" x14ac:dyDescent="0.3">
      <c r="A466" s="191" t="s">
        <v>884</v>
      </c>
      <c r="B466" s="191" t="s">
        <v>905</v>
      </c>
      <c r="C466" s="192" t="s">
        <v>845</v>
      </c>
      <c r="D466" s="201" t="s">
        <v>846</v>
      </c>
      <c r="E466" s="192">
        <v>119.4</v>
      </c>
      <c r="F466" s="192">
        <v>96.6</v>
      </c>
      <c r="G466" s="192">
        <v>110.4</v>
      </c>
    </row>
    <row r="467" spans="1:7" x14ac:dyDescent="0.3">
      <c r="A467" s="191" t="s">
        <v>884</v>
      </c>
      <c r="B467" s="191" t="s">
        <v>905</v>
      </c>
      <c r="C467" s="192" t="s">
        <v>847</v>
      </c>
      <c r="D467" s="201" t="s">
        <v>848</v>
      </c>
      <c r="E467" s="192">
        <v>122.3</v>
      </c>
      <c r="F467" s="192">
        <v>88</v>
      </c>
      <c r="G467" s="192">
        <v>105.7</v>
      </c>
    </row>
    <row r="468" spans="1:7" x14ac:dyDescent="0.3">
      <c r="A468" s="191" t="s">
        <v>884</v>
      </c>
      <c r="B468" s="191" t="s">
        <v>905</v>
      </c>
      <c r="C468" s="192" t="s">
        <v>849</v>
      </c>
      <c r="D468" s="201" t="s">
        <v>850</v>
      </c>
      <c r="E468" s="192">
        <v>165.4</v>
      </c>
      <c r="F468" s="192">
        <v>86.7</v>
      </c>
      <c r="G468" s="192">
        <v>116.9</v>
      </c>
    </row>
    <row r="469" spans="1:7" x14ac:dyDescent="0.3">
      <c r="A469" s="191" t="s">
        <v>884</v>
      </c>
      <c r="B469" s="191" t="s">
        <v>905</v>
      </c>
      <c r="C469" s="192" t="s">
        <v>851</v>
      </c>
      <c r="D469" s="201" t="s">
        <v>852</v>
      </c>
      <c r="E469" s="192">
        <v>108.6</v>
      </c>
      <c r="F469" s="192">
        <v>86.8</v>
      </c>
      <c r="G469" s="192">
        <v>101.7</v>
      </c>
    </row>
    <row r="470" spans="1:7" x14ac:dyDescent="0.3">
      <c r="A470" s="191" t="s">
        <v>884</v>
      </c>
      <c r="B470" s="191" t="s">
        <v>905</v>
      </c>
      <c r="C470" s="192" t="s">
        <v>853</v>
      </c>
      <c r="D470" s="201" t="s">
        <v>854</v>
      </c>
      <c r="E470" s="192">
        <v>132.5</v>
      </c>
      <c r="F470" s="192">
        <v>85</v>
      </c>
      <c r="G470" s="192">
        <v>106</v>
      </c>
    </row>
    <row r="471" spans="1:7" x14ac:dyDescent="0.3">
      <c r="A471" s="191" t="s">
        <v>884</v>
      </c>
      <c r="B471" s="191" t="s">
        <v>905</v>
      </c>
      <c r="C471" s="192" t="s">
        <v>855</v>
      </c>
      <c r="D471" s="201" t="s">
        <v>856</v>
      </c>
      <c r="E471" s="192">
        <v>110.6</v>
      </c>
      <c r="F471" s="192">
        <v>87.9</v>
      </c>
      <c r="G471" s="192">
        <v>101.1</v>
      </c>
    </row>
    <row r="472" spans="1:7" x14ac:dyDescent="0.3">
      <c r="A472" s="191" t="s">
        <v>884</v>
      </c>
      <c r="B472" s="191" t="s">
        <v>905</v>
      </c>
      <c r="C472" s="192" t="s">
        <v>857</v>
      </c>
      <c r="D472" s="201" t="s">
        <v>858</v>
      </c>
      <c r="E472" s="192">
        <v>94.8</v>
      </c>
      <c r="F472" s="192">
        <v>74.099999999999994</v>
      </c>
      <c r="G472" s="192">
        <v>90</v>
      </c>
    </row>
    <row r="473" spans="1:7" x14ac:dyDescent="0.3">
      <c r="A473" s="191" t="s">
        <v>884</v>
      </c>
      <c r="B473" s="191" t="s">
        <v>905</v>
      </c>
      <c r="C473" s="192" t="s">
        <v>859</v>
      </c>
      <c r="D473" s="201" t="s">
        <v>860</v>
      </c>
      <c r="E473" s="192">
        <v>115.7</v>
      </c>
      <c r="F473" s="192">
        <v>84.4</v>
      </c>
      <c r="G473" s="192">
        <v>94.8</v>
      </c>
    </row>
    <row r="474" spans="1:7" x14ac:dyDescent="0.3">
      <c r="A474" s="191" t="s">
        <v>884</v>
      </c>
      <c r="B474" s="191" t="s">
        <v>905</v>
      </c>
      <c r="C474" s="192" t="s">
        <v>861</v>
      </c>
      <c r="D474" s="201" t="s">
        <v>862</v>
      </c>
      <c r="E474" s="192">
        <v>98.1</v>
      </c>
      <c r="F474" s="192">
        <v>84.4</v>
      </c>
      <c r="G474" s="192">
        <v>89</v>
      </c>
    </row>
    <row r="475" spans="1:7" x14ac:dyDescent="0.3">
      <c r="A475" s="191" t="s">
        <v>884</v>
      </c>
      <c r="B475" s="191" t="s">
        <v>905</v>
      </c>
      <c r="C475" s="192" t="s">
        <v>863</v>
      </c>
      <c r="D475" s="201" t="s">
        <v>864</v>
      </c>
      <c r="E475" s="192">
        <v>122.5</v>
      </c>
      <c r="F475" s="192">
        <v>95.7</v>
      </c>
      <c r="G475" s="192">
        <v>114.8</v>
      </c>
    </row>
    <row r="476" spans="1:7" x14ac:dyDescent="0.3">
      <c r="A476" s="191" t="s">
        <v>884</v>
      </c>
      <c r="B476" s="191" t="s">
        <v>905</v>
      </c>
      <c r="C476" s="192" t="s">
        <v>865</v>
      </c>
      <c r="D476" s="201" t="s">
        <v>866</v>
      </c>
      <c r="E476" s="192">
        <v>112.3</v>
      </c>
      <c r="F476" s="192">
        <v>91.7</v>
      </c>
      <c r="G476" s="192">
        <v>100.3</v>
      </c>
    </row>
    <row r="477" spans="1:7" x14ac:dyDescent="0.3">
      <c r="A477" s="191" t="s">
        <v>884</v>
      </c>
      <c r="B477" s="191" t="s">
        <v>905</v>
      </c>
      <c r="C477" s="192" t="s">
        <v>867</v>
      </c>
      <c r="D477" s="201" t="s">
        <v>868</v>
      </c>
      <c r="E477" s="192">
        <v>111.1</v>
      </c>
      <c r="F477" s="192">
        <v>88.2</v>
      </c>
      <c r="G477" s="192">
        <v>98.4</v>
      </c>
    </row>
    <row r="478" spans="1:7" x14ac:dyDescent="0.3">
      <c r="A478" s="191" t="s">
        <v>884</v>
      </c>
      <c r="B478" s="191" t="s">
        <v>905</v>
      </c>
      <c r="C478" s="192" t="s">
        <v>869</v>
      </c>
      <c r="D478" s="201" t="s">
        <v>870</v>
      </c>
      <c r="E478" s="192">
        <v>131.1</v>
      </c>
      <c r="F478" s="192">
        <v>82.8</v>
      </c>
      <c r="G478" s="192">
        <v>120.7</v>
      </c>
    </row>
    <row r="479" spans="1:7" x14ac:dyDescent="0.3">
      <c r="A479" s="191" t="s">
        <v>884</v>
      </c>
      <c r="B479" s="191" t="s">
        <v>905</v>
      </c>
      <c r="C479" s="192" t="s">
        <v>871</v>
      </c>
      <c r="D479" s="201" t="s">
        <v>872</v>
      </c>
      <c r="E479" s="192">
        <v>103.6</v>
      </c>
      <c r="F479" s="192">
        <v>90</v>
      </c>
      <c r="G479" s="192">
        <v>97.8</v>
      </c>
    </row>
    <row r="480" spans="1:7" x14ac:dyDescent="0.3">
      <c r="A480" s="191" t="s">
        <v>884</v>
      </c>
      <c r="B480" s="191" t="s">
        <v>905</v>
      </c>
      <c r="C480" s="192" t="s">
        <v>873</v>
      </c>
      <c r="D480" s="201" t="s">
        <v>874</v>
      </c>
      <c r="E480" s="192">
        <v>109.5</v>
      </c>
      <c r="F480" s="192">
        <v>72.099999999999994</v>
      </c>
      <c r="G480" s="192">
        <v>90.6</v>
      </c>
    </row>
    <row r="481" spans="1:7" x14ac:dyDescent="0.3">
      <c r="A481" s="191" t="s">
        <v>884</v>
      </c>
      <c r="B481" s="191" t="s">
        <v>905</v>
      </c>
      <c r="C481" s="192" t="s">
        <v>875</v>
      </c>
      <c r="D481" s="201" t="s">
        <v>876</v>
      </c>
      <c r="E481" s="192">
        <v>112.5</v>
      </c>
      <c r="F481" s="192">
        <v>86.1</v>
      </c>
      <c r="G481" s="192">
        <v>100.9</v>
      </c>
    </row>
    <row r="482" spans="1:7" x14ac:dyDescent="0.3">
      <c r="A482" s="191" t="s">
        <v>837</v>
      </c>
      <c r="B482" s="191" t="s">
        <v>906</v>
      </c>
      <c r="C482" s="192" t="s">
        <v>1301</v>
      </c>
      <c r="D482" s="202" t="s">
        <v>1599</v>
      </c>
      <c r="E482" s="192">
        <v>0</v>
      </c>
      <c r="F482" s="192">
        <v>101.8</v>
      </c>
      <c r="G482" s="192">
        <v>101.8</v>
      </c>
    </row>
    <row r="483" spans="1:7" x14ac:dyDescent="0.3">
      <c r="A483" s="191" t="s">
        <v>837</v>
      </c>
      <c r="B483" s="191" t="s">
        <v>906</v>
      </c>
      <c r="C483" s="192" t="s">
        <v>839</v>
      </c>
      <c r="D483" s="201" t="s">
        <v>840</v>
      </c>
      <c r="E483" s="192">
        <v>119.2</v>
      </c>
      <c r="F483" s="192">
        <v>99.3</v>
      </c>
      <c r="G483" s="192">
        <v>105.1</v>
      </c>
    </row>
    <row r="484" spans="1:7" x14ac:dyDescent="0.3">
      <c r="A484" s="191" t="s">
        <v>837</v>
      </c>
      <c r="B484" s="191" t="s">
        <v>906</v>
      </c>
      <c r="C484" s="192" t="s">
        <v>841</v>
      </c>
      <c r="D484" s="201" t="s">
        <v>842</v>
      </c>
      <c r="E484" s="192">
        <v>124.1</v>
      </c>
      <c r="F484" s="192">
        <v>84.5</v>
      </c>
      <c r="G484" s="192">
        <v>89.8</v>
      </c>
    </row>
    <row r="485" spans="1:7" x14ac:dyDescent="0.3">
      <c r="A485" s="191" t="s">
        <v>837</v>
      </c>
      <c r="B485" s="191" t="s">
        <v>906</v>
      </c>
      <c r="C485" s="192" t="s">
        <v>843</v>
      </c>
      <c r="D485" s="201" t="s">
        <v>844</v>
      </c>
      <c r="E485" s="192">
        <v>160.69999999999999</v>
      </c>
      <c r="F485" s="192">
        <v>80.900000000000006</v>
      </c>
      <c r="G485" s="192">
        <v>119.4</v>
      </c>
    </row>
    <row r="486" spans="1:7" x14ac:dyDescent="0.3">
      <c r="A486" s="191" t="s">
        <v>837</v>
      </c>
      <c r="B486" s="191" t="s">
        <v>906</v>
      </c>
      <c r="C486" s="192" t="s">
        <v>845</v>
      </c>
      <c r="D486" s="201" t="s">
        <v>846</v>
      </c>
      <c r="E486" s="192">
        <v>150</v>
      </c>
      <c r="F486" s="192">
        <v>86.1</v>
      </c>
      <c r="G486" s="192">
        <v>124.8</v>
      </c>
    </row>
    <row r="487" spans="1:7" x14ac:dyDescent="0.3">
      <c r="A487" s="191" t="s">
        <v>837</v>
      </c>
      <c r="B487" s="191" t="s">
        <v>906</v>
      </c>
      <c r="C487" s="192" t="s">
        <v>847</v>
      </c>
      <c r="D487" s="201" t="s">
        <v>848</v>
      </c>
      <c r="E487" s="192">
        <v>139.30000000000001</v>
      </c>
      <c r="F487" s="192">
        <v>84.7</v>
      </c>
      <c r="G487" s="192">
        <v>112.7</v>
      </c>
    </row>
    <row r="488" spans="1:7" x14ac:dyDescent="0.3">
      <c r="A488" s="191" t="s">
        <v>837</v>
      </c>
      <c r="B488" s="191" t="s">
        <v>906</v>
      </c>
      <c r="C488" s="192" t="s">
        <v>849</v>
      </c>
      <c r="D488" s="201" t="s">
        <v>850</v>
      </c>
      <c r="E488" s="192">
        <v>169.6</v>
      </c>
      <c r="F488" s="192">
        <v>89.5</v>
      </c>
      <c r="G488" s="192">
        <v>120.2</v>
      </c>
    </row>
    <row r="489" spans="1:7" x14ac:dyDescent="0.3">
      <c r="A489" s="191" t="s">
        <v>837</v>
      </c>
      <c r="B489" s="191" t="s">
        <v>906</v>
      </c>
      <c r="C489" s="192" t="s">
        <v>851</v>
      </c>
      <c r="D489" s="201" t="s">
        <v>852</v>
      </c>
      <c r="E489" s="192">
        <v>110.2</v>
      </c>
      <c r="F489" s="192">
        <v>88.7</v>
      </c>
      <c r="G489" s="192">
        <v>103.4</v>
      </c>
    </row>
    <row r="490" spans="1:7" x14ac:dyDescent="0.3">
      <c r="A490" s="191" t="s">
        <v>837</v>
      </c>
      <c r="B490" s="191" t="s">
        <v>906</v>
      </c>
      <c r="C490" s="192" t="s">
        <v>853</v>
      </c>
      <c r="D490" s="201" t="s">
        <v>854</v>
      </c>
      <c r="E490" s="192">
        <v>121.6</v>
      </c>
      <c r="F490" s="192">
        <v>84.7</v>
      </c>
      <c r="G490" s="192">
        <v>101</v>
      </c>
    </row>
    <row r="491" spans="1:7" x14ac:dyDescent="0.3">
      <c r="A491" s="191" t="s">
        <v>837</v>
      </c>
      <c r="B491" s="191" t="s">
        <v>906</v>
      </c>
      <c r="C491" s="192" t="s">
        <v>855</v>
      </c>
      <c r="D491" s="201" t="s">
        <v>856</v>
      </c>
      <c r="E491" s="192">
        <v>117.1</v>
      </c>
      <c r="F491" s="192">
        <v>83.7</v>
      </c>
      <c r="G491" s="192">
        <v>103.2</v>
      </c>
    </row>
    <row r="492" spans="1:7" x14ac:dyDescent="0.3">
      <c r="A492" s="191" t="s">
        <v>837</v>
      </c>
      <c r="B492" s="191" t="s">
        <v>906</v>
      </c>
      <c r="C492" s="192" t="s">
        <v>857</v>
      </c>
      <c r="D492" s="201" t="s">
        <v>858</v>
      </c>
      <c r="E492" s="192">
        <v>93.6</v>
      </c>
      <c r="F492" s="192">
        <v>81.3</v>
      </c>
      <c r="G492" s="192">
        <v>90.8</v>
      </c>
    </row>
    <row r="493" spans="1:7" x14ac:dyDescent="0.3">
      <c r="A493" s="191" t="s">
        <v>837</v>
      </c>
      <c r="B493" s="191" t="s">
        <v>906</v>
      </c>
      <c r="C493" s="192" t="s">
        <v>859</v>
      </c>
      <c r="D493" s="201" t="s">
        <v>860</v>
      </c>
      <c r="E493" s="192">
        <v>117.6</v>
      </c>
      <c r="F493" s="192">
        <v>84.1</v>
      </c>
      <c r="G493" s="192">
        <v>95.3</v>
      </c>
    </row>
    <row r="494" spans="1:7" x14ac:dyDescent="0.3">
      <c r="A494" s="191" t="s">
        <v>837</v>
      </c>
      <c r="B494" s="191" t="s">
        <v>906</v>
      </c>
      <c r="C494" s="192" t="s">
        <v>861</v>
      </c>
      <c r="D494" s="201" t="s">
        <v>862</v>
      </c>
      <c r="E494" s="192">
        <v>98.9</v>
      </c>
      <c r="F494" s="192">
        <v>84.1</v>
      </c>
      <c r="G494" s="192">
        <v>89.1</v>
      </c>
    </row>
    <row r="495" spans="1:7" x14ac:dyDescent="0.3">
      <c r="A495" s="191" t="s">
        <v>837</v>
      </c>
      <c r="B495" s="191" t="s">
        <v>906</v>
      </c>
      <c r="C495" s="192" t="s">
        <v>863</v>
      </c>
      <c r="D495" s="201" t="s">
        <v>864</v>
      </c>
      <c r="E495" s="192">
        <v>122.5</v>
      </c>
      <c r="F495" s="192">
        <v>93.7</v>
      </c>
      <c r="G495" s="192">
        <v>114.2</v>
      </c>
    </row>
    <row r="496" spans="1:7" x14ac:dyDescent="0.3">
      <c r="A496" s="191" t="s">
        <v>837</v>
      </c>
      <c r="B496" s="191" t="s">
        <v>906</v>
      </c>
      <c r="C496" s="192" t="s">
        <v>865</v>
      </c>
      <c r="D496" s="201" t="s">
        <v>866</v>
      </c>
      <c r="E496" s="192">
        <v>112.3</v>
      </c>
      <c r="F496" s="192">
        <v>91.2</v>
      </c>
      <c r="G496" s="192">
        <v>100</v>
      </c>
    </row>
    <row r="497" spans="1:7" x14ac:dyDescent="0.3">
      <c r="A497" s="191" t="s">
        <v>837</v>
      </c>
      <c r="B497" s="191" t="s">
        <v>906</v>
      </c>
      <c r="C497" s="192" t="s">
        <v>867</v>
      </c>
      <c r="D497" s="201" t="s">
        <v>868</v>
      </c>
      <c r="E497" s="192">
        <v>112.3</v>
      </c>
      <c r="F497" s="192">
        <v>87.3</v>
      </c>
      <c r="G497" s="192">
        <v>98.4</v>
      </c>
    </row>
    <row r="498" spans="1:7" x14ac:dyDescent="0.3">
      <c r="A498" s="191" t="s">
        <v>837</v>
      </c>
      <c r="B498" s="191" t="s">
        <v>906</v>
      </c>
      <c r="C498" s="192" t="s">
        <v>869</v>
      </c>
      <c r="D498" s="201" t="s">
        <v>870</v>
      </c>
      <c r="E498" s="192">
        <v>131.1</v>
      </c>
      <c r="F498" s="192">
        <v>70.7</v>
      </c>
      <c r="G498" s="192">
        <v>118</v>
      </c>
    </row>
    <row r="499" spans="1:7" x14ac:dyDescent="0.3">
      <c r="A499" s="191" t="s">
        <v>837</v>
      </c>
      <c r="B499" s="191" t="s">
        <v>906</v>
      </c>
      <c r="C499" s="192" t="s">
        <v>871</v>
      </c>
      <c r="D499" s="201" t="s">
        <v>872</v>
      </c>
      <c r="E499" s="192">
        <v>103.6</v>
      </c>
      <c r="F499" s="192">
        <v>97.1</v>
      </c>
      <c r="G499" s="192">
        <v>100.8</v>
      </c>
    </row>
    <row r="500" spans="1:7" x14ac:dyDescent="0.3">
      <c r="A500" s="191" t="s">
        <v>837</v>
      </c>
      <c r="B500" s="191" t="s">
        <v>906</v>
      </c>
      <c r="C500" s="192" t="s">
        <v>873</v>
      </c>
      <c r="D500" s="201" t="s">
        <v>874</v>
      </c>
      <c r="E500" s="192">
        <v>110.2</v>
      </c>
      <c r="F500" s="192">
        <v>90.1</v>
      </c>
      <c r="G500" s="192">
        <v>100.1</v>
      </c>
    </row>
    <row r="501" spans="1:7" x14ac:dyDescent="0.3">
      <c r="A501" s="191" t="s">
        <v>837</v>
      </c>
      <c r="B501" s="191" t="s">
        <v>906</v>
      </c>
      <c r="C501" s="192" t="s">
        <v>875</v>
      </c>
      <c r="D501" s="201" t="s">
        <v>876</v>
      </c>
      <c r="E501" s="192">
        <v>115.6</v>
      </c>
      <c r="F501" s="192">
        <v>89.8</v>
      </c>
      <c r="G501" s="192">
        <v>104.2</v>
      </c>
    </row>
    <row r="502" spans="1:7" x14ac:dyDescent="0.3">
      <c r="A502" s="191" t="s">
        <v>907</v>
      </c>
      <c r="B502" s="191" t="s">
        <v>908</v>
      </c>
      <c r="C502" s="192" t="s">
        <v>1301</v>
      </c>
      <c r="D502" s="202" t="s">
        <v>1599</v>
      </c>
      <c r="E502" s="192">
        <v>0</v>
      </c>
      <c r="F502" s="192">
        <v>101.6</v>
      </c>
      <c r="G502" s="192">
        <v>101.6</v>
      </c>
    </row>
    <row r="503" spans="1:7" x14ac:dyDescent="0.3">
      <c r="A503" s="191" t="s">
        <v>907</v>
      </c>
      <c r="B503" s="191" t="s">
        <v>908</v>
      </c>
      <c r="C503" s="192" t="s">
        <v>839</v>
      </c>
      <c r="D503" s="201" t="s">
        <v>840</v>
      </c>
      <c r="E503" s="192">
        <v>142.69999999999999</v>
      </c>
      <c r="F503" s="192">
        <v>96</v>
      </c>
      <c r="G503" s="192">
        <v>109.7</v>
      </c>
    </row>
    <row r="504" spans="1:7" x14ac:dyDescent="0.3">
      <c r="A504" s="191" t="s">
        <v>907</v>
      </c>
      <c r="B504" s="191" t="s">
        <v>908</v>
      </c>
      <c r="C504" s="192" t="s">
        <v>841</v>
      </c>
      <c r="D504" s="201" t="s">
        <v>842</v>
      </c>
      <c r="E504" s="192">
        <v>131.5</v>
      </c>
      <c r="F504" s="192">
        <v>57.8</v>
      </c>
      <c r="G504" s="192">
        <v>67.7</v>
      </c>
    </row>
    <row r="505" spans="1:7" x14ac:dyDescent="0.3">
      <c r="A505" s="191" t="s">
        <v>907</v>
      </c>
      <c r="B505" s="191" t="s">
        <v>908</v>
      </c>
      <c r="C505" s="192" t="s">
        <v>843</v>
      </c>
      <c r="D505" s="201" t="s">
        <v>844</v>
      </c>
      <c r="E505" s="192">
        <v>156.69999999999999</v>
      </c>
      <c r="F505" s="192">
        <v>59.3</v>
      </c>
      <c r="G505" s="192">
        <v>106.3</v>
      </c>
    </row>
    <row r="506" spans="1:7" x14ac:dyDescent="0.3">
      <c r="A506" s="191" t="s">
        <v>907</v>
      </c>
      <c r="B506" s="191" t="s">
        <v>908</v>
      </c>
      <c r="C506" s="192" t="s">
        <v>845</v>
      </c>
      <c r="D506" s="201" t="s">
        <v>846</v>
      </c>
      <c r="E506" s="192">
        <v>186.2</v>
      </c>
      <c r="F506" s="192">
        <v>69.400000000000006</v>
      </c>
      <c r="G506" s="192">
        <v>140.1</v>
      </c>
    </row>
    <row r="507" spans="1:7" x14ac:dyDescent="0.3">
      <c r="A507" s="191" t="s">
        <v>907</v>
      </c>
      <c r="B507" s="191" t="s">
        <v>908</v>
      </c>
      <c r="C507" s="192" t="s">
        <v>847</v>
      </c>
      <c r="D507" s="201" t="s">
        <v>848</v>
      </c>
      <c r="E507" s="192">
        <v>173.7</v>
      </c>
      <c r="F507" s="192">
        <v>62.9</v>
      </c>
      <c r="G507" s="192">
        <v>119.8</v>
      </c>
    </row>
    <row r="508" spans="1:7" x14ac:dyDescent="0.3">
      <c r="A508" s="191" t="s">
        <v>907</v>
      </c>
      <c r="B508" s="191" t="s">
        <v>908</v>
      </c>
      <c r="C508" s="192" t="s">
        <v>849</v>
      </c>
      <c r="D508" s="201" t="s">
        <v>850</v>
      </c>
      <c r="E508" s="192">
        <v>273</v>
      </c>
      <c r="F508" s="192">
        <v>62.5</v>
      </c>
      <c r="G508" s="192">
        <v>143.30000000000001</v>
      </c>
    </row>
    <row r="509" spans="1:7" x14ac:dyDescent="0.3">
      <c r="A509" s="191" t="s">
        <v>907</v>
      </c>
      <c r="B509" s="191" t="s">
        <v>908</v>
      </c>
      <c r="C509" s="192" t="s">
        <v>851</v>
      </c>
      <c r="D509" s="201" t="s">
        <v>852</v>
      </c>
      <c r="E509" s="192">
        <v>140.1</v>
      </c>
      <c r="F509" s="192">
        <v>73.599999999999994</v>
      </c>
      <c r="G509" s="192">
        <v>118.9</v>
      </c>
    </row>
    <row r="510" spans="1:7" x14ac:dyDescent="0.3">
      <c r="A510" s="191" t="s">
        <v>907</v>
      </c>
      <c r="B510" s="191" t="s">
        <v>908</v>
      </c>
      <c r="C510" s="192" t="s">
        <v>853</v>
      </c>
      <c r="D510" s="201" t="s">
        <v>854</v>
      </c>
      <c r="E510" s="192">
        <v>120.8</v>
      </c>
      <c r="F510" s="192">
        <v>56.3</v>
      </c>
      <c r="G510" s="192">
        <v>84.9</v>
      </c>
    </row>
    <row r="511" spans="1:7" x14ac:dyDescent="0.3">
      <c r="A511" s="191" t="s">
        <v>907</v>
      </c>
      <c r="B511" s="191" t="s">
        <v>908</v>
      </c>
      <c r="C511" s="192" t="s">
        <v>855</v>
      </c>
      <c r="D511" s="201" t="s">
        <v>856</v>
      </c>
      <c r="E511" s="192">
        <v>145.5</v>
      </c>
      <c r="F511" s="192">
        <v>60.8</v>
      </c>
      <c r="G511" s="192">
        <v>110.1</v>
      </c>
    </row>
    <row r="512" spans="1:7" x14ac:dyDescent="0.3">
      <c r="A512" s="191" t="s">
        <v>907</v>
      </c>
      <c r="B512" s="191" t="s">
        <v>908</v>
      </c>
      <c r="C512" s="192" t="s">
        <v>857</v>
      </c>
      <c r="D512" s="201" t="s">
        <v>858</v>
      </c>
      <c r="E512" s="192">
        <v>110.5</v>
      </c>
      <c r="F512" s="192">
        <v>53.9</v>
      </c>
      <c r="G512" s="192">
        <v>97.3</v>
      </c>
    </row>
    <row r="513" spans="1:7" x14ac:dyDescent="0.3">
      <c r="A513" s="191" t="s">
        <v>907</v>
      </c>
      <c r="B513" s="191" t="s">
        <v>908</v>
      </c>
      <c r="C513" s="192" t="s">
        <v>859</v>
      </c>
      <c r="D513" s="201" t="s">
        <v>860</v>
      </c>
      <c r="E513" s="192">
        <v>154.69999999999999</v>
      </c>
      <c r="F513" s="192">
        <v>54.9</v>
      </c>
      <c r="G513" s="192">
        <v>88</v>
      </c>
    </row>
    <row r="514" spans="1:7" x14ac:dyDescent="0.3">
      <c r="A514" s="191" t="s">
        <v>907</v>
      </c>
      <c r="B514" s="191" t="s">
        <v>908</v>
      </c>
      <c r="C514" s="192" t="s">
        <v>861</v>
      </c>
      <c r="D514" s="201" t="s">
        <v>862</v>
      </c>
      <c r="E514" s="192">
        <v>152.30000000000001</v>
      </c>
      <c r="F514" s="192">
        <v>54.9</v>
      </c>
      <c r="G514" s="192">
        <v>87.8</v>
      </c>
    </row>
    <row r="515" spans="1:7" x14ac:dyDescent="0.3">
      <c r="A515" s="191" t="s">
        <v>907</v>
      </c>
      <c r="B515" s="191" t="s">
        <v>908</v>
      </c>
      <c r="C515" s="192" t="s">
        <v>863</v>
      </c>
      <c r="D515" s="201" t="s">
        <v>864</v>
      </c>
      <c r="E515" s="192">
        <v>140.69999999999999</v>
      </c>
      <c r="F515" s="192">
        <v>59</v>
      </c>
      <c r="G515" s="192">
        <v>117.2</v>
      </c>
    </row>
    <row r="516" spans="1:7" x14ac:dyDescent="0.3">
      <c r="A516" s="191" t="s">
        <v>907</v>
      </c>
      <c r="B516" s="191" t="s">
        <v>908</v>
      </c>
      <c r="C516" s="192" t="s">
        <v>865</v>
      </c>
      <c r="D516" s="201" t="s">
        <v>866</v>
      </c>
      <c r="E516" s="192">
        <v>130.69999999999999</v>
      </c>
      <c r="F516" s="192">
        <v>56</v>
      </c>
      <c r="G516" s="192">
        <v>87.3</v>
      </c>
    </row>
    <row r="517" spans="1:7" x14ac:dyDescent="0.3">
      <c r="A517" s="191" t="s">
        <v>907</v>
      </c>
      <c r="B517" s="191" t="s">
        <v>908</v>
      </c>
      <c r="C517" s="192" t="s">
        <v>867</v>
      </c>
      <c r="D517" s="201" t="s">
        <v>868</v>
      </c>
      <c r="E517" s="192">
        <v>147.69999999999999</v>
      </c>
      <c r="F517" s="192">
        <v>57.6</v>
      </c>
      <c r="G517" s="192">
        <v>97.8</v>
      </c>
    </row>
    <row r="518" spans="1:7" x14ac:dyDescent="0.3">
      <c r="A518" s="191" t="s">
        <v>907</v>
      </c>
      <c r="B518" s="191" t="s">
        <v>908</v>
      </c>
      <c r="C518" s="192" t="s">
        <v>869</v>
      </c>
      <c r="D518" s="201" t="s">
        <v>870</v>
      </c>
      <c r="E518" s="192">
        <v>131.1</v>
      </c>
      <c r="F518" s="192">
        <v>62</v>
      </c>
      <c r="G518" s="192">
        <v>116.2</v>
      </c>
    </row>
    <row r="519" spans="1:7" x14ac:dyDescent="0.3">
      <c r="A519" s="191" t="s">
        <v>907</v>
      </c>
      <c r="B519" s="191" t="s">
        <v>908</v>
      </c>
      <c r="C519" s="192" t="s">
        <v>871</v>
      </c>
      <c r="D519" s="201" t="s">
        <v>872</v>
      </c>
      <c r="E519" s="192">
        <v>104.2</v>
      </c>
      <c r="F519" s="192">
        <v>74</v>
      </c>
      <c r="G519" s="192">
        <v>91.4</v>
      </c>
    </row>
    <row r="520" spans="1:7" x14ac:dyDescent="0.3">
      <c r="A520" s="191" t="s">
        <v>907</v>
      </c>
      <c r="B520" s="191" t="s">
        <v>908</v>
      </c>
      <c r="C520" s="192" t="s">
        <v>873</v>
      </c>
      <c r="D520" s="201" t="s">
        <v>874</v>
      </c>
      <c r="E520" s="192">
        <v>124.4</v>
      </c>
      <c r="F520" s="192">
        <v>61.8</v>
      </c>
      <c r="G520" s="192">
        <v>92.8</v>
      </c>
    </row>
    <row r="521" spans="1:7" x14ac:dyDescent="0.3">
      <c r="A521" s="191" t="s">
        <v>907</v>
      </c>
      <c r="B521" s="191" t="s">
        <v>908</v>
      </c>
      <c r="C521" s="192" t="s">
        <v>875</v>
      </c>
      <c r="D521" s="201" t="s">
        <v>876</v>
      </c>
      <c r="E521" s="192">
        <v>137.1</v>
      </c>
      <c r="F521" s="192">
        <v>67.5</v>
      </c>
      <c r="G521" s="192">
        <v>106.4</v>
      </c>
    </row>
    <row r="522" spans="1:7" x14ac:dyDescent="0.3">
      <c r="A522" s="191" t="s">
        <v>909</v>
      </c>
      <c r="B522" s="191" t="s">
        <v>910</v>
      </c>
      <c r="C522" s="192" t="s">
        <v>1301</v>
      </c>
      <c r="D522" s="202" t="s">
        <v>1599</v>
      </c>
      <c r="E522" s="192">
        <v>0</v>
      </c>
      <c r="F522" s="192">
        <v>101.4</v>
      </c>
      <c r="G522" s="192">
        <v>101.4</v>
      </c>
    </row>
    <row r="523" spans="1:7" x14ac:dyDescent="0.3">
      <c r="A523" s="191" t="s">
        <v>909</v>
      </c>
      <c r="B523" s="191" t="s">
        <v>910</v>
      </c>
      <c r="C523" s="192" t="s">
        <v>839</v>
      </c>
      <c r="D523" s="201" t="s">
        <v>1599</v>
      </c>
      <c r="E523" s="192">
        <v>103.9</v>
      </c>
      <c r="F523" s="192">
        <v>97.5</v>
      </c>
      <c r="G523" s="192">
        <v>99.4</v>
      </c>
    </row>
    <row r="524" spans="1:7" x14ac:dyDescent="0.3">
      <c r="A524" s="191" t="s">
        <v>909</v>
      </c>
      <c r="B524" s="191" t="s">
        <v>910</v>
      </c>
      <c r="C524" s="192" t="s">
        <v>841</v>
      </c>
      <c r="D524" s="201" t="s">
        <v>842</v>
      </c>
      <c r="E524" s="192">
        <v>96.7</v>
      </c>
      <c r="F524" s="192">
        <v>69.5</v>
      </c>
      <c r="G524" s="192">
        <v>73.2</v>
      </c>
    </row>
    <row r="525" spans="1:7" x14ac:dyDescent="0.3">
      <c r="A525" s="191" t="s">
        <v>909</v>
      </c>
      <c r="B525" s="191" t="s">
        <v>910</v>
      </c>
      <c r="C525" s="192" t="s">
        <v>843</v>
      </c>
      <c r="D525" s="201" t="s">
        <v>844</v>
      </c>
      <c r="E525" s="192">
        <v>136.69999999999999</v>
      </c>
      <c r="F525" s="192">
        <v>46.2</v>
      </c>
      <c r="G525" s="192">
        <v>89.8</v>
      </c>
    </row>
    <row r="526" spans="1:7" x14ac:dyDescent="0.3">
      <c r="A526" s="191" t="s">
        <v>909</v>
      </c>
      <c r="B526" s="191" t="s">
        <v>910</v>
      </c>
      <c r="C526" s="192" t="s">
        <v>845</v>
      </c>
      <c r="D526" s="201" t="s">
        <v>846</v>
      </c>
      <c r="E526" s="192">
        <v>154.1</v>
      </c>
      <c r="F526" s="192">
        <v>71.3</v>
      </c>
      <c r="G526" s="192">
        <v>121.5</v>
      </c>
    </row>
    <row r="527" spans="1:7" x14ac:dyDescent="0.3">
      <c r="A527" s="191" t="s">
        <v>909</v>
      </c>
      <c r="B527" s="191" t="s">
        <v>910</v>
      </c>
      <c r="C527" s="192" t="s">
        <v>847</v>
      </c>
      <c r="D527" s="201" t="s">
        <v>848</v>
      </c>
      <c r="E527" s="192">
        <v>137.4</v>
      </c>
      <c r="F527" s="192">
        <v>66.599999999999994</v>
      </c>
      <c r="G527" s="192">
        <v>103</v>
      </c>
    </row>
    <row r="528" spans="1:7" x14ac:dyDescent="0.3">
      <c r="A528" s="191" t="s">
        <v>909</v>
      </c>
      <c r="B528" s="191" t="s">
        <v>910</v>
      </c>
      <c r="C528" s="192" t="s">
        <v>849</v>
      </c>
      <c r="D528" s="201" t="s">
        <v>850</v>
      </c>
      <c r="E528" s="192">
        <v>165</v>
      </c>
      <c r="F528" s="192">
        <v>71.599999999999994</v>
      </c>
      <c r="G528" s="192">
        <v>107.5</v>
      </c>
    </row>
    <row r="529" spans="1:7" x14ac:dyDescent="0.3">
      <c r="A529" s="191" t="s">
        <v>909</v>
      </c>
      <c r="B529" s="191" t="s">
        <v>910</v>
      </c>
      <c r="C529" s="192" t="s">
        <v>851</v>
      </c>
      <c r="D529" s="201" t="s">
        <v>852</v>
      </c>
      <c r="E529" s="192">
        <v>109.3</v>
      </c>
      <c r="F529" s="192">
        <v>74.099999999999994</v>
      </c>
      <c r="G529" s="192">
        <v>98.2</v>
      </c>
    </row>
    <row r="530" spans="1:7" x14ac:dyDescent="0.3">
      <c r="A530" s="191" t="s">
        <v>909</v>
      </c>
      <c r="B530" s="191" t="s">
        <v>910</v>
      </c>
      <c r="C530" s="192" t="s">
        <v>853</v>
      </c>
      <c r="D530" s="201" t="s">
        <v>854</v>
      </c>
      <c r="E530" s="192">
        <v>92.3</v>
      </c>
      <c r="F530" s="192">
        <v>68.599999999999994</v>
      </c>
      <c r="G530" s="192">
        <v>79.099999999999994</v>
      </c>
    </row>
    <row r="531" spans="1:7" x14ac:dyDescent="0.3">
      <c r="A531" s="191" t="s">
        <v>909</v>
      </c>
      <c r="B531" s="191" t="s">
        <v>910</v>
      </c>
      <c r="C531" s="192" t="s">
        <v>855</v>
      </c>
      <c r="D531" s="201" t="s">
        <v>856</v>
      </c>
      <c r="E531" s="192">
        <v>111.8</v>
      </c>
      <c r="F531" s="192">
        <v>68.5</v>
      </c>
      <c r="G531" s="192">
        <v>93.7</v>
      </c>
    </row>
    <row r="532" spans="1:7" x14ac:dyDescent="0.3">
      <c r="A532" s="191" t="s">
        <v>909</v>
      </c>
      <c r="B532" s="191" t="s">
        <v>910</v>
      </c>
      <c r="C532" s="192" t="s">
        <v>857</v>
      </c>
      <c r="D532" s="201" t="s">
        <v>858</v>
      </c>
      <c r="E532" s="192">
        <v>87.5</v>
      </c>
      <c r="F532" s="192">
        <v>63</v>
      </c>
      <c r="G532" s="192">
        <v>81.8</v>
      </c>
    </row>
    <row r="533" spans="1:7" x14ac:dyDescent="0.3">
      <c r="A533" s="191" t="s">
        <v>909</v>
      </c>
      <c r="B533" s="191" t="s">
        <v>910</v>
      </c>
      <c r="C533" s="192" t="s">
        <v>859</v>
      </c>
      <c r="D533" s="201" t="s">
        <v>860</v>
      </c>
      <c r="E533" s="192">
        <v>119.5</v>
      </c>
      <c r="F533" s="192">
        <v>67.599999999999994</v>
      </c>
      <c r="G533" s="192">
        <v>84.8</v>
      </c>
    </row>
    <row r="534" spans="1:7" x14ac:dyDescent="0.3">
      <c r="A534" s="191" t="s">
        <v>909</v>
      </c>
      <c r="B534" s="191" t="s">
        <v>910</v>
      </c>
      <c r="C534" s="192" t="s">
        <v>861</v>
      </c>
      <c r="D534" s="201" t="s">
        <v>862</v>
      </c>
      <c r="E534" s="192">
        <v>98.9</v>
      </c>
      <c r="F534" s="192">
        <v>67.599999999999994</v>
      </c>
      <c r="G534" s="192">
        <v>78.2</v>
      </c>
    </row>
    <row r="535" spans="1:7" x14ac:dyDescent="0.3">
      <c r="A535" s="191" t="s">
        <v>909</v>
      </c>
      <c r="B535" s="191" t="s">
        <v>910</v>
      </c>
      <c r="C535" s="192" t="s">
        <v>863</v>
      </c>
      <c r="D535" s="201" t="s">
        <v>864</v>
      </c>
      <c r="E535" s="192">
        <v>103.5</v>
      </c>
      <c r="F535" s="192">
        <v>64.599999999999994</v>
      </c>
      <c r="G535" s="192">
        <v>92.3</v>
      </c>
    </row>
    <row r="536" spans="1:7" x14ac:dyDescent="0.3">
      <c r="A536" s="191" t="s">
        <v>909</v>
      </c>
      <c r="B536" s="191" t="s">
        <v>910</v>
      </c>
      <c r="C536" s="192" t="s">
        <v>865</v>
      </c>
      <c r="D536" s="201" t="s">
        <v>866</v>
      </c>
      <c r="E536" s="192">
        <v>112.3</v>
      </c>
      <c r="F536" s="192">
        <v>64.099999999999994</v>
      </c>
      <c r="G536" s="192">
        <v>84.2</v>
      </c>
    </row>
    <row r="537" spans="1:7" x14ac:dyDescent="0.3">
      <c r="A537" s="191" t="s">
        <v>909</v>
      </c>
      <c r="B537" s="191" t="s">
        <v>910</v>
      </c>
      <c r="C537" s="192" t="s">
        <v>867</v>
      </c>
      <c r="D537" s="201" t="s">
        <v>868</v>
      </c>
      <c r="E537" s="192">
        <v>106.3</v>
      </c>
      <c r="F537" s="192">
        <v>68.2</v>
      </c>
      <c r="G537" s="192">
        <v>85.2</v>
      </c>
    </row>
    <row r="538" spans="1:7" x14ac:dyDescent="0.3">
      <c r="A538" s="191" t="s">
        <v>909</v>
      </c>
      <c r="B538" s="191" t="s">
        <v>910</v>
      </c>
      <c r="C538" s="192" t="s">
        <v>869</v>
      </c>
      <c r="D538" s="201" t="s">
        <v>870</v>
      </c>
      <c r="E538" s="192">
        <v>131.1</v>
      </c>
      <c r="F538" s="192">
        <v>64.599999999999994</v>
      </c>
      <c r="G538" s="192">
        <v>116.7</v>
      </c>
    </row>
    <row r="539" spans="1:7" x14ac:dyDescent="0.3">
      <c r="A539" s="191" t="s">
        <v>909</v>
      </c>
      <c r="B539" s="191" t="s">
        <v>910</v>
      </c>
      <c r="C539" s="192" t="s">
        <v>871</v>
      </c>
      <c r="D539" s="201" t="s">
        <v>872</v>
      </c>
      <c r="E539" s="192">
        <v>103.6</v>
      </c>
      <c r="F539" s="192">
        <v>83.5</v>
      </c>
      <c r="G539" s="192">
        <v>95.1</v>
      </c>
    </row>
    <row r="540" spans="1:7" x14ac:dyDescent="0.3">
      <c r="A540" s="191" t="s">
        <v>909</v>
      </c>
      <c r="B540" s="191" t="s">
        <v>910</v>
      </c>
      <c r="C540" s="192" t="s">
        <v>873</v>
      </c>
      <c r="D540" s="201" t="s">
        <v>874</v>
      </c>
      <c r="E540" s="192">
        <v>113.6</v>
      </c>
      <c r="F540" s="192">
        <v>63.9</v>
      </c>
      <c r="G540" s="192">
        <v>88.5</v>
      </c>
    </row>
    <row r="541" spans="1:7" x14ac:dyDescent="0.3">
      <c r="A541" s="191" t="s">
        <v>909</v>
      </c>
      <c r="B541" s="191" t="s">
        <v>910</v>
      </c>
      <c r="C541" s="192" t="s">
        <v>875</v>
      </c>
      <c r="D541" s="201" t="s">
        <v>876</v>
      </c>
      <c r="E541" s="192">
        <v>113.4</v>
      </c>
      <c r="F541" s="192">
        <v>73.599999999999994</v>
      </c>
      <c r="G541" s="192">
        <v>95.9</v>
      </c>
    </row>
    <row r="542" spans="1:7" x14ac:dyDescent="0.3">
      <c r="A542" s="191" t="s">
        <v>911</v>
      </c>
      <c r="B542" s="191" t="s">
        <v>912</v>
      </c>
      <c r="C542" s="192" t="s">
        <v>1301</v>
      </c>
      <c r="D542" s="202" t="s">
        <v>1599</v>
      </c>
      <c r="E542" s="192">
        <v>0</v>
      </c>
      <c r="F542" s="192">
        <v>102.5</v>
      </c>
      <c r="G542" s="192">
        <v>102.5</v>
      </c>
    </row>
    <row r="543" spans="1:7" x14ac:dyDescent="0.3">
      <c r="A543" s="191" t="s">
        <v>911</v>
      </c>
      <c r="B543" s="191" t="s">
        <v>912</v>
      </c>
      <c r="C543" s="192" t="s">
        <v>839</v>
      </c>
      <c r="D543" s="201" t="s">
        <v>840</v>
      </c>
      <c r="E543" s="192">
        <v>143.80000000000001</v>
      </c>
      <c r="F543" s="192">
        <v>96.2</v>
      </c>
      <c r="G543" s="192">
        <v>110.2</v>
      </c>
    </row>
    <row r="544" spans="1:7" x14ac:dyDescent="0.3">
      <c r="A544" s="191" t="s">
        <v>911</v>
      </c>
      <c r="B544" s="191" t="s">
        <v>912</v>
      </c>
      <c r="C544" s="192" t="s">
        <v>841</v>
      </c>
      <c r="D544" s="201" t="s">
        <v>842</v>
      </c>
      <c r="E544" s="192">
        <v>123.6</v>
      </c>
      <c r="F544" s="192">
        <v>59.8</v>
      </c>
      <c r="G544" s="192">
        <v>68.400000000000006</v>
      </c>
    </row>
    <row r="545" spans="1:7" x14ac:dyDescent="0.3">
      <c r="A545" s="191" t="s">
        <v>911</v>
      </c>
      <c r="B545" s="191" t="s">
        <v>912</v>
      </c>
      <c r="C545" s="192" t="s">
        <v>843</v>
      </c>
      <c r="D545" s="201" t="s">
        <v>844</v>
      </c>
      <c r="E545" s="192">
        <v>159.4</v>
      </c>
      <c r="F545" s="192">
        <v>48</v>
      </c>
      <c r="G545" s="192">
        <v>101.7</v>
      </c>
    </row>
    <row r="546" spans="1:7" x14ac:dyDescent="0.3">
      <c r="A546" s="191" t="s">
        <v>911</v>
      </c>
      <c r="B546" s="191" t="s">
        <v>912</v>
      </c>
      <c r="C546" s="192" t="s">
        <v>845</v>
      </c>
      <c r="D546" s="201" t="s">
        <v>846</v>
      </c>
      <c r="E546" s="192">
        <v>153</v>
      </c>
      <c r="F546" s="192">
        <v>69.599999999999994</v>
      </c>
      <c r="G546" s="192">
        <v>120.1</v>
      </c>
    </row>
    <row r="547" spans="1:7" x14ac:dyDescent="0.3">
      <c r="A547" s="191" t="s">
        <v>911</v>
      </c>
      <c r="B547" s="191" t="s">
        <v>912</v>
      </c>
      <c r="C547" s="192" t="s">
        <v>847</v>
      </c>
      <c r="D547" s="201" t="s">
        <v>848</v>
      </c>
      <c r="E547" s="192">
        <v>182.4</v>
      </c>
      <c r="F547" s="192">
        <v>62</v>
      </c>
      <c r="G547" s="192">
        <v>123.9</v>
      </c>
    </row>
    <row r="548" spans="1:7" x14ac:dyDescent="0.3">
      <c r="A548" s="191" t="s">
        <v>911</v>
      </c>
      <c r="B548" s="191" t="s">
        <v>912</v>
      </c>
      <c r="C548" s="192" t="s">
        <v>849</v>
      </c>
      <c r="D548" s="201" t="s">
        <v>850</v>
      </c>
      <c r="E548" s="192">
        <v>238</v>
      </c>
      <c r="F548" s="192">
        <v>63.9</v>
      </c>
      <c r="G548" s="192">
        <v>130.69999999999999</v>
      </c>
    </row>
    <row r="549" spans="1:7" x14ac:dyDescent="0.3">
      <c r="A549" s="191" t="s">
        <v>911</v>
      </c>
      <c r="B549" s="191" t="s">
        <v>912</v>
      </c>
      <c r="C549" s="192" t="s">
        <v>851</v>
      </c>
      <c r="D549" s="201" t="s">
        <v>852</v>
      </c>
      <c r="E549" s="192">
        <v>125.8</v>
      </c>
      <c r="F549" s="192">
        <v>72.8</v>
      </c>
      <c r="G549" s="192">
        <v>108.9</v>
      </c>
    </row>
    <row r="550" spans="1:7" x14ac:dyDescent="0.3">
      <c r="A550" s="191" t="s">
        <v>911</v>
      </c>
      <c r="B550" s="191" t="s">
        <v>912</v>
      </c>
      <c r="C550" s="192" t="s">
        <v>853</v>
      </c>
      <c r="D550" s="201" t="s">
        <v>854</v>
      </c>
      <c r="E550" s="192">
        <v>129.6</v>
      </c>
      <c r="F550" s="192">
        <v>58.7</v>
      </c>
      <c r="G550" s="192">
        <v>90.1</v>
      </c>
    </row>
    <row r="551" spans="1:7" x14ac:dyDescent="0.3">
      <c r="A551" s="191" t="s">
        <v>911</v>
      </c>
      <c r="B551" s="191" t="s">
        <v>912</v>
      </c>
      <c r="C551" s="192" t="s">
        <v>855</v>
      </c>
      <c r="D551" s="201" t="s">
        <v>856</v>
      </c>
      <c r="E551" s="192">
        <v>146.4</v>
      </c>
      <c r="F551" s="192">
        <v>60.5</v>
      </c>
      <c r="G551" s="192">
        <v>110.5</v>
      </c>
    </row>
    <row r="552" spans="1:7" x14ac:dyDescent="0.3">
      <c r="A552" s="191" t="s">
        <v>911</v>
      </c>
      <c r="B552" s="191" t="s">
        <v>912</v>
      </c>
      <c r="C552" s="192" t="s">
        <v>857</v>
      </c>
      <c r="D552" s="201" t="s">
        <v>858</v>
      </c>
      <c r="E552" s="192">
        <v>112.1</v>
      </c>
      <c r="F552" s="192">
        <v>55.4</v>
      </c>
      <c r="G552" s="192">
        <v>98.9</v>
      </c>
    </row>
    <row r="553" spans="1:7" x14ac:dyDescent="0.3">
      <c r="A553" s="191" t="s">
        <v>911</v>
      </c>
      <c r="B553" s="191" t="s">
        <v>912</v>
      </c>
      <c r="C553" s="192" t="s">
        <v>859</v>
      </c>
      <c r="D553" s="201" t="s">
        <v>860</v>
      </c>
      <c r="E553" s="192">
        <v>141.5</v>
      </c>
      <c r="F553" s="192">
        <v>57.3</v>
      </c>
      <c r="G553" s="192">
        <v>85.3</v>
      </c>
    </row>
    <row r="554" spans="1:7" x14ac:dyDescent="0.3">
      <c r="A554" s="191" t="s">
        <v>911</v>
      </c>
      <c r="B554" s="191" t="s">
        <v>912</v>
      </c>
      <c r="C554" s="192" t="s">
        <v>861</v>
      </c>
      <c r="D554" s="201" t="s">
        <v>862</v>
      </c>
      <c r="E554" s="192">
        <v>109</v>
      </c>
      <c r="F554" s="192">
        <v>57.3</v>
      </c>
      <c r="G554" s="192">
        <v>74.8</v>
      </c>
    </row>
    <row r="555" spans="1:7" x14ac:dyDescent="0.3">
      <c r="A555" s="191" t="s">
        <v>911</v>
      </c>
      <c r="B555" s="191" t="s">
        <v>912</v>
      </c>
      <c r="C555" s="192" t="s">
        <v>863</v>
      </c>
      <c r="D555" s="201" t="s">
        <v>864</v>
      </c>
      <c r="E555" s="192">
        <v>123.5</v>
      </c>
      <c r="F555" s="192">
        <v>55</v>
      </c>
      <c r="G555" s="192">
        <v>103.8</v>
      </c>
    </row>
    <row r="556" spans="1:7" x14ac:dyDescent="0.3">
      <c r="A556" s="191" t="s">
        <v>911</v>
      </c>
      <c r="B556" s="191" t="s">
        <v>912</v>
      </c>
      <c r="C556" s="192" t="s">
        <v>865</v>
      </c>
      <c r="D556" s="201" t="s">
        <v>866</v>
      </c>
      <c r="E556" s="192">
        <v>120.1</v>
      </c>
      <c r="F556" s="192">
        <v>61.8</v>
      </c>
      <c r="G556" s="192">
        <v>86.2</v>
      </c>
    </row>
    <row r="557" spans="1:7" x14ac:dyDescent="0.3">
      <c r="A557" s="191" t="s">
        <v>911</v>
      </c>
      <c r="B557" s="191" t="s">
        <v>912</v>
      </c>
      <c r="C557" s="192" t="s">
        <v>867</v>
      </c>
      <c r="D557" s="201" t="s">
        <v>868</v>
      </c>
      <c r="E557" s="192">
        <v>122.6</v>
      </c>
      <c r="F557" s="192">
        <v>59.1</v>
      </c>
      <c r="G557" s="192">
        <v>87.5</v>
      </c>
    </row>
    <row r="558" spans="1:7" x14ac:dyDescent="0.3">
      <c r="A558" s="191" t="s">
        <v>911</v>
      </c>
      <c r="B558" s="191" t="s">
        <v>912</v>
      </c>
      <c r="C558" s="192" t="s">
        <v>869</v>
      </c>
      <c r="D558" s="201" t="s">
        <v>870</v>
      </c>
      <c r="E558" s="192">
        <v>131.1</v>
      </c>
      <c r="F558" s="192">
        <v>63.6</v>
      </c>
      <c r="G558" s="192">
        <v>116.5</v>
      </c>
    </row>
    <row r="559" spans="1:7" x14ac:dyDescent="0.3">
      <c r="A559" s="191" t="s">
        <v>911</v>
      </c>
      <c r="B559" s="191" t="s">
        <v>912</v>
      </c>
      <c r="C559" s="192" t="s">
        <v>871</v>
      </c>
      <c r="D559" s="201" t="s">
        <v>872</v>
      </c>
      <c r="E559" s="192">
        <v>103.7</v>
      </c>
      <c r="F559" s="192">
        <v>71</v>
      </c>
      <c r="G559" s="192">
        <v>89.9</v>
      </c>
    </row>
    <row r="560" spans="1:7" x14ac:dyDescent="0.3">
      <c r="A560" s="191" t="s">
        <v>911</v>
      </c>
      <c r="B560" s="191" t="s">
        <v>912</v>
      </c>
      <c r="C560" s="192" t="s">
        <v>873</v>
      </c>
      <c r="D560" s="201" t="s">
        <v>874</v>
      </c>
      <c r="E560" s="192">
        <v>113.8</v>
      </c>
      <c r="F560" s="192">
        <v>57.8</v>
      </c>
      <c r="G560" s="192">
        <v>85.5</v>
      </c>
    </row>
    <row r="561" spans="1:7" x14ac:dyDescent="0.3">
      <c r="A561" s="191" t="s">
        <v>911</v>
      </c>
      <c r="B561" s="191" t="s">
        <v>912</v>
      </c>
      <c r="C561" s="192" t="s">
        <v>875</v>
      </c>
      <c r="D561" s="201" t="s">
        <v>876</v>
      </c>
      <c r="E561" s="192">
        <v>131.19999999999999</v>
      </c>
      <c r="F561" s="192">
        <v>66.599999999999994</v>
      </c>
      <c r="G561" s="192">
        <v>102.7</v>
      </c>
    </row>
    <row r="562" spans="1:7" x14ac:dyDescent="0.3">
      <c r="A562" s="191" t="s">
        <v>888</v>
      </c>
      <c r="B562" s="191" t="s">
        <v>913</v>
      </c>
      <c r="C562" s="192" t="s">
        <v>1301</v>
      </c>
      <c r="D562" s="202" t="s">
        <v>1599</v>
      </c>
      <c r="E562" s="192">
        <v>0</v>
      </c>
      <c r="F562" s="192">
        <v>101.6</v>
      </c>
      <c r="G562" s="192">
        <v>101.6</v>
      </c>
    </row>
    <row r="563" spans="1:7" x14ac:dyDescent="0.3">
      <c r="A563" s="191" t="s">
        <v>888</v>
      </c>
      <c r="B563" s="191" t="s">
        <v>913</v>
      </c>
      <c r="C563" s="192" t="s">
        <v>839</v>
      </c>
      <c r="D563" s="201" t="s">
        <v>840</v>
      </c>
      <c r="E563" s="192">
        <v>106.8</v>
      </c>
      <c r="F563" s="192">
        <v>95.9</v>
      </c>
      <c r="G563" s="192">
        <v>99.1</v>
      </c>
    </row>
    <row r="564" spans="1:7" x14ac:dyDescent="0.3">
      <c r="A564" s="191" t="s">
        <v>888</v>
      </c>
      <c r="B564" s="191" t="s">
        <v>913</v>
      </c>
      <c r="C564" s="192" t="s">
        <v>841</v>
      </c>
      <c r="D564" s="201" t="s">
        <v>842</v>
      </c>
      <c r="E564" s="192">
        <v>122.5</v>
      </c>
      <c r="F564" s="192">
        <v>62.3</v>
      </c>
      <c r="G564" s="192">
        <v>70.400000000000006</v>
      </c>
    </row>
    <row r="565" spans="1:7" x14ac:dyDescent="0.3">
      <c r="A565" s="191" t="s">
        <v>888</v>
      </c>
      <c r="B565" s="191" t="s">
        <v>913</v>
      </c>
      <c r="C565" s="192" t="s">
        <v>843</v>
      </c>
      <c r="D565" s="201" t="s">
        <v>844</v>
      </c>
      <c r="E565" s="192">
        <v>133.9</v>
      </c>
      <c r="F565" s="192">
        <v>56</v>
      </c>
      <c r="G565" s="192">
        <v>93.6</v>
      </c>
    </row>
    <row r="566" spans="1:7" x14ac:dyDescent="0.3">
      <c r="A566" s="191" t="s">
        <v>888</v>
      </c>
      <c r="B566" s="191" t="s">
        <v>913</v>
      </c>
      <c r="C566" s="192" t="s">
        <v>845</v>
      </c>
      <c r="D566" s="201" t="s">
        <v>846</v>
      </c>
      <c r="E566" s="192">
        <v>124.5</v>
      </c>
      <c r="F566" s="192">
        <v>61.1</v>
      </c>
      <c r="G566" s="192">
        <v>99.5</v>
      </c>
    </row>
    <row r="567" spans="1:7" x14ac:dyDescent="0.3">
      <c r="A567" s="191" t="s">
        <v>888</v>
      </c>
      <c r="B567" s="191" t="s">
        <v>913</v>
      </c>
      <c r="C567" s="192" t="s">
        <v>847</v>
      </c>
      <c r="D567" s="201" t="s">
        <v>848</v>
      </c>
      <c r="E567" s="192">
        <v>126.2</v>
      </c>
      <c r="F567" s="192">
        <v>61.5</v>
      </c>
      <c r="G567" s="192">
        <v>94.7</v>
      </c>
    </row>
    <row r="568" spans="1:7" x14ac:dyDescent="0.3">
      <c r="A568" s="191" t="s">
        <v>888</v>
      </c>
      <c r="B568" s="191" t="s">
        <v>913</v>
      </c>
      <c r="C568" s="192" t="s">
        <v>849</v>
      </c>
      <c r="D568" s="201" t="s">
        <v>850</v>
      </c>
      <c r="E568" s="192">
        <v>187.2</v>
      </c>
      <c r="F568" s="192">
        <v>66.2</v>
      </c>
      <c r="G568" s="192">
        <v>112.6</v>
      </c>
    </row>
    <row r="569" spans="1:7" x14ac:dyDescent="0.3">
      <c r="A569" s="191" t="s">
        <v>888</v>
      </c>
      <c r="B569" s="191" t="s">
        <v>913</v>
      </c>
      <c r="C569" s="192" t="s">
        <v>851</v>
      </c>
      <c r="D569" s="201" t="s">
        <v>852</v>
      </c>
      <c r="E569" s="192">
        <v>130.4</v>
      </c>
      <c r="F569" s="192">
        <v>72.3</v>
      </c>
      <c r="G569" s="192">
        <v>111.9</v>
      </c>
    </row>
    <row r="570" spans="1:7" x14ac:dyDescent="0.3">
      <c r="A570" s="191" t="s">
        <v>888</v>
      </c>
      <c r="B570" s="191" t="s">
        <v>913</v>
      </c>
      <c r="C570" s="192" t="s">
        <v>853</v>
      </c>
      <c r="D570" s="201" t="s">
        <v>854</v>
      </c>
      <c r="E570" s="192">
        <v>110.8</v>
      </c>
      <c r="F570" s="192">
        <v>61.8</v>
      </c>
      <c r="G570" s="192">
        <v>83.5</v>
      </c>
    </row>
    <row r="571" spans="1:7" x14ac:dyDescent="0.3">
      <c r="A571" s="191" t="s">
        <v>888</v>
      </c>
      <c r="B571" s="191" t="s">
        <v>913</v>
      </c>
      <c r="C571" s="192" t="s">
        <v>855</v>
      </c>
      <c r="D571" s="201" t="s">
        <v>856</v>
      </c>
      <c r="E571" s="192">
        <v>123.6</v>
      </c>
      <c r="F571" s="192">
        <v>61.9</v>
      </c>
      <c r="G571" s="192">
        <v>97.8</v>
      </c>
    </row>
    <row r="572" spans="1:7" x14ac:dyDescent="0.3">
      <c r="A572" s="191" t="s">
        <v>888</v>
      </c>
      <c r="B572" s="191" t="s">
        <v>913</v>
      </c>
      <c r="C572" s="192" t="s">
        <v>857</v>
      </c>
      <c r="D572" s="201" t="s">
        <v>858</v>
      </c>
      <c r="E572" s="192">
        <v>89.5</v>
      </c>
      <c r="F572" s="192">
        <v>53.2</v>
      </c>
      <c r="G572" s="192">
        <v>81</v>
      </c>
    </row>
    <row r="573" spans="1:7" x14ac:dyDescent="0.3">
      <c r="A573" s="191" t="s">
        <v>888</v>
      </c>
      <c r="B573" s="191" t="s">
        <v>913</v>
      </c>
      <c r="C573" s="192" t="s">
        <v>859</v>
      </c>
      <c r="D573" s="201" t="s">
        <v>860</v>
      </c>
      <c r="E573" s="192">
        <v>119.7</v>
      </c>
      <c r="F573" s="192">
        <v>60.6</v>
      </c>
      <c r="G573" s="192">
        <v>80.2</v>
      </c>
    </row>
    <row r="574" spans="1:7" x14ac:dyDescent="0.3">
      <c r="A574" s="191" t="s">
        <v>888</v>
      </c>
      <c r="B574" s="191" t="s">
        <v>913</v>
      </c>
      <c r="C574" s="192" t="s">
        <v>861</v>
      </c>
      <c r="D574" s="201" t="s">
        <v>862</v>
      </c>
      <c r="E574" s="192">
        <v>121.9</v>
      </c>
      <c r="F574" s="192">
        <v>60.6</v>
      </c>
      <c r="G574" s="192">
        <v>81.3</v>
      </c>
    </row>
    <row r="575" spans="1:7" x14ac:dyDescent="0.3">
      <c r="A575" s="191" t="s">
        <v>888</v>
      </c>
      <c r="B575" s="191" t="s">
        <v>913</v>
      </c>
      <c r="C575" s="192" t="s">
        <v>863</v>
      </c>
      <c r="D575" s="201" t="s">
        <v>864</v>
      </c>
      <c r="E575" s="192">
        <v>125.2</v>
      </c>
      <c r="F575" s="192">
        <v>72.400000000000006</v>
      </c>
      <c r="G575" s="192">
        <v>110</v>
      </c>
    </row>
    <row r="576" spans="1:7" x14ac:dyDescent="0.3">
      <c r="A576" s="191" t="s">
        <v>888</v>
      </c>
      <c r="B576" s="191" t="s">
        <v>913</v>
      </c>
      <c r="C576" s="192" t="s">
        <v>865</v>
      </c>
      <c r="D576" s="201" t="s">
        <v>866</v>
      </c>
      <c r="E576" s="192">
        <v>121.3</v>
      </c>
      <c r="F576" s="192">
        <v>65.8</v>
      </c>
      <c r="G576" s="192">
        <v>89</v>
      </c>
    </row>
    <row r="577" spans="1:7" x14ac:dyDescent="0.3">
      <c r="A577" s="191" t="s">
        <v>888</v>
      </c>
      <c r="B577" s="191" t="s">
        <v>913</v>
      </c>
      <c r="C577" s="192" t="s">
        <v>867</v>
      </c>
      <c r="D577" s="201" t="s">
        <v>868</v>
      </c>
      <c r="E577" s="192">
        <v>123.3</v>
      </c>
      <c r="F577" s="192">
        <v>64.7</v>
      </c>
      <c r="G577" s="192">
        <v>90.9</v>
      </c>
    </row>
    <row r="578" spans="1:7" x14ac:dyDescent="0.3">
      <c r="A578" s="191" t="s">
        <v>888</v>
      </c>
      <c r="B578" s="191" t="s">
        <v>913</v>
      </c>
      <c r="C578" s="192" t="s">
        <v>869</v>
      </c>
      <c r="D578" s="201" t="s">
        <v>870</v>
      </c>
      <c r="E578" s="192">
        <v>131.1</v>
      </c>
      <c r="F578" s="192">
        <v>63.4</v>
      </c>
      <c r="G578" s="192">
        <v>116.5</v>
      </c>
    </row>
    <row r="579" spans="1:7" x14ac:dyDescent="0.3">
      <c r="A579" s="191" t="s">
        <v>888</v>
      </c>
      <c r="B579" s="191" t="s">
        <v>913</v>
      </c>
      <c r="C579" s="192" t="s">
        <v>871</v>
      </c>
      <c r="D579" s="201" t="s">
        <v>872</v>
      </c>
      <c r="E579" s="192">
        <v>104</v>
      </c>
      <c r="F579" s="192">
        <v>78.5</v>
      </c>
      <c r="G579" s="192">
        <v>93.2</v>
      </c>
    </row>
    <row r="580" spans="1:7" x14ac:dyDescent="0.3">
      <c r="A580" s="191" t="s">
        <v>888</v>
      </c>
      <c r="B580" s="191" t="s">
        <v>913</v>
      </c>
      <c r="C580" s="192" t="s">
        <v>873</v>
      </c>
      <c r="D580" s="201" t="s">
        <v>874</v>
      </c>
      <c r="E580" s="192">
        <v>112.8</v>
      </c>
      <c r="F580" s="192">
        <v>76.5</v>
      </c>
      <c r="G580" s="192">
        <v>94.4</v>
      </c>
    </row>
    <row r="581" spans="1:7" x14ac:dyDescent="0.3">
      <c r="A581" s="191" t="s">
        <v>888</v>
      </c>
      <c r="B581" s="191" t="s">
        <v>913</v>
      </c>
      <c r="C581" s="192" t="s">
        <v>875</v>
      </c>
      <c r="D581" s="201" t="s">
        <v>876</v>
      </c>
      <c r="E581" s="192">
        <v>118.8</v>
      </c>
      <c r="F581" s="192">
        <v>71.5</v>
      </c>
      <c r="G581" s="192">
        <v>97.9</v>
      </c>
    </row>
    <row r="582" spans="1:7" x14ac:dyDescent="0.3">
      <c r="A582" s="191" t="s">
        <v>884</v>
      </c>
      <c r="B582" s="191" t="s">
        <v>914</v>
      </c>
      <c r="C582" s="192" t="s">
        <v>1301</v>
      </c>
      <c r="D582" s="202" t="s">
        <v>1599</v>
      </c>
      <c r="E582" s="192">
        <v>0</v>
      </c>
      <c r="F582" s="192">
        <v>102.2</v>
      </c>
      <c r="G582" s="192">
        <v>102.2</v>
      </c>
    </row>
    <row r="583" spans="1:7" x14ac:dyDescent="0.3">
      <c r="A583" s="191" t="s">
        <v>884</v>
      </c>
      <c r="B583" s="191" t="s">
        <v>914</v>
      </c>
      <c r="C583" s="192" t="s">
        <v>839</v>
      </c>
      <c r="D583" s="201" t="s">
        <v>840</v>
      </c>
      <c r="E583" s="192">
        <v>99.9</v>
      </c>
      <c r="F583" s="192">
        <v>99.1</v>
      </c>
      <c r="G583" s="192">
        <v>99.3</v>
      </c>
    </row>
    <row r="584" spans="1:7" x14ac:dyDescent="0.3">
      <c r="A584" s="191" t="s">
        <v>884</v>
      </c>
      <c r="B584" s="191" t="s">
        <v>914</v>
      </c>
      <c r="C584" s="192" t="s">
        <v>841</v>
      </c>
      <c r="D584" s="201" t="s">
        <v>842</v>
      </c>
      <c r="E584" s="192">
        <v>130</v>
      </c>
      <c r="F584" s="192">
        <v>85.4</v>
      </c>
      <c r="G584" s="192">
        <v>91.4</v>
      </c>
    </row>
    <row r="585" spans="1:7" x14ac:dyDescent="0.3">
      <c r="A585" s="191" t="s">
        <v>884</v>
      </c>
      <c r="B585" s="191" t="s">
        <v>914</v>
      </c>
      <c r="C585" s="192" t="s">
        <v>843</v>
      </c>
      <c r="D585" s="201" t="s">
        <v>844</v>
      </c>
      <c r="E585" s="192">
        <v>136.69999999999999</v>
      </c>
      <c r="F585" s="192">
        <v>77.900000000000006</v>
      </c>
      <c r="G585" s="192">
        <v>106.3</v>
      </c>
    </row>
    <row r="586" spans="1:7" x14ac:dyDescent="0.3">
      <c r="A586" s="191" t="s">
        <v>884</v>
      </c>
      <c r="B586" s="191" t="s">
        <v>914</v>
      </c>
      <c r="C586" s="192" t="s">
        <v>845</v>
      </c>
      <c r="D586" s="201" t="s">
        <v>846</v>
      </c>
      <c r="E586" s="192">
        <v>124.4</v>
      </c>
      <c r="F586" s="192">
        <v>96.7</v>
      </c>
      <c r="G586" s="192">
        <v>113.5</v>
      </c>
    </row>
    <row r="587" spans="1:7" x14ac:dyDescent="0.3">
      <c r="A587" s="191" t="s">
        <v>884</v>
      </c>
      <c r="B587" s="191" t="s">
        <v>914</v>
      </c>
      <c r="C587" s="192" t="s">
        <v>847</v>
      </c>
      <c r="D587" s="201" t="s">
        <v>848</v>
      </c>
      <c r="E587" s="192">
        <v>123.6</v>
      </c>
      <c r="F587" s="192">
        <v>88.1</v>
      </c>
      <c r="G587" s="192">
        <v>106.3</v>
      </c>
    </row>
    <row r="588" spans="1:7" x14ac:dyDescent="0.3">
      <c r="A588" s="191" t="s">
        <v>884</v>
      </c>
      <c r="B588" s="191" t="s">
        <v>914</v>
      </c>
      <c r="C588" s="192" t="s">
        <v>849</v>
      </c>
      <c r="D588" s="201" t="s">
        <v>850</v>
      </c>
      <c r="E588" s="192">
        <v>165.8</v>
      </c>
      <c r="F588" s="192">
        <v>86.7</v>
      </c>
      <c r="G588" s="192">
        <v>117</v>
      </c>
    </row>
    <row r="589" spans="1:7" x14ac:dyDescent="0.3">
      <c r="A589" s="191" t="s">
        <v>884</v>
      </c>
      <c r="B589" s="191" t="s">
        <v>914</v>
      </c>
      <c r="C589" s="192" t="s">
        <v>851</v>
      </c>
      <c r="D589" s="201" t="s">
        <v>852</v>
      </c>
      <c r="E589" s="192">
        <v>108.6</v>
      </c>
      <c r="F589" s="192">
        <v>86.9</v>
      </c>
      <c r="G589" s="192">
        <v>101.7</v>
      </c>
    </row>
    <row r="590" spans="1:7" x14ac:dyDescent="0.3">
      <c r="A590" s="191" t="s">
        <v>884</v>
      </c>
      <c r="B590" s="191" t="s">
        <v>914</v>
      </c>
      <c r="C590" s="192" t="s">
        <v>853</v>
      </c>
      <c r="D590" s="201" t="s">
        <v>854</v>
      </c>
      <c r="E590" s="192">
        <v>132.5</v>
      </c>
      <c r="F590" s="192">
        <v>85</v>
      </c>
      <c r="G590" s="192">
        <v>106</v>
      </c>
    </row>
    <row r="591" spans="1:7" x14ac:dyDescent="0.3">
      <c r="A591" s="191" t="s">
        <v>884</v>
      </c>
      <c r="B591" s="191" t="s">
        <v>914</v>
      </c>
      <c r="C591" s="192" t="s">
        <v>855</v>
      </c>
      <c r="D591" s="201" t="s">
        <v>856</v>
      </c>
      <c r="E591" s="192">
        <v>110.6</v>
      </c>
      <c r="F591" s="192">
        <v>87.9</v>
      </c>
      <c r="G591" s="192">
        <v>101.1</v>
      </c>
    </row>
    <row r="592" spans="1:7" x14ac:dyDescent="0.3">
      <c r="A592" s="191" t="s">
        <v>884</v>
      </c>
      <c r="B592" s="191" t="s">
        <v>914</v>
      </c>
      <c r="C592" s="192" t="s">
        <v>857</v>
      </c>
      <c r="D592" s="201" t="s">
        <v>858</v>
      </c>
      <c r="E592" s="192">
        <v>94.8</v>
      </c>
      <c r="F592" s="192">
        <v>78.7</v>
      </c>
      <c r="G592" s="192">
        <v>91.1</v>
      </c>
    </row>
    <row r="593" spans="1:7" x14ac:dyDescent="0.3">
      <c r="A593" s="191" t="s">
        <v>884</v>
      </c>
      <c r="B593" s="191" t="s">
        <v>914</v>
      </c>
      <c r="C593" s="192" t="s">
        <v>859</v>
      </c>
      <c r="D593" s="201" t="s">
        <v>860</v>
      </c>
      <c r="E593" s="192">
        <v>142</v>
      </c>
      <c r="F593" s="192">
        <v>84.4</v>
      </c>
      <c r="G593" s="192">
        <v>103.5</v>
      </c>
    </row>
    <row r="594" spans="1:7" x14ac:dyDescent="0.3">
      <c r="A594" s="191" t="s">
        <v>884</v>
      </c>
      <c r="B594" s="191" t="s">
        <v>914</v>
      </c>
      <c r="C594" s="192" t="s">
        <v>861</v>
      </c>
      <c r="D594" s="201" t="s">
        <v>862</v>
      </c>
      <c r="E594" s="192">
        <v>98.9</v>
      </c>
      <c r="F594" s="192">
        <v>84.4</v>
      </c>
      <c r="G594" s="192">
        <v>89.3</v>
      </c>
    </row>
    <row r="595" spans="1:7" x14ac:dyDescent="0.3">
      <c r="A595" s="191" t="s">
        <v>884</v>
      </c>
      <c r="B595" s="191" t="s">
        <v>914</v>
      </c>
      <c r="C595" s="192" t="s">
        <v>863</v>
      </c>
      <c r="D595" s="201" t="s">
        <v>864</v>
      </c>
      <c r="E595" s="192">
        <v>122.5</v>
      </c>
      <c r="F595" s="192">
        <v>95.7</v>
      </c>
      <c r="G595" s="192">
        <v>114.8</v>
      </c>
    </row>
    <row r="596" spans="1:7" x14ac:dyDescent="0.3">
      <c r="A596" s="191" t="s">
        <v>884</v>
      </c>
      <c r="B596" s="191" t="s">
        <v>914</v>
      </c>
      <c r="C596" s="192" t="s">
        <v>865</v>
      </c>
      <c r="D596" s="201" t="s">
        <v>866</v>
      </c>
      <c r="E596" s="192">
        <v>112.3</v>
      </c>
      <c r="F596" s="192">
        <v>91.7</v>
      </c>
      <c r="G596" s="192">
        <v>100.3</v>
      </c>
    </row>
    <row r="597" spans="1:7" x14ac:dyDescent="0.3">
      <c r="A597" s="191" t="s">
        <v>884</v>
      </c>
      <c r="B597" s="191" t="s">
        <v>914</v>
      </c>
      <c r="C597" s="192" t="s">
        <v>867</v>
      </c>
      <c r="D597" s="201" t="s">
        <v>868</v>
      </c>
      <c r="E597" s="192">
        <v>115.1</v>
      </c>
      <c r="F597" s="192">
        <v>88.2</v>
      </c>
      <c r="G597" s="192">
        <v>100.2</v>
      </c>
    </row>
    <row r="598" spans="1:7" x14ac:dyDescent="0.3">
      <c r="A598" s="191" t="s">
        <v>884</v>
      </c>
      <c r="B598" s="191" t="s">
        <v>914</v>
      </c>
      <c r="C598" s="192" t="s">
        <v>869</v>
      </c>
      <c r="D598" s="201" t="s">
        <v>870</v>
      </c>
      <c r="E598" s="192">
        <v>131.1</v>
      </c>
      <c r="F598" s="192">
        <v>82.8</v>
      </c>
      <c r="G598" s="192">
        <v>120.7</v>
      </c>
    </row>
    <row r="599" spans="1:7" x14ac:dyDescent="0.3">
      <c r="A599" s="191" t="s">
        <v>884</v>
      </c>
      <c r="B599" s="191" t="s">
        <v>914</v>
      </c>
      <c r="C599" s="192" t="s">
        <v>871</v>
      </c>
      <c r="D599" s="201" t="s">
        <v>872</v>
      </c>
      <c r="E599" s="192">
        <v>103.6</v>
      </c>
      <c r="F599" s="192">
        <v>90</v>
      </c>
      <c r="G599" s="192">
        <v>97.9</v>
      </c>
    </row>
    <row r="600" spans="1:7" x14ac:dyDescent="0.3">
      <c r="A600" s="191" t="s">
        <v>884</v>
      </c>
      <c r="B600" s="191" t="s">
        <v>914</v>
      </c>
      <c r="C600" s="192" t="s">
        <v>873</v>
      </c>
      <c r="D600" s="201" t="s">
        <v>874</v>
      </c>
      <c r="E600" s="192">
        <v>108.9</v>
      </c>
      <c r="F600" s="192">
        <v>72.099999999999994</v>
      </c>
      <c r="G600" s="192">
        <v>90.3</v>
      </c>
    </row>
    <row r="601" spans="1:7" x14ac:dyDescent="0.3">
      <c r="A601" s="191" t="s">
        <v>884</v>
      </c>
      <c r="B601" s="191" t="s">
        <v>914</v>
      </c>
      <c r="C601" s="192" t="s">
        <v>875</v>
      </c>
      <c r="D601" s="201" t="s">
        <v>876</v>
      </c>
      <c r="E601" s="192">
        <v>113</v>
      </c>
      <c r="F601" s="192">
        <v>86.4</v>
      </c>
      <c r="G601" s="192">
        <v>101.3</v>
      </c>
    </row>
    <row r="602" spans="1:7" x14ac:dyDescent="0.3">
      <c r="A602" s="191" t="s">
        <v>881</v>
      </c>
      <c r="B602" s="191" t="s">
        <v>915</v>
      </c>
      <c r="C602" s="192" t="s">
        <v>1301</v>
      </c>
      <c r="D602" s="202" t="s">
        <v>1599</v>
      </c>
      <c r="E602" s="192">
        <v>0</v>
      </c>
      <c r="F602" s="192">
        <v>104.2</v>
      </c>
      <c r="G602" s="192">
        <v>104.2</v>
      </c>
    </row>
    <row r="603" spans="1:7" x14ac:dyDescent="0.3">
      <c r="A603" s="191" t="s">
        <v>881</v>
      </c>
      <c r="B603" s="191" t="s">
        <v>915</v>
      </c>
      <c r="C603" s="192" t="s">
        <v>839</v>
      </c>
      <c r="D603" s="201" t="s">
        <v>840</v>
      </c>
      <c r="E603" s="192">
        <v>116.4</v>
      </c>
      <c r="F603" s="192">
        <v>101</v>
      </c>
      <c r="G603" s="192">
        <v>105.5</v>
      </c>
    </row>
    <row r="604" spans="1:7" x14ac:dyDescent="0.3">
      <c r="A604" s="191" t="s">
        <v>881</v>
      </c>
      <c r="B604" s="191" t="s">
        <v>915</v>
      </c>
      <c r="C604" s="192" t="s">
        <v>841</v>
      </c>
      <c r="D604" s="201" t="s">
        <v>842</v>
      </c>
      <c r="E604" s="192">
        <v>121.5</v>
      </c>
      <c r="F604" s="192">
        <v>80.3</v>
      </c>
      <c r="G604" s="192">
        <v>85.9</v>
      </c>
    </row>
    <row r="605" spans="1:7" x14ac:dyDescent="0.3">
      <c r="A605" s="191" t="s">
        <v>881</v>
      </c>
      <c r="B605" s="191" t="s">
        <v>915</v>
      </c>
      <c r="C605" s="192" t="s">
        <v>843</v>
      </c>
      <c r="D605" s="201" t="s">
        <v>844</v>
      </c>
      <c r="E605" s="192">
        <v>148.69999999999999</v>
      </c>
      <c r="F605" s="192">
        <v>73.5</v>
      </c>
      <c r="G605" s="192">
        <v>109.7</v>
      </c>
    </row>
    <row r="606" spans="1:7" x14ac:dyDescent="0.3">
      <c r="A606" s="191" t="s">
        <v>881</v>
      </c>
      <c r="B606" s="191" t="s">
        <v>915</v>
      </c>
      <c r="C606" s="192" t="s">
        <v>845</v>
      </c>
      <c r="D606" s="201" t="s">
        <v>846</v>
      </c>
      <c r="E606" s="192">
        <v>138.6</v>
      </c>
      <c r="F606" s="192">
        <v>100.5</v>
      </c>
      <c r="G606" s="192">
        <v>123.6</v>
      </c>
    </row>
    <row r="607" spans="1:7" x14ac:dyDescent="0.3">
      <c r="A607" s="191" t="s">
        <v>881</v>
      </c>
      <c r="B607" s="191" t="s">
        <v>915</v>
      </c>
      <c r="C607" s="192" t="s">
        <v>847</v>
      </c>
      <c r="D607" s="201" t="s">
        <v>848</v>
      </c>
      <c r="E607" s="192">
        <v>131.80000000000001</v>
      </c>
      <c r="F607" s="192">
        <v>86.4</v>
      </c>
      <c r="G607" s="192">
        <v>109.7</v>
      </c>
    </row>
    <row r="608" spans="1:7" x14ac:dyDescent="0.3">
      <c r="A608" s="191" t="s">
        <v>881</v>
      </c>
      <c r="B608" s="191" t="s">
        <v>915</v>
      </c>
      <c r="C608" s="192" t="s">
        <v>849</v>
      </c>
      <c r="D608" s="201" t="s">
        <v>850</v>
      </c>
      <c r="E608" s="192">
        <v>165</v>
      </c>
      <c r="F608" s="192">
        <v>82.1</v>
      </c>
      <c r="G608" s="192">
        <v>113.9</v>
      </c>
    </row>
    <row r="609" spans="1:7" x14ac:dyDescent="0.3">
      <c r="A609" s="191" t="s">
        <v>881</v>
      </c>
      <c r="B609" s="191" t="s">
        <v>915</v>
      </c>
      <c r="C609" s="192" t="s">
        <v>851</v>
      </c>
      <c r="D609" s="201" t="s">
        <v>852</v>
      </c>
      <c r="E609" s="192">
        <v>111</v>
      </c>
      <c r="F609" s="192">
        <v>88.6</v>
      </c>
      <c r="G609" s="192">
        <v>103.9</v>
      </c>
    </row>
    <row r="610" spans="1:7" x14ac:dyDescent="0.3">
      <c r="A610" s="191" t="s">
        <v>881</v>
      </c>
      <c r="B610" s="191" t="s">
        <v>915</v>
      </c>
      <c r="C610" s="192" t="s">
        <v>853</v>
      </c>
      <c r="D610" s="201" t="s">
        <v>854</v>
      </c>
      <c r="E610" s="192">
        <v>115.9</v>
      </c>
      <c r="F610" s="192">
        <v>79.3</v>
      </c>
      <c r="G610" s="192">
        <v>95.5</v>
      </c>
    </row>
    <row r="611" spans="1:7" x14ac:dyDescent="0.3">
      <c r="A611" s="191" t="s">
        <v>881</v>
      </c>
      <c r="B611" s="191" t="s">
        <v>915</v>
      </c>
      <c r="C611" s="192" t="s">
        <v>855</v>
      </c>
      <c r="D611" s="201" t="s">
        <v>856</v>
      </c>
      <c r="E611" s="192">
        <v>119.5</v>
      </c>
      <c r="F611" s="192">
        <v>85.7</v>
      </c>
      <c r="G611" s="192">
        <v>105.3</v>
      </c>
    </row>
    <row r="612" spans="1:7" x14ac:dyDescent="0.3">
      <c r="A612" s="191" t="s">
        <v>881</v>
      </c>
      <c r="B612" s="191" t="s">
        <v>915</v>
      </c>
      <c r="C612" s="192" t="s">
        <v>857</v>
      </c>
      <c r="D612" s="201" t="s">
        <v>858</v>
      </c>
      <c r="E612" s="192">
        <v>94.8</v>
      </c>
      <c r="F612" s="192">
        <v>76</v>
      </c>
      <c r="G612" s="192">
        <v>90.5</v>
      </c>
    </row>
    <row r="613" spans="1:7" x14ac:dyDescent="0.3">
      <c r="A613" s="191" t="s">
        <v>881</v>
      </c>
      <c r="B613" s="191" t="s">
        <v>915</v>
      </c>
      <c r="C613" s="192" t="s">
        <v>859</v>
      </c>
      <c r="D613" s="201" t="s">
        <v>860</v>
      </c>
      <c r="E613" s="192">
        <v>103.6</v>
      </c>
      <c r="F613" s="192">
        <v>78.3</v>
      </c>
      <c r="G613" s="192">
        <v>86.7</v>
      </c>
    </row>
    <row r="614" spans="1:7" x14ac:dyDescent="0.3">
      <c r="A614" s="191" t="s">
        <v>881</v>
      </c>
      <c r="B614" s="191" t="s">
        <v>915</v>
      </c>
      <c r="C614" s="192" t="s">
        <v>861</v>
      </c>
      <c r="D614" s="201" t="s">
        <v>862</v>
      </c>
      <c r="E614" s="192">
        <v>98.9</v>
      </c>
      <c r="F614" s="192">
        <v>78.3</v>
      </c>
      <c r="G614" s="192">
        <v>85.2</v>
      </c>
    </row>
    <row r="615" spans="1:7" x14ac:dyDescent="0.3">
      <c r="A615" s="191" t="s">
        <v>881</v>
      </c>
      <c r="B615" s="191" t="s">
        <v>915</v>
      </c>
      <c r="C615" s="192" t="s">
        <v>863</v>
      </c>
      <c r="D615" s="201" t="s">
        <v>864</v>
      </c>
      <c r="E615" s="192">
        <v>122.5</v>
      </c>
      <c r="F615" s="192">
        <v>91.2</v>
      </c>
      <c r="G615" s="192">
        <v>113.5</v>
      </c>
    </row>
    <row r="616" spans="1:7" x14ac:dyDescent="0.3">
      <c r="A616" s="191" t="s">
        <v>881</v>
      </c>
      <c r="B616" s="191" t="s">
        <v>915</v>
      </c>
      <c r="C616" s="192" t="s">
        <v>865</v>
      </c>
      <c r="D616" s="201" t="s">
        <v>866</v>
      </c>
      <c r="E616" s="192">
        <v>112.4</v>
      </c>
      <c r="F616" s="192">
        <v>81.2</v>
      </c>
      <c r="G616" s="192">
        <v>94.3</v>
      </c>
    </row>
    <row r="617" spans="1:7" x14ac:dyDescent="0.3">
      <c r="A617" s="191" t="s">
        <v>881</v>
      </c>
      <c r="B617" s="191" t="s">
        <v>915</v>
      </c>
      <c r="C617" s="192" t="s">
        <v>867</v>
      </c>
      <c r="D617" s="201" t="s">
        <v>868</v>
      </c>
      <c r="E617" s="192">
        <v>110.8</v>
      </c>
      <c r="F617" s="192">
        <v>82</v>
      </c>
      <c r="G617" s="192">
        <v>94.8</v>
      </c>
    </row>
    <row r="618" spans="1:7" x14ac:dyDescent="0.3">
      <c r="A618" s="191" t="s">
        <v>881</v>
      </c>
      <c r="B618" s="191" t="s">
        <v>915</v>
      </c>
      <c r="C618" s="192" t="s">
        <v>869</v>
      </c>
      <c r="D618" s="201" t="s">
        <v>870</v>
      </c>
      <c r="E618" s="192">
        <v>131.1</v>
      </c>
      <c r="F618" s="192">
        <v>91.4</v>
      </c>
      <c r="G618" s="192">
        <v>122.5</v>
      </c>
    </row>
    <row r="619" spans="1:7" x14ac:dyDescent="0.3">
      <c r="A619" s="191" t="s">
        <v>881</v>
      </c>
      <c r="B619" s="191" t="s">
        <v>915</v>
      </c>
      <c r="C619" s="192" t="s">
        <v>871</v>
      </c>
      <c r="D619" s="201" t="s">
        <v>872</v>
      </c>
      <c r="E619" s="192">
        <v>103.9</v>
      </c>
      <c r="F619" s="192">
        <v>94.6</v>
      </c>
      <c r="G619" s="192">
        <v>100</v>
      </c>
    </row>
    <row r="620" spans="1:7" x14ac:dyDescent="0.3">
      <c r="A620" s="191" t="s">
        <v>881</v>
      </c>
      <c r="B620" s="191" t="s">
        <v>915</v>
      </c>
      <c r="C620" s="192" t="s">
        <v>873</v>
      </c>
      <c r="D620" s="201" t="s">
        <v>874</v>
      </c>
      <c r="E620" s="192">
        <v>102.9</v>
      </c>
      <c r="F620" s="192">
        <v>84.8</v>
      </c>
      <c r="G620" s="192">
        <v>93.8</v>
      </c>
    </row>
    <row r="621" spans="1:7" x14ac:dyDescent="0.3">
      <c r="A621" s="191" t="s">
        <v>881</v>
      </c>
      <c r="B621" s="191" t="s">
        <v>915</v>
      </c>
      <c r="C621" s="192" t="s">
        <v>875</v>
      </c>
      <c r="D621" s="201" t="s">
        <v>876</v>
      </c>
      <c r="E621" s="192">
        <v>113.9</v>
      </c>
      <c r="F621" s="192">
        <v>87.9</v>
      </c>
      <c r="G621" s="192">
        <v>102.5</v>
      </c>
    </row>
    <row r="622" spans="1:7" x14ac:dyDescent="0.3">
      <c r="A622" s="191" t="s">
        <v>909</v>
      </c>
      <c r="B622" s="191" t="s">
        <v>916</v>
      </c>
      <c r="C622" s="192" t="s">
        <v>1301</v>
      </c>
      <c r="D622" s="202" t="s">
        <v>1599</v>
      </c>
      <c r="E622" s="192">
        <v>0</v>
      </c>
      <c r="F622" s="192">
        <v>101.4</v>
      </c>
      <c r="G622" s="192">
        <v>101.4</v>
      </c>
    </row>
    <row r="623" spans="1:7" x14ac:dyDescent="0.3">
      <c r="A623" s="191" t="s">
        <v>909</v>
      </c>
      <c r="B623" s="191" t="s">
        <v>916</v>
      </c>
      <c r="C623" s="192" t="s">
        <v>839</v>
      </c>
      <c r="D623" s="201" t="s">
        <v>840</v>
      </c>
      <c r="E623" s="192">
        <v>123.3</v>
      </c>
      <c r="F623" s="192">
        <v>97.5</v>
      </c>
      <c r="G623" s="192">
        <v>105</v>
      </c>
    </row>
    <row r="624" spans="1:7" x14ac:dyDescent="0.3">
      <c r="A624" s="191" t="s">
        <v>909</v>
      </c>
      <c r="B624" s="191" t="s">
        <v>916</v>
      </c>
      <c r="C624" s="192" t="s">
        <v>841</v>
      </c>
      <c r="D624" s="201" t="s">
        <v>842</v>
      </c>
      <c r="E624" s="192">
        <v>113.2</v>
      </c>
      <c r="F624" s="192">
        <v>69.5</v>
      </c>
      <c r="G624" s="192">
        <v>75.400000000000006</v>
      </c>
    </row>
    <row r="625" spans="1:7" x14ac:dyDescent="0.3">
      <c r="A625" s="191" t="s">
        <v>909</v>
      </c>
      <c r="B625" s="191" t="s">
        <v>916</v>
      </c>
      <c r="C625" s="192" t="s">
        <v>843</v>
      </c>
      <c r="D625" s="201" t="s">
        <v>844</v>
      </c>
      <c r="E625" s="192">
        <v>159.4</v>
      </c>
      <c r="F625" s="192">
        <v>46.2</v>
      </c>
      <c r="G625" s="192">
        <v>100.8</v>
      </c>
    </row>
    <row r="626" spans="1:7" x14ac:dyDescent="0.3">
      <c r="A626" s="191" t="s">
        <v>909</v>
      </c>
      <c r="B626" s="191" t="s">
        <v>916</v>
      </c>
      <c r="C626" s="192" t="s">
        <v>845</v>
      </c>
      <c r="D626" s="201" t="s">
        <v>846</v>
      </c>
      <c r="E626" s="192">
        <v>147.69999999999999</v>
      </c>
      <c r="F626" s="192">
        <v>71.3</v>
      </c>
      <c r="G626" s="192">
        <v>117.6</v>
      </c>
    </row>
    <row r="627" spans="1:7" x14ac:dyDescent="0.3">
      <c r="A627" s="191" t="s">
        <v>909</v>
      </c>
      <c r="B627" s="191" t="s">
        <v>916</v>
      </c>
      <c r="C627" s="192" t="s">
        <v>847</v>
      </c>
      <c r="D627" s="201" t="s">
        <v>848</v>
      </c>
      <c r="E627" s="192">
        <v>160.6</v>
      </c>
      <c r="F627" s="192">
        <v>66.599999999999994</v>
      </c>
      <c r="G627" s="192">
        <v>114.9</v>
      </c>
    </row>
    <row r="628" spans="1:7" x14ac:dyDescent="0.3">
      <c r="A628" s="191" t="s">
        <v>909</v>
      </c>
      <c r="B628" s="191" t="s">
        <v>916</v>
      </c>
      <c r="C628" s="192" t="s">
        <v>849</v>
      </c>
      <c r="D628" s="201" t="s">
        <v>850</v>
      </c>
      <c r="E628" s="192">
        <v>237.5</v>
      </c>
      <c r="F628" s="192">
        <v>71.599999999999994</v>
      </c>
      <c r="G628" s="192">
        <v>135.30000000000001</v>
      </c>
    </row>
    <row r="629" spans="1:7" x14ac:dyDescent="0.3">
      <c r="A629" s="191" t="s">
        <v>909</v>
      </c>
      <c r="B629" s="191" t="s">
        <v>916</v>
      </c>
      <c r="C629" s="192" t="s">
        <v>851</v>
      </c>
      <c r="D629" s="201" t="s">
        <v>852</v>
      </c>
      <c r="E629" s="192">
        <v>123.6</v>
      </c>
      <c r="F629" s="192">
        <v>74.099999999999994</v>
      </c>
      <c r="G629" s="192">
        <v>107.9</v>
      </c>
    </row>
    <row r="630" spans="1:7" x14ac:dyDescent="0.3">
      <c r="A630" s="191" t="s">
        <v>909</v>
      </c>
      <c r="B630" s="191" t="s">
        <v>916</v>
      </c>
      <c r="C630" s="192" t="s">
        <v>853</v>
      </c>
      <c r="D630" s="201" t="s">
        <v>854</v>
      </c>
      <c r="E630" s="192">
        <v>117.9</v>
      </c>
      <c r="F630" s="192">
        <v>68.599999999999994</v>
      </c>
      <c r="G630" s="192">
        <v>90.5</v>
      </c>
    </row>
    <row r="631" spans="1:7" x14ac:dyDescent="0.3">
      <c r="A631" s="191" t="s">
        <v>909</v>
      </c>
      <c r="B631" s="191" t="s">
        <v>916</v>
      </c>
      <c r="C631" s="192" t="s">
        <v>855</v>
      </c>
      <c r="D631" s="201" t="s">
        <v>856</v>
      </c>
      <c r="E631" s="192">
        <v>143.4</v>
      </c>
      <c r="F631" s="192">
        <v>68.5</v>
      </c>
      <c r="G631" s="192">
        <v>112</v>
      </c>
    </row>
    <row r="632" spans="1:7" x14ac:dyDescent="0.3">
      <c r="A632" s="191" t="s">
        <v>909</v>
      </c>
      <c r="B632" s="191" t="s">
        <v>916</v>
      </c>
      <c r="C632" s="192" t="s">
        <v>857</v>
      </c>
      <c r="D632" s="201" t="s">
        <v>858</v>
      </c>
      <c r="E632" s="192">
        <v>95.6</v>
      </c>
      <c r="F632" s="192">
        <v>63</v>
      </c>
      <c r="G632" s="192">
        <v>88</v>
      </c>
    </row>
    <row r="633" spans="1:7" x14ac:dyDescent="0.3">
      <c r="A633" s="191" t="s">
        <v>909</v>
      </c>
      <c r="B633" s="191" t="s">
        <v>916</v>
      </c>
      <c r="C633" s="192" t="s">
        <v>859</v>
      </c>
      <c r="D633" s="201" t="s">
        <v>860</v>
      </c>
      <c r="E633" s="192">
        <v>135.69999999999999</v>
      </c>
      <c r="F633" s="192">
        <v>67.599999999999994</v>
      </c>
      <c r="G633" s="192">
        <v>90.2</v>
      </c>
    </row>
    <row r="634" spans="1:7" x14ac:dyDescent="0.3">
      <c r="A634" s="191" t="s">
        <v>909</v>
      </c>
      <c r="B634" s="191" t="s">
        <v>916</v>
      </c>
      <c r="C634" s="192" t="s">
        <v>861</v>
      </c>
      <c r="D634" s="201" t="s">
        <v>862</v>
      </c>
      <c r="E634" s="192">
        <v>108.2</v>
      </c>
      <c r="F634" s="192">
        <v>67.599999999999994</v>
      </c>
      <c r="G634" s="192">
        <v>81.3</v>
      </c>
    </row>
    <row r="635" spans="1:7" x14ac:dyDescent="0.3">
      <c r="A635" s="191" t="s">
        <v>909</v>
      </c>
      <c r="B635" s="191" t="s">
        <v>916</v>
      </c>
      <c r="C635" s="192" t="s">
        <v>863</v>
      </c>
      <c r="D635" s="201" t="s">
        <v>864</v>
      </c>
      <c r="E635" s="192">
        <v>118</v>
      </c>
      <c r="F635" s="192">
        <v>64.599999999999994</v>
      </c>
      <c r="G635" s="192">
        <v>102.7</v>
      </c>
    </row>
    <row r="636" spans="1:7" x14ac:dyDescent="0.3">
      <c r="A636" s="191" t="s">
        <v>909</v>
      </c>
      <c r="B636" s="191" t="s">
        <v>916</v>
      </c>
      <c r="C636" s="192" t="s">
        <v>865</v>
      </c>
      <c r="D636" s="201" t="s">
        <v>866</v>
      </c>
      <c r="E636" s="192">
        <v>120.1</v>
      </c>
      <c r="F636" s="192">
        <v>64.099999999999994</v>
      </c>
      <c r="G636" s="192">
        <v>87.5</v>
      </c>
    </row>
    <row r="637" spans="1:7" x14ac:dyDescent="0.3">
      <c r="A637" s="191" t="s">
        <v>909</v>
      </c>
      <c r="B637" s="191" t="s">
        <v>916</v>
      </c>
      <c r="C637" s="192" t="s">
        <v>867</v>
      </c>
      <c r="D637" s="201" t="s">
        <v>868</v>
      </c>
      <c r="E637" s="192">
        <v>118.5</v>
      </c>
      <c r="F637" s="192">
        <v>68.2</v>
      </c>
      <c r="G637" s="192">
        <v>90.7</v>
      </c>
    </row>
    <row r="638" spans="1:7" x14ac:dyDescent="0.3">
      <c r="A638" s="191" t="s">
        <v>909</v>
      </c>
      <c r="B638" s="191" t="s">
        <v>916</v>
      </c>
      <c r="C638" s="192" t="s">
        <v>869</v>
      </c>
      <c r="D638" s="201" t="s">
        <v>870</v>
      </c>
      <c r="E638" s="192">
        <v>131.1</v>
      </c>
      <c r="F638" s="192">
        <v>64.599999999999994</v>
      </c>
      <c r="G638" s="192">
        <v>116.7</v>
      </c>
    </row>
    <row r="639" spans="1:7" x14ac:dyDescent="0.3">
      <c r="A639" s="191" t="s">
        <v>909</v>
      </c>
      <c r="B639" s="191" t="s">
        <v>916</v>
      </c>
      <c r="C639" s="192" t="s">
        <v>871</v>
      </c>
      <c r="D639" s="201" t="s">
        <v>872</v>
      </c>
      <c r="E639" s="192">
        <v>103.7</v>
      </c>
      <c r="F639" s="192">
        <v>83.5</v>
      </c>
      <c r="G639" s="192">
        <v>95.1</v>
      </c>
    </row>
    <row r="640" spans="1:7" x14ac:dyDescent="0.3">
      <c r="A640" s="191" t="s">
        <v>909</v>
      </c>
      <c r="B640" s="191" t="s">
        <v>916</v>
      </c>
      <c r="C640" s="192" t="s">
        <v>873</v>
      </c>
      <c r="D640" s="201" t="s">
        <v>874</v>
      </c>
      <c r="E640" s="192">
        <v>114.1</v>
      </c>
      <c r="F640" s="192">
        <v>63.9</v>
      </c>
      <c r="G640" s="192">
        <v>88.7</v>
      </c>
    </row>
    <row r="641" spans="1:7" x14ac:dyDescent="0.3">
      <c r="A641" s="191" t="s">
        <v>909</v>
      </c>
      <c r="B641" s="191" t="s">
        <v>916</v>
      </c>
      <c r="C641" s="192" t="s">
        <v>875</v>
      </c>
      <c r="D641" s="201" t="s">
        <v>876</v>
      </c>
      <c r="E641" s="192">
        <v>125.5</v>
      </c>
      <c r="F641" s="192">
        <v>73.599999999999994</v>
      </c>
      <c r="G641" s="192">
        <v>102.6</v>
      </c>
    </row>
    <row r="642" spans="1:7" x14ac:dyDescent="0.3">
      <c r="A642" s="191" t="s">
        <v>837</v>
      </c>
      <c r="B642" s="191" t="s">
        <v>917</v>
      </c>
      <c r="C642" s="192" t="s">
        <v>1301</v>
      </c>
      <c r="D642" s="202" t="s">
        <v>1599</v>
      </c>
      <c r="E642" s="192">
        <v>0</v>
      </c>
      <c r="F642" s="192">
        <v>101.8</v>
      </c>
      <c r="G642" s="192">
        <v>101.8</v>
      </c>
    </row>
    <row r="643" spans="1:7" x14ac:dyDescent="0.3">
      <c r="A643" s="191" t="s">
        <v>837</v>
      </c>
      <c r="B643" s="191" t="s">
        <v>917</v>
      </c>
      <c r="C643" s="192" t="s">
        <v>839</v>
      </c>
      <c r="D643" s="201" t="s">
        <v>840</v>
      </c>
      <c r="E643" s="192">
        <v>119.2</v>
      </c>
      <c r="F643" s="192">
        <v>99.6</v>
      </c>
      <c r="G643" s="192">
        <v>105.4</v>
      </c>
    </row>
    <row r="644" spans="1:7" x14ac:dyDescent="0.3">
      <c r="A644" s="191" t="s">
        <v>837</v>
      </c>
      <c r="B644" s="191" t="s">
        <v>917</v>
      </c>
      <c r="C644" s="192" t="s">
        <v>841</v>
      </c>
      <c r="D644" s="201" t="s">
        <v>842</v>
      </c>
      <c r="E644" s="192">
        <v>124.1</v>
      </c>
      <c r="F644" s="192">
        <v>85.6</v>
      </c>
      <c r="G644" s="192">
        <v>90.8</v>
      </c>
    </row>
    <row r="645" spans="1:7" x14ac:dyDescent="0.3">
      <c r="A645" s="191" t="s">
        <v>837</v>
      </c>
      <c r="B645" s="191" t="s">
        <v>917</v>
      </c>
      <c r="C645" s="192" t="s">
        <v>843</v>
      </c>
      <c r="D645" s="201" t="s">
        <v>844</v>
      </c>
      <c r="E645" s="192">
        <v>160.69999999999999</v>
      </c>
      <c r="F645" s="192">
        <v>81.3</v>
      </c>
      <c r="G645" s="192">
        <v>119.6</v>
      </c>
    </row>
    <row r="646" spans="1:7" x14ac:dyDescent="0.3">
      <c r="A646" s="191" t="s">
        <v>837</v>
      </c>
      <c r="B646" s="191" t="s">
        <v>917</v>
      </c>
      <c r="C646" s="192" t="s">
        <v>845</v>
      </c>
      <c r="D646" s="201" t="s">
        <v>846</v>
      </c>
      <c r="E646" s="192">
        <v>150</v>
      </c>
      <c r="F646" s="192">
        <v>87.7</v>
      </c>
      <c r="G646" s="192">
        <v>125.4</v>
      </c>
    </row>
    <row r="647" spans="1:7" x14ac:dyDescent="0.3">
      <c r="A647" s="191" t="s">
        <v>837</v>
      </c>
      <c r="B647" s="191" t="s">
        <v>917</v>
      </c>
      <c r="C647" s="192" t="s">
        <v>847</v>
      </c>
      <c r="D647" s="201" t="s">
        <v>848</v>
      </c>
      <c r="E647" s="192">
        <v>139.30000000000001</v>
      </c>
      <c r="F647" s="192">
        <v>85.8</v>
      </c>
      <c r="G647" s="192">
        <v>113.3</v>
      </c>
    </row>
    <row r="648" spans="1:7" x14ac:dyDescent="0.3">
      <c r="A648" s="191" t="s">
        <v>837</v>
      </c>
      <c r="B648" s="191" t="s">
        <v>917</v>
      </c>
      <c r="C648" s="192" t="s">
        <v>849</v>
      </c>
      <c r="D648" s="201" t="s">
        <v>850</v>
      </c>
      <c r="E648" s="192">
        <v>169.6</v>
      </c>
      <c r="F648" s="192">
        <v>96.2</v>
      </c>
      <c r="G648" s="192">
        <v>124.4</v>
      </c>
    </row>
    <row r="649" spans="1:7" x14ac:dyDescent="0.3">
      <c r="A649" s="191" t="s">
        <v>837</v>
      </c>
      <c r="B649" s="191" t="s">
        <v>917</v>
      </c>
      <c r="C649" s="192" t="s">
        <v>851</v>
      </c>
      <c r="D649" s="201" t="s">
        <v>852</v>
      </c>
      <c r="E649" s="192">
        <v>110.2</v>
      </c>
      <c r="F649" s="192">
        <v>89.2</v>
      </c>
      <c r="G649" s="192">
        <v>103.5</v>
      </c>
    </row>
    <row r="650" spans="1:7" x14ac:dyDescent="0.3">
      <c r="A650" s="191" t="s">
        <v>837</v>
      </c>
      <c r="B650" s="191" t="s">
        <v>917</v>
      </c>
      <c r="C650" s="192" t="s">
        <v>853</v>
      </c>
      <c r="D650" s="201" t="s">
        <v>854</v>
      </c>
      <c r="E650" s="192">
        <v>121.6</v>
      </c>
      <c r="F650" s="192">
        <v>83.4</v>
      </c>
      <c r="G650" s="192">
        <v>100.3</v>
      </c>
    </row>
    <row r="651" spans="1:7" x14ac:dyDescent="0.3">
      <c r="A651" s="191" t="s">
        <v>837</v>
      </c>
      <c r="B651" s="191" t="s">
        <v>917</v>
      </c>
      <c r="C651" s="192" t="s">
        <v>855</v>
      </c>
      <c r="D651" s="201" t="s">
        <v>856</v>
      </c>
      <c r="E651" s="192">
        <v>117.1</v>
      </c>
      <c r="F651" s="192">
        <v>89.2</v>
      </c>
      <c r="G651" s="192">
        <v>105.4</v>
      </c>
    </row>
    <row r="652" spans="1:7" x14ac:dyDescent="0.3">
      <c r="A652" s="191" t="s">
        <v>837</v>
      </c>
      <c r="B652" s="191" t="s">
        <v>917</v>
      </c>
      <c r="C652" s="192" t="s">
        <v>857</v>
      </c>
      <c r="D652" s="201" t="s">
        <v>858</v>
      </c>
      <c r="E652" s="192">
        <v>93.6</v>
      </c>
      <c r="F652" s="192">
        <v>83</v>
      </c>
      <c r="G652" s="192">
        <v>91.2</v>
      </c>
    </row>
    <row r="653" spans="1:7" x14ac:dyDescent="0.3">
      <c r="A653" s="191" t="s">
        <v>837</v>
      </c>
      <c r="B653" s="191" t="s">
        <v>917</v>
      </c>
      <c r="C653" s="192" t="s">
        <v>859</v>
      </c>
      <c r="D653" s="201" t="s">
        <v>860</v>
      </c>
      <c r="E653" s="192">
        <v>117.6</v>
      </c>
      <c r="F653" s="192">
        <v>82.8</v>
      </c>
      <c r="G653" s="192">
        <v>94.4</v>
      </c>
    </row>
    <row r="654" spans="1:7" x14ac:dyDescent="0.3">
      <c r="A654" s="191" t="s">
        <v>837</v>
      </c>
      <c r="B654" s="191" t="s">
        <v>917</v>
      </c>
      <c r="C654" s="192" t="s">
        <v>861</v>
      </c>
      <c r="D654" s="201" t="s">
        <v>862</v>
      </c>
      <c r="E654" s="192">
        <v>98.9</v>
      </c>
      <c r="F654" s="192">
        <v>82.8</v>
      </c>
      <c r="G654" s="192">
        <v>88.3</v>
      </c>
    </row>
    <row r="655" spans="1:7" x14ac:dyDescent="0.3">
      <c r="A655" s="191" t="s">
        <v>837</v>
      </c>
      <c r="B655" s="191" t="s">
        <v>917</v>
      </c>
      <c r="C655" s="192" t="s">
        <v>863</v>
      </c>
      <c r="D655" s="201" t="s">
        <v>864</v>
      </c>
      <c r="E655" s="192">
        <v>122.5</v>
      </c>
      <c r="F655" s="192">
        <v>93.7</v>
      </c>
      <c r="G655" s="192">
        <v>114.2</v>
      </c>
    </row>
    <row r="656" spans="1:7" x14ac:dyDescent="0.3">
      <c r="A656" s="191" t="s">
        <v>837</v>
      </c>
      <c r="B656" s="191" t="s">
        <v>917</v>
      </c>
      <c r="C656" s="192" t="s">
        <v>865</v>
      </c>
      <c r="D656" s="201" t="s">
        <v>866</v>
      </c>
      <c r="E656" s="192">
        <v>112.3</v>
      </c>
      <c r="F656" s="192">
        <v>93.5</v>
      </c>
      <c r="G656" s="192">
        <v>101.3</v>
      </c>
    </row>
    <row r="657" spans="1:7" x14ac:dyDescent="0.3">
      <c r="A657" s="191" t="s">
        <v>837</v>
      </c>
      <c r="B657" s="191" t="s">
        <v>917</v>
      </c>
      <c r="C657" s="192" t="s">
        <v>867</v>
      </c>
      <c r="D657" s="201" t="s">
        <v>868</v>
      </c>
      <c r="E657" s="192">
        <v>112.3</v>
      </c>
      <c r="F657" s="192">
        <v>87.9</v>
      </c>
      <c r="G657" s="192">
        <v>98.8</v>
      </c>
    </row>
    <row r="658" spans="1:7" x14ac:dyDescent="0.3">
      <c r="A658" s="191" t="s">
        <v>837</v>
      </c>
      <c r="B658" s="191" t="s">
        <v>917</v>
      </c>
      <c r="C658" s="192" t="s">
        <v>869</v>
      </c>
      <c r="D658" s="201" t="s">
        <v>870</v>
      </c>
      <c r="E658" s="192">
        <v>131.1</v>
      </c>
      <c r="F658" s="192">
        <v>72.099999999999994</v>
      </c>
      <c r="G658" s="192">
        <v>118.4</v>
      </c>
    </row>
    <row r="659" spans="1:7" x14ac:dyDescent="0.3">
      <c r="A659" s="191" t="s">
        <v>837</v>
      </c>
      <c r="B659" s="191" t="s">
        <v>917</v>
      </c>
      <c r="C659" s="192" t="s">
        <v>871</v>
      </c>
      <c r="D659" s="201" t="s">
        <v>872</v>
      </c>
      <c r="E659" s="192">
        <v>103.6</v>
      </c>
      <c r="F659" s="192">
        <v>100.6</v>
      </c>
      <c r="G659" s="192">
        <v>102.3</v>
      </c>
    </row>
    <row r="660" spans="1:7" x14ac:dyDescent="0.3">
      <c r="A660" s="191" t="s">
        <v>837</v>
      </c>
      <c r="B660" s="191" t="s">
        <v>917</v>
      </c>
      <c r="C660" s="192" t="s">
        <v>873</v>
      </c>
      <c r="D660" s="201" t="s">
        <v>874</v>
      </c>
      <c r="E660" s="192">
        <v>108.9</v>
      </c>
      <c r="F660" s="192">
        <v>89.8</v>
      </c>
      <c r="G660" s="192">
        <v>99.2</v>
      </c>
    </row>
    <row r="661" spans="1:7" x14ac:dyDescent="0.3">
      <c r="A661" s="191" t="s">
        <v>837</v>
      </c>
      <c r="B661" s="191" t="s">
        <v>917</v>
      </c>
      <c r="C661" s="192" t="s">
        <v>875</v>
      </c>
      <c r="D661" s="201" t="s">
        <v>876</v>
      </c>
      <c r="E661" s="192">
        <v>115.5</v>
      </c>
      <c r="F661" s="192">
        <v>91.7</v>
      </c>
      <c r="G661" s="192">
        <v>105</v>
      </c>
    </row>
    <row r="662" spans="1:7" x14ac:dyDescent="0.3">
      <c r="A662" s="191" t="s">
        <v>900</v>
      </c>
      <c r="B662" s="191" t="s">
        <v>918</v>
      </c>
      <c r="C662" s="192" t="s">
        <v>1301</v>
      </c>
      <c r="D662" s="202" t="s">
        <v>1599</v>
      </c>
      <c r="E662" s="192">
        <v>0</v>
      </c>
      <c r="F662" s="192">
        <v>100.3</v>
      </c>
      <c r="G662" s="192">
        <v>100.3</v>
      </c>
    </row>
    <row r="663" spans="1:7" x14ac:dyDescent="0.3">
      <c r="A663" s="191" t="s">
        <v>900</v>
      </c>
      <c r="B663" s="191" t="s">
        <v>918</v>
      </c>
      <c r="C663" s="192" t="s">
        <v>839</v>
      </c>
      <c r="D663" s="201" t="s">
        <v>840</v>
      </c>
      <c r="E663" s="192">
        <v>121.5</v>
      </c>
      <c r="F663" s="192">
        <v>97.5</v>
      </c>
      <c r="G663" s="192">
        <v>104.5</v>
      </c>
    </row>
    <row r="664" spans="1:7" x14ac:dyDescent="0.3">
      <c r="A664" s="191" t="s">
        <v>900</v>
      </c>
      <c r="B664" s="191" t="s">
        <v>918</v>
      </c>
      <c r="C664" s="192" t="s">
        <v>841</v>
      </c>
      <c r="D664" s="201" t="s">
        <v>842</v>
      </c>
      <c r="E664" s="192">
        <v>118.3</v>
      </c>
      <c r="F664" s="192">
        <v>88.7</v>
      </c>
      <c r="G664" s="192">
        <v>92.7</v>
      </c>
    </row>
    <row r="665" spans="1:7" x14ac:dyDescent="0.3">
      <c r="A665" s="191" t="s">
        <v>900</v>
      </c>
      <c r="B665" s="191" t="s">
        <v>918</v>
      </c>
      <c r="C665" s="192" t="s">
        <v>843</v>
      </c>
      <c r="D665" s="201" t="s">
        <v>844</v>
      </c>
      <c r="E665" s="192">
        <v>133.4</v>
      </c>
      <c r="F665" s="192">
        <v>83.9</v>
      </c>
      <c r="G665" s="192">
        <v>107.8</v>
      </c>
    </row>
    <row r="666" spans="1:7" x14ac:dyDescent="0.3">
      <c r="A666" s="191" t="s">
        <v>900</v>
      </c>
      <c r="B666" s="191" t="s">
        <v>918</v>
      </c>
      <c r="C666" s="192" t="s">
        <v>845</v>
      </c>
      <c r="D666" s="201" t="s">
        <v>846</v>
      </c>
      <c r="E666" s="192">
        <v>150.30000000000001</v>
      </c>
      <c r="F666" s="192">
        <v>94.9</v>
      </c>
      <c r="G666" s="192">
        <v>128.5</v>
      </c>
    </row>
    <row r="667" spans="1:7" x14ac:dyDescent="0.3">
      <c r="A667" s="191" t="s">
        <v>900</v>
      </c>
      <c r="B667" s="191" t="s">
        <v>918</v>
      </c>
      <c r="C667" s="192" t="s">
        <v>847</v>
      </c>
      <c r="D667" s="201" t="s">
        <v>848</v>
      </c>
      <c r="E667" s="192">
        <v>138.9</v>
      </c>
      <c r="F667" s="192">
        <v>89.9</v>
      </c>
      <c r="G667" s="192">
        <v>115.1</v>
      </c>
    </row>
    <row r="668" spans="1:7" x14ac:dyDescent="0.3">
      <c r="A668" s="191" t="s">
        <v>900</v>
      </c>
      <c r="B668" s="191" t="s">
        <v>918</v>
      </c>
      <c r="C668" s="192" t="s">
        <v>849</v>
      </c>
      <c r="D668" s="201" t="s">
        <v>850</v>
      </c>
      <c r="E668" s="192">
        <v>183.8</v>
      </c>
      <c r="F668" s="192">
        <v>96.2</v>
      </c>
      <c r="G668" s="192">
        <v>129.80000000000001</v>
      </c>
    </row>
    <row r="669" spans="1:7" x14ac:dyDescent="0.3">
      <c r="A669" s="191" t="s">
        <v>900</v>
      </c>
      <c r="B669" s="191" t="s">
        <v>918</v>
      </c>
      <c r="C669" s="192" t="s">
        <v>851</v>
      </c>
      <c r="D669" s="201" t="s">
        <v>852</v>
      </c>
      <c r="E669" s="192">
        <v>140.1</v>
      </c>
      <c r="F669" s="192">
        <v>86.6</v>
      </c>
      <c r="G669" s="192">
        <v>123.1</v>
      </c>
    </row>
    <row r="670" spans="1:7" x14ac:dyDescent="0.3">
      <c r="A670" s="191" t="s">
        <v>900</v>
      </c>
      <c r="B670" s="191" t="s">
        <v>918</v>
      </c>
      <c r="C670" s="192" t="s">
        <v>853</v>
      </c>
      <c r="D670" s="201" t="s">
        <v>854</v>
      </c>
      <c r="E670" s="192">
        <v>104.7</v>
      </c>
      <c r="F670" s="192">
        <v>88.8</v>
      </c>
      <c r="G670" s="192">
        <v>95.9</v>
      </c>
    </row>
    <row r="671" spans="1:7" x14ac:dyDescent="0.3">
      <c r="A671" s="191" t="s">
        <v>900</v>
      </c>
      <c r="B671" s="191" t="s">
        <v>918</v>
      </c>
      <c r="C671" s="192" t="s">
        <v>855</v>
      </c>
      <c r="D671" s="201" t="s">
        <v>856</v>
      </c>
      <c r="E671" s="192">
        <v>126.1</v>
      </c>
      <c r="F671" s="192">
        <v>84.1</v>
      </c>
      <c r="G671" s="192">
        <v>108.5</v>
      </c>
    </row>
    <row r="672" spans="1:7" x14ac:dyDescent="0.3">
      <c r="A672" s="191" t="s">
        <v>900</v>
      </c>
      <c r="B672" s="191" t="s">
        <v>918</v>
      </c>
      <c r="C672" s="192" t="s">
        <v>857</v>
      </c>
      <c r="D672" s="201" t="s">
        <v>858</v>
      </c>
      <c r="E672" s="192">
        <v>91.3</v>
      </c>
      <c r="F672" s="192">
        <v>78.7</v>
      </c>
      <c r="G672" s="192">
        <v>88.3</v>
      </c>
    </row>
    <row r="673" spans="1:7" x14ac:dyDescent="0.3">
      <c r="A673" s="191" t="s">
        <v>900</v>
      </c>
      <c r="B673" s="191" t="s">
        <v>918</v>
      </c>
      <c r="C673" s="192" t="s">
        <v>859</v>
      </c>
      <c r="D673" s="201" t="s">
        <v>860</v>
      </c>
      <c r="E673" s="192">
        <v>132.19999999999999</v>
      </c>
      <c r="F673" s="192">
        <v>88.4</v>
      </c>
      <c r="G673" s="192">
        <v>103</v>
      </c>
    </row>
    <row r="674" spans="1:7" x14ac:dyDescent="0.3">
      <c r="A674" s="191" t="s">
        <v>900</v>
      </c>
      <c r="B674" s="191" t="s">
        <v>918</v>
      </c>
      <c r="C674" s="192" t="s">
        <v>861</v>
      </c>
      <c r="D674" s="201" t="s">
        <v>862</v>
      </c>
      <c r="E674" s="192">
        <v>137.69999999999999</v>
      </c>
      <c r="F674" s="192">
        <v>88.4</v>
      </c>
      <c r="G674" s="192">
        <v>105.1</v>
      </c>
    </row>
    <row r="675" spans="1:7" x14ac:dyDescent="0.3">
      <c r="A675" s="191" t="s">
        <v>900</v>
      </c>
      <c r="B675" s="191" t="s">
        <v>918</v>
      </c>
      <c r="C675" s="192" t="s">
        <v>863</v>
      </c>
      <c r="D675" s="201" t="s">
        <v>864</v>
      </c>
      <c r="E675" s="192">
        <v>121.9</v>
      </c>
      <c r="F675" s="192">
        <v>104.9</v>
      </c>
      <c r="G675" s="192">
        <v>117</v>
      </c>
    </row>
    <row r="676" spans="1:7" x14ac:dyDescent="0.3">
      <c r="A676" s="191" t="s">
        <v>900</v>
      </c>
      <c r="B676" s="191" t="s">
        <v>918</v>
      </c>
      <c r="C676" s="192" t="s">
        <v>865</v>
      </c>
      <c r="D676" s="201" t="s">
        <v>866</v>
      </c>
      <c r="E676" s="192">
        <v>118.6</v>
      </c>
      <c r="F676" s="192">
        <v>92.9</v>
      </c>
      <c r="G676" s="192">
        <v>103.6</v>
      </c>
    </row>
    <row r="677" spans="1:7" x14ac:dyDescent="0.3">
      <c r="A677" s="191" t="s">
        <v>900</v>
      </c>
      <c r="B677" s="191" t="s">
        <v>918</v>
      </c>
      <c r="C677" s="192" t="s">
        <v>867</v>
      </c>
      <c r="D677" s="201" t="s">
        <v>868</v>
      </c>
      <c r="E677" s="192">
        <v>130.4</v>
      </c>
      <c r="F677" s="192">
        <v>93</v>
      </c>
      <c r="G677" s="192">
        <v>109.7</v>
      </c>
    </row>
    <row r="678" spans="1:7" x14ac:dyDescent="0.3">
      <c r="A678" s="191" t="s">
        <v>900</v>
      </c>
      <c r="B678" s="191" t="s">
        <v>918</v>
      </c>
      <c r="C678" s="192" t="s">
        <v>869</v>
      </c>
      <c r="D678" s="201" t="s">
        <v>870</v>
      </c>
      <c r="E678" s="192">
        <v>131.1</v>
      </c>
      <c r="F678" s="192">
        <v>71.599999999999994</v>
      </c>
      <c r="G678" s="192">
        <v>118.2</v>
      </c>
    </row>
    <row r="679" spans="1:7" x14ac:dyDescent="0.3">
      <c r="A679" s="191" t="s">
        <v>900</v>
      </c>
      <c r="B679" s="191" t="s">
        <v>918</v>
      </c>
      <c r="C679" s="192" t="s">
        <v>871</v>
      </c>
      <c r="D679" s="201" t="s">
        <v>872</v>
      </c>
      <c r="E679" s="192">
        <v>105</v>
      </c>
      <c r="F679" s="192">
        <v>84</v>
      </c>
      <c r="G679" s="192">
        <v>96.1</v>
      </c>
    </row>
    <row r="680" spans="1:7" x14ac:dyDescent="0.3">
      <c r="A680" s="191" t="s">
        <v>900</v>
      </c>
      <c r="B680" s="191" t="s">
        <v>918</v>
      </c>
      <c r="C680" s="192" t="s">
        <v>873</v>
      </c>
      <c r="D680" s="201" t="s">
        <v>874</v>
      </c>
      <c r="E680" s="192">
        <v>112.7</v>
      </c>
      <c r="F680" s="192">
        <v>91.7</v>
      </c>
      <c r="G680" s="192">
        <v>102.1</v>
      </c>
    </row>
    <row r="681" spans="1:7" x14ac:dyDescent="0.3">
      <c r="A681" s="191" t="s">
        <v>900</v>
      </c>
      <c r="B681" s="191" t="s">
        <v>918</v>
      </c>
      <c r="C681" s="192" t="s">
        <v>875</v>
      </c>
      <c r="D681" s="201" t="s">
        <v>876</v>
      </c>
      <c r="E681" s="192">
        <v>123</v>
      </c>
      <c r="F681" s="192">
        <v>89</v>
      </c>
      <c r="G681" s="192">
        <v>108</v>
      </c>
    </row>
    <row r="682" spans="1:7" x14ac:dyDescent="0.3">
      <c r="A682" s="191" t="s">
        <v>900</v>
      </c>
      <c r="B682" s="191" t="s">
        <v>919</v>
      </c>
      <c r="C682" s="192" t="s">
        <v>1301</v>
      </c>
      <c r="D682" s="202" t="s">
        <v>1599</v>
      </c>
      <c r="E682" s="192">
        <v>0</v>
      </c>
      <c r="F682" s="192">
        <v>100.3</v>
      </c>
      <c r="G682" s="192">
        <v>100.3</v>
      </c>
    </row>
    <row r="683" spans="1:7" x14ac:dyDescent="0.3">
      <c r="A683" s="191" t="s">
        <v>900</v>
      </c>
      <c r="B683" s="191" t="s">
        <v>919</v>
      </c>
      <c r="C683" s="192" t="s">
        <v>839</v>
      </c>
      <c r="D683" s="201" t="s">
        <v>840</v>
      </c>
      <c r="E683" s="192">
        <v>112.8</v>
      </c>
      <c r="F683" s="192">
        <v>97.5</v>
      </c>
      <c r="G683" s="192">
        <v>102</v>
      </c>
    </row>
    <row r="684" spans="1:7" x14ac:dyDescent="0.3">
      <c r="A684" s="191" t="s">
        <v>900</v>
      </c>
      <c r="B684" s="191" t="s">
        <v>919</v>
      </c>
      <c r="C684" s="192" t="s">
        <v>841</v>
      </c>
      <c r="D684" s="201" t="s">
        <v>842</v>
      </c>
      <c r="E684" s="192">
        <v>106.3</v>
      </c>
      <c r="F684" s="192">
        <v>88.8</v>
      </c>
      <c r="G684" s="192">
        <v>91.1</v>
      </c>
    </row>
    <row r="685" spans="1:7" x14ac:dyDescent="0.3">
      <c r="A685" s="191" t="s">
        <v>900</v>
      </c>
      <c r="B685" s="191" t="s">
        <v>919</v>
      </c>
      <c r="C685" s="192" t="s">
        <v>843</v>
      </c>
      <c r="D685" s="201" t="s">
        <v>844</v>
      </c>
      <c r="E685" s="192">
        <v>110.8</v>
      </c>
      <c r="F685" s="192">
        <v>83.9</v>
      </c>
      <c r="G685" s="192">
        <v>96.9</v>
      </c>
    </row>
    <row r="686" spans="1:7" x14ac:dyDescent="0.3">
      <c r="A686" s="191" t="s">
        <v>900</v>
      </c>
      <c r="B686" s="191" t="s">
        <v>919</v>
      </c>
      <c r="C686" s="192" t="s">
        <v>845</v>
      </c>
      <c r="D686" s="201" t="s">
        <v>846</v>
      </c>
      <c r="E686" s="192">
        <v>130.6</v>
      </c>
      <c r="F686" s="192">
        <v>94.9</v>
      </c>
      <c r="G686" s="192">
        <v>116.5</v>
      </c>
    </row>
    <row r="687" spans="1:7" x14ac:dyDescent="0.3">
      <c r="A687" s="191" t="s">
        <v>900</v>
      </c>
      <c r="B687" s="191" t="s">
        <v>919</v>
      </c>
      <c r="C687" s="192" t="s">
        <v>847</v>
      </c>
      <c r="D687" s="201" t="s">
        <v>848</v>
      </c>
      <c r="E687" s="192">
        <v>117.3</v>
      </c>
      <c r="F687" s="192">
        <v>90</v>
      </c>
      <c r="G687" s="192">
        <v>104</v>
      </c>
    </row>
    <row r="688" spans="1:7" x14ac:dyDescent="0.3">
      <c r="A688" s="191" t="s">
        <v>900</v>
      </c>
      <c r="B688" s="191" t="s">
        <v>919</v>
      </c>
      <c r="C688" s="192" t="s">
        <v>849</v>
      </c>
      <c r="D688" s="201" t="s">
        <v>850</v>
      </c>
      <c r="E688" s="192">
        <v>171.8</v>
      </c>
      <c r="F688" s="192">
        <v>96.2</v>
      </c>
      <c r="G688" s="192">
        <v>125.2</v>
      </c>
    </row>
    <row r="689" spans="1:7" x14ac:dyDescent="0.3">
      <c r="A689" s="191" t="s">
        <v>900</v>
      </c>
      <c r="B689" s="191" t="s">
        <v>919</v>
      </c>
      <c r="C689" s="192" t="s">
        <v>851</v>
      </c>
      <c r="D689" s="201" t="s">
        <v>852</v>
      </c>
      <c r="E689" s="192">
        <v>106.9</v>
      </c>
      <c r="F689" s="192">
        <v>86.6</v>
      </c>
      <c r="G689" s="192">
        <v>100.4</v>
      </c>
    </row>
    <row r="690" spans="1:7" x14ac:dyDescent="0.3">
      <c r="A690" s="191" t="s">
        <v>900</v>
      </c>
      <c r="B690" s="191" t="s">
        <v>919</v>
      </c>
      <c r="C690" s="192" t="s">
        <v>853</v>
      </c>
      <c r="D690" s="201" t="s">
        <v>854</v>
      </c>
      <c r="E690" s="192">
        <v>99.4</v>
      </c>
      <c r="F690" s="192">
        <v>88.8</v>
      </c>
      <c r="G690" s="192">
        <v>93.5</v>
      </c>
    </row>
    <row r="691" spans="1:7" x14ac:dyDescent="0.3">
      <c r="A691" s="191" t="s">
        <v>900</v>
      </c>
      <c r="B691" s="191" t="s">
        <v>919</v>
      </c>
      <c r="C691" s="192" t="s">
        <v>855</v>
      </c>
      <c r="D691" s="201" t="s">
        <v>856</v>
      </c>
      <c r="E691" s="192">
        <v>110.1</v>
      </c>
      <c r="F691" s="192">
        <v>84.5</v>
      </c>
      <c r="G691" s="192">
        <v>99.3</v>
      </c>
    </row>
    <row r="692" spans="1:7" x14ac:dyDescent="0.3">
      <c r="A692" s="191" t="s">
        <v>900</v>
      </c>
      <c r="B692" s="191" t="s">
        <v>919</v>
      </c>
      <c r="C692" s="192" t="s">
        <v>857</v>
      </c>
      <c r="D692" s="201" t="s">
        <v>858</v>
      </c>
      <c r="E692" s="192">
        <v>90.2</v>
      </c>
      <c r="F692" s="192">
        <v>78.7</v>
      </c>
      <c r="G692" s="192">
        <v>87.5</v>
      </c>
    </row>
    <row r="693" spans="1:7" x14ac:dyDescent="0.3">
      <c r="A693" s="191" t="s">
        <v>900</v>
      </c>
      <c r="B693" s="191" t="s">
        <v>919</v>
      </c>
      <c r="C693" s="192" t="s">
        <v>859</v>
      </c>
      <c r="D693" s="201" t="s">
        <v>860</v>
      </c>
      <c r="E693" s="192">
        <v>115</v>
      </c>
      <c r="F693" s="192">
        <v>88.4</v>
      </c>
      <c r="G693" s="192">
        <v>97.2</v>
      </c>
    </row>
    <row r="694" spans="1:7" x14ac:dyDescent="0.3">
      <c r="A694" s="191" t="s">
        <v>900</v>
      </c>
      <c r="B694" s="191" t="s">
        <v>919</v>
      </c>
      <c r="C694" s="192" t="s">
        <v>861</v>
      </c>
      <c r="D694" s="201" t="s">
        <v>862</v>
      </c>
      <c r="E694" s="192">
        <v>119.5</v>
      </c>
      <c r="F694" s="192">
        <v>88.4</v>
      </c>
      <c r="G694" s="192">
        <v>98.9</v>
      </c>
    </row>
    <row r="695" spans="1:7" x14ac:dyDescent="0.3">
      <c r="A695" s="191" t="s">
        <v>900</v>
      </c>
      <c r="B695" s="191" t="s">
        <v>919</v>
      </c>
      <c r="C695" s="192" t="s">
        <v>863</v>
      </c>
      <c r="D695" s="201" t="s">
        <v>864</v>
      </c>
      <c r="E695" s="192">
        <v>114.4</v>
      </c>
      <c r="F695" s="192">
        <v>104.9</v>
      </c>
      <c r="G695" s="192">
        <v>111.7</v>
      </c>
    </row>
    <row r="696" spans="1:7" x14ac:dyDescent="0.3">
      <c r="A696" s="191" t="s">
        <v>900</v>
      </c>
      <c r="B696" s="191" t="s">
        <v>919</v>
      </c>
      <c r="C696" s="192" t="s">
        <v>865</v>
      </c>
      <c r="D696" s="201" t="s">
        <v>866</v>
      </c>
      <c r="E696" s="192">
        <v>115.5</v>
      </c>
      <c r="F696" s="192">
        <v>92.9</v>
      </c>
      <c r="G696" s="192">
        <v>102.3</v>
      </c>
    </row>
    <row r="697" spans="1:7" x14ac:dyDescent="0.3">
      <c r="A697" s="191" t="s">
        <v>900</v>
      </c>
      <c r="B697" s="191" t="s">
        <v>919</v>
      </c>
      <c r="C697" s="192" t="s">
        <v>867</v>
      </c>
      <c r="D697" s="201" t="s">
        <v>868</v>
      </c>
      <c r="E697" s="192">
        <v>115.4</v>
      </c>
      <c r="F697" s="192">
        <v>93</v>
      </c>
      <c r="G697" s="192">
        <v>103</v>
      </c>
    </row>
    <row r="698" spans="1:7" x14ac:dyDescent="0.3">
      <c r="A698" s="191" t="s">
        <v>900</v>
      </c>
      <c r="B698" s="191" t="s">
        <v>919</v>
      </c>
      <c r="C698" s="192" t="s">
        <v>869</v>
      </c>
      <c r="D698" s="201" t="s">
        <v>870</v>
      </c>
      <c r="E698" s="192">
        <v>131.1</v>
      </c>
      <c r="F698" s="192">
        <v>72</v>
      </c>
      <c r="G698" s="192">
        <v>118.3</v>
      </c>
    </row>
    <row r="699" spans="1:7" x14ac:dyDescent="0.3">
      <c r="A699" s="191" t="s">
        <v>900</v>
      </c>
      <c r="B699" s="191" t="s">
        <v>919</v>
      </c>
      <c r="C699" s="192" t="s">
        <v>871</v>
      </c>
      <c r="D699" s="201" t="s">
        <v>872</v>
      </c>
      <c r="E699" s="192">
        <v>104.9</v>
      </c>
      <c r="F699" s="192">
        <v>84</v>
      </c>
      <c r="G699" s="192">
        <v>96</v>
      </c>
    </row>
    <row r="700" spans="1:7" x14ac:dyDescent="0.3">
      <c r="A700" s="191" t="s">
        <v>900</v>
      </c>
      <c r="B700" s="191" t="s">
        <v>919</v>
      </c>
      <c r="C700" s="192" t="s">
        <v>873</v>
      </c>
      <c r="D700" s="201" t="s">
        <v>874</v>
      </c>
      <c r="E700" s="192">
        <v>110.1</v>
      </c>
      <c r="F700" s="192">
        <v>91.7</v>
      </c>
      <c r="G700" s="192">
        <v>100.8</v>
      </c>
    </row>
    <row r="701" spans="1:7" x14ac:dyDescent="0.3">
      <c r="A701" s="191" t="s">
        <v>900</v>
      </c>
      <c r="B701" s="191" t="s">
        <v>919</v>
      </c>
      <c r="C701" s="192" t="s">
        <v>875</v>
      </c>
      <c r="D701" s="201" t="s">
        <v>876</v>
      </c>
      <c r="E701" s="192">
        <v>112.3</v>
      </c>
      <c r="F701" s="192">
        <v>89</v>
      </c>
      <c r="G701" s="192">
        <v>102</v>
      </c>
    </row>
    <row r="702" spans="1:7" x14ac:dyDescent="0.3">
      <c r="A702" s="191" t="s">
        <v>911</v>
      </c>
      <c r="B702" s="191" t="s">
        <v>920</v>
      </c>
      <c r="C702" s="192" t="s">
        <v>1301</v>
      </c>
      <c r="D702" s="202" t="s">
        <v>1599</v>
      </c>
      <c r="E702" s="192">
        <v>0</v>
      </c>
      <c r="F702" s="192">
        <v>102.5</v>
      </c>
      <c r="G702" s="192">
        <v>102.5</v>
      </c>
    </row>
    <row r="703" spans="1:7" x14ac:dyDescent="0.3">
      <c r="A703" s="191" t="s">
        <v>911</v>
      </c>
      <c r="B703" s="191" t="s">
        <v>920</v>
      </c>
      <c r="C703" s="192" t="s">
        <v>839</v>
      </c>
      <c r="D703" s="201" t="s">
        <v>840</v>
      </c>
      <c r="E703" s="192">
        <v>122.6</v>
      </c>
      <c r="F703" s="192">
        <v>99</v>
      </c>
      <c r="G703" s="192">
        <v>105.9</v>
      </c>
    </row>
    <row r="704" spans="1:7" x14ac:dyDescent="0.3">
      <c r="A704" s="191" t="s">
        <v>911</v>
      </c>
      <c r="B704" s="191" t="s">
        <v>920</v>
      </c>
      <c r="C704" s="192" t="s">
        <v>841</v>
      </c>
      <c r="D704" s="201" t="s">
        <v>842</v>
      </c>
      <c r="E704" s="192">
        <v>125.6</v>
      </c>
      <c r="F704" s="192">
        <v>82.3</v>
      </c>
      <c r="G704" s="192">
        <v>88.1</v>
      </c>
    </row>
    <row r="705" spans="1:7" x14ac:dyDescent="0.3">
      <c r="A705" s="191" t="s">
        <v>911</v>
      </c>
      <c r="B705" s="191" t="s">
        <v>920</v>
      </c>
      <c r="C705" s="192" t="s">
        <v>843</v>
      </c>
      <c r="D705" s="201" t="s">
        <v>844</v>
      </c>
      <c r="E705" s="192">
        <v>159.30000000000001</v>
      </c>
      <c r="F705" s="192">
        <v>74.599999999999994</v>
      </c>
      <c r="G705" s="192">
        <v>115.4</v>
      </c>
    </row>
    <row r="706" spans="1:7" x14ac:dyDescent="0.3">
      <c r="A706" s="191" t="s">
        <v>911</v>
      </c>
      <c r="B706" s="191" t="s">
        <v>920</v>
      </c>
      <c r="C706" s="192" t="s">
        <v>845</v>
      </c>
      <c r="D706" s="201" t="s">
        <v>846</v>
      </c>
      <c r="E706" s="192">
        <v>158.30000000000001</v>
      </c>
      <c r="F706" s="192">
        <v>95.2</v>
      </c>
      <c r="G706" s="192">
        <v>133.4</v>
      </c>
    </row>
    <row r="707" spans="1:7" x14ac:dyDescent="0.3">
      <c r="A707" s="191" t="s">
        <v>911</v>
      </c>
      <c r="B707" s="191" t="s">
        <v>920</v>
      </c>
      <c r="C707" s="192" t="s">
        <v>847</v>
      </c>
      <c r="D707" s="201" t="s">
        <v>848</v>
      </c>
      <c r="E707" s="192">
        <v>147.19999999999999</v>
      </c>
      <c r="F707" s="192">
        <v>85.5</v>
      </c>
      <c r="G707" s="192">
        <v>117.2</v>
      </c>
    </row>
    <row r="708" spans="1:7" x14ac:dyDescent="0.3">
      <c r="A708" s="191" t="s">
        <v>911</v>
      </c>
      <c r="B708" s="191" t="s">
        <v>920</v>
      </c>
      <c r="C708" s="192" t="s">
        <v>849</v>
      </c>
      <c r="D708" s="201" t="s">
        <v>850</v>
      </c>
      <c r="E708" s="192">
        <v>189.1</v>
      </c>
      <c r="F708" s="192">
        <v>92</v>
      </c>
      <c r="G708" s="192">
        <v>129.30000000000001</v>
      </c>
    </row>
    <row r="709" spans="1:7" x14ac:dyDescent="0.3">
      <c r="A709" s="191" t="s">
        <v>911</v>
      </c>
      <c r="B709" s="191" t="s">
        <v>920</v>
      </c>
      <c r="C709" s="192" t="s">
        <v>851</v>
      </c>
      <c r="D709" s="201" t="s">
        <v>852</v>
      </c>
      <c r="E709" s="192">
        <v>138.5</v>
      </c>
      <c r="F709" s="192">
        <v>83.7</v>
      </c>
      <c r="G709" s="192">
        <v>121.1</v>
      </c>
    </row>
    <row r="710" spans="1:7" x14ac:dyDescent="0.3">
      <c r="A710" s="191" t="s">
        <v>911</v>
      </c>
      <c r="B710" s="191" t="s">
        <v>920</v>
      </c>
      <c r="C710" s="192" t="s">
        <v>853</v>
      </c>
      <c r="D710" s="201" t="s">
        <v>854</v>
      </c>
      <c r="E710" s="192">
        <v>109.2</v>
      </c>
      <c r="F710" s="192">
        <v>80</v>
      </c>
      <c r="G710" s="192">
        <v>92.9</v>
      </c>
    </row>
    <row r="711" spans="1:7" x14ac:dyDescent="0.3">
      <c r="A711" s="191" t="s">
        <v>911</v>
      </c>
      <c r="B711" s="191" t="s">
        <v>920</v>
      </c>
      <c r="C711" s="192" t="s">
        <v>855</v>
      </c>
      <c r="D711" s="201" t="s">
        <v>856</v>
      </c>
      <c r="E711" s="192">
        <v>137.4</v>
      </c>
      <c r="F711" s="192">
        <v>89.4</v>
      </c>
      <c r="G711" s="192">
        <v>117.3</v>
      </c>
    </row>
    <row r="712" spans="1:7" x14ac:dyDescent="0.3">
      <c r="A712" s="191" t="s">
        <v>911</v>
      </c>
      <c r="B712" s="191" t="s">
        <v>920</v>
      </c>
      <c r="C712" s="192" t="s">
        <v>857</v>
      </c>
      <c r="D712" s="201" t="s">
        <v>858</v>
      </c>
      <c r="E712" s="192">
        <v>90.6</v>
      </c>
      <c r="F712" s="192">
        <v>72.400000000000006</v>
      </c>
      <c r="G712" s="192">
        <v>86.4</v>
      </c>
    </row>
    <row r="713" spans="1:7" x14ac:dyDescent="0.3">
      <c r="A713" s="191" t="s">
        <v>911</v>
      </c>
      <c r="B713" s="191" t="s">
        <v>920</v>
      </c>
      <c r="C713" s="192" t="s">
        <v>859</v>
      </c>
      <c r="D713" s="201" t="s">
        <v>860</v>
      </c>
      <c r="E713" s="192">
        <v>133.69999999999999</v>
      </c>
      <c r="F713" s="192">
        <v>79.3</v>
      </c>
      <c r="G713" s="192">
        <v>97.3</v>
      </c>
    </row>
    <row r="714" spans="1:7" x14ac:dyDescent="0.3">
      <c r="A714" s="191" t="s">
        <v>911</v>
      </c>
      <c r="B714" s="191" t="s">
        <v>920</v>
      </c>
      <c r="C714" s="192" t="s">
        <v>861</v>
      </c>
      <c r="D714" s="201" t="s">
        <v>862</v>
      </c>
      <c r="E714" s="192">
        <v>119.4</v>
      </c>
      <c r="F714" s="192">
        <v>79.3</v>
      </c>
      <c r="G714" s="192">
        <v>92.8</v>
      </c>
    </row>
    <row r="715" spans="1:7" x14ac:dyDescent="0.3">
      <c r="A715" s="191" t="s">
        <v>911</v>
      </c>
      <c r="B715" s="191" t="s">
        <v>920</v>
      </c>
      <c r="C715" s="192" t="s">
        <v>863</v>
      </c>
      <c r="D715" s="201" t="s">
        <v>864</v>
      </c>
      <c r="E715" s="192">
        <v>119.8</v>
      </c>
      <c r="F715" s="192">
        <v>57</v>
      </c>
      <c r="G715" s="192">
        <v>101.7</v>
      </c>
    </row>
    <row r="716" spans="1:7" x14ac:dyDescent="0.3">
      <c r="A716" s="191" t="s">
        <v>911</v>
      </c>
      <c r="B716" s="191" t="s">
        <v>920</v>
      </c>
      <c r="C716" s="192" t="s">
        <v>865</v>
      </c>
      <c r="D716" s="201" t="s">
        <v>866</v>
      </c>
      <c r="E716" s="192">
        <v>117.5</v>
      </c>
      <c r="F716" s="192">
        <v>95.9</v>
      </c>
      <c r="G716" s="192">
        <v>104.9</v>
      </c>
    </row>
    <row r="717" spans="1:7" x14ac:dyDescent="0.3">
      <c r="A717" s="191" t="s">
        <v>911</v>
      </c>
      <c r="B717" s="191" t="s">
        <v>920</v>
      </c>
      <c r="C717" s="192" t="s">
        <v>867</v>
      </c>
      <c r="D717" s="201" t="s">
        <v>868</v>
      </c>
      <c r="E717" s="192">
        <v>125.8</v>
      </c>
      <c r="F717" s="192">
        <v>79</v>
      </c>
      <c r="G717" s="192">
        <v>99.9</v>
      </c>
    </row>
    <row r="718" spans="1:7" x14ac:dyDescent="0.3">
      <c r="A718" s="191" t="s">
        <v>911</v>
      </c>
      <c r="B718" s="191" t="s">
        <v>920</v>
      </c>
      <c r="C718" s="192" t="s">
        <v>869</v>
      </c>
      <c r="D718" s="201" t="s">
        <v>870</v>
      </c>
      <c r="E718" s="192">
        <v>131.1</v>
      </c>
      <c r="F718" s="192">
        <v>70.400000000000006</v>
      </c>
      <c r="G718" s="192">
        <v>118</v>
      </c>
    </row>
    <row r="719" spans="1:7" x14ac:dyDescent="0.3">
      <c r="A719" s="191" t="s">
        <v>911</v>
      </c>
      <c r="B719" s="191" t="s">
        <v>920</v>
      </c>
      <c r="C719" s="192" t="s">
        <v>871</v>
      </c>
      <c r="D719" s="201" t="s">
        <v>872</v>
      </c>
      <c r="E719" s="192">
        <v>105.2</v>
      </c>
      <c r="F719" s="192">
        <v>81.2</v>
      </c>
      <c r="G719" s="192">
        <v>95</v>
      </c>
    </row>
    <row r="720" spans="1:7" x14ac:dyDescent="0.3">
      <c r="A720" s="191" t="s">
        <v>911</v>
      </c>
      <c r="B720" s="191" t="s">
        <v>920</v>
      </c>
      <c r="C720" s="192" t="s">
        <v>873</v>
      </c>
      <c r="D720" s="201" t="s">
        <v>874</v>
      </c>
      <c r="E720" s="192">
        <v>111.9</v>
      </c>
      <c r="F720" s="192">
        <v>82.5</v>
      </c>
      <c r="G720" s="192">
        <v>97</v>
      </c>
    </row>
    <row r="721" spans="1:7" x14ac:dyDescent="0.3">
      <c r="A721" s="191" t="s">
        <v>911</v>
      </c>
      <c r="B721" s="191" t="s">
        <v>920</v>
      </c>
      <c r="C721" s="192" t="s">
        <v>875</v>
      </c>
      <c r="D721" s="201" t="s">
        <v>876</v>
      </c>
      <c r="E721" s="192">
        <v>123.9</v>
      </c>
      <c r="F721" s="192">
        <v>83.9</v>
      </c>
      <c r="G721" s="192">
        <v>106.3</v>
      </c>
    </row>
    <row r="722" spans="1:7" x14ac:dyDescent="0.3">
      <c r="A722" s="191" t="s">
        <v>837</v>
      </c>
      <c r="B722" s="191" t="s">
        <v>921</v>
      </c>
      <c r="C722" s="192" t="s">
        <v>1301</v>
      </c>
      <c r="D722" s="202" t="s">
        <v>1599</v>
      </c>
      <c r="E722" s="192">
        <v>0</v>
      </c>
      <c r="F722" s="192">
        <v>104.2</v>
      </c>
      <c r="G722" s="192">
        <v>104.2</v>
      </c>
    </row>
    <row r="723" spans="1:7" x14ac:dyDescent="0.3">
      <c r="A723" s="191" t="s">
        <v>837</v>
      </c>
      <c r="B723" s="191" t="s">
        <v>921</v>
      </c>
      <c r="C723" s="192" t="s">
        <v>839</v>
      </c>
      <c r="D723" s="201" t="s">
        <v>840</v>
      </c>
      <c r="E723" s="192">
        <v>128.30000000000001</v>
      </c>
      <c r="F723" s="192">
        <v>105.3</v>
      </c>
      <c r="G723" s="192">
        <v>112.1</v>
      </c>
    </row>
    <row r="724" spans="1:7" x14ac:dyDescent="0.3">
      <c r="A724" s="191" t="s">
        <v>837</v>
      </c>
      <c r="B724" s="191" t="s">
        <v>921</v>
      </c>
      <c r="C724" s="192" t="s">
        <v>841</v>
      </c>
      <c r="D724" s="201" t="s">
        <v>842</v>
      </c>
      <c r="E724" s="192">
        <v>119.1</v>
      </c>
      <c r="F724" s="192">
        <v>99.2</v>
      </c>
      <c r="G724" s="192">
        <v>101.9</v>
      </c>
    </row>
    <row r="725" spans="1:7" x14ac:dyDescent="0.3">
      <c r="A725" s="191" t="s">
        <v>837</v>
      </c>
      <c r="B725" s="191" t="s">
        <v>921</v>
      </c>
      <c r="C725" s="192" t="s">
        <v>843</v>
      </c>
      <c r="D725" s="201" t="s">
        <v>844</v>
      </c>
      <c r="E725" s="192">
        <v>137.5</v>
      </c>
      <c r="F725" s="192">
        <v>95.7</v>
      </c>
      <c r="G725" s="192">
        <v>115.9</v>
      </c>
    </row>
    <row r="726" spans="1:7" x14ac:dyDescent="0.3">
      <c r="A726" s="191" t="s">
        <v>837</v>
      </c>
      <c r="B726" s="191" t="s">
        <v>921</v>
      </c>
      <c r="C726" s="192" t="s">
        <v>845</v>
      </c>
      <c r="D726" s="201" t="s">
        <v>846</v>
      </c>
      <c r="E726" s="192">
        <v>124.2</v>
      </c>
      <c r="F726" s="192">
        <v>111.3</v>
      </c>
      <c r="G726" s="192">
        <v>119.1</v>
      </c>
    </row>
    <row r="727" spans="1:7" x14ac:dyDescent="0.3">
      <c r="A727" s="191" t="s">
        <v>837</v>
      </c>
      <c r="B727" s="191" t="s">
        <v>921</v>
      </c>
      <c r="C727" s="192" t="s">
        <v>847</v>
      </c>
      <c r="D727" s="201" t="s">
        <v>848</v>
      </c>
      <c r="E727" s="192">
        <v>120.9</v>
      </c>
      <c r="F727" s="192">
        <v>102.5</v>
      </c>
      <c r="G727" s="192">
        <v>112</v>
      </c>
    </row>
    <row r="728" spans="1:7" x14ac:dyDescent="0.3">
      <c r="A728" s="191" t="s">
        <v>837</v>
      </c>
      <c r="B728" s="191" t="s">
        <v>921</v>
      </c>
      <c r="C728" s="192" t="s">
        <v>849</v>
      </c>
      <c r="D728" s="201" t="s">
        <v>850</v>
      </c>
      <c r="E728" s="192">
        <v>177</v>
      </c>
      <c r="F728" s="192">
        <v>113.3</v>
      </c>
      <c r="G728" s="192">
        <v>137.69999999999999</v>
      </c>
    </row>
    <row r="729" spans="1:7" x14ac:dyDescent="0.3">
      <c r="A729" s="191" t="s">
        <v>837</v>
      </c>
      <c r="B729" s="191" t="s">
        <v>921</v>
      </c>
      <c r="C729" s="192" t="s">
        <v>851</v>
      </c>
      <c r="D729" s="201" t="s">
        <v>852</v>
      </c>
      <c r="E729" s="192">
        <v>128.5</v>
      </c>
      <c r="F729" s="192">
        <v>94.4</v>
      </c>
      <c r="G729" s="192">
        <v>117.7</v>
      </c>
    </row>
    <row r="730" spans="1:7" x14ac:dyDescent="0.3">
      <c r="A730" s="191" t="s">
        <v>837</v>
      </c>
      <c r="B730" s="191" t="s">
        <v>921</v>
      </c>
      <c r="C730" s="192" t="s">
        <v>853</v>
      </c>
      <c r="D730" s="201" t="s">
        <v>854</v>
      </c>
      <c r="E730" s="192">
        <v>104.2</v>
      </c>
      <c r="F730" s="192">
        <v>96.7</v>
      </c>
      <c r="G730" s="192">
        <v>100</v>
      </c>
    </row>
    <row r="731" spans="1:7" x14ac:dyDescent="0.3">
      <c r="A731" s="191" t="s">
        <v>837</v>
      </c>
      <c r="B731" s="191" t="s">
        <v>921</v>
      </c>
      <c r="C731" s="192" t="s">
        <v>855</v>
      </c>
      <c r="D731" s="201" t="s">
        <v>856</v>
      </c>
      <c r="E731" s="192">
        <v>127.9</v>
      </c>
      <c r="F731" s="192">
        <v>101.6</v>
      </c>
      <c r="G731" s="192">
        <v>116.9</v>
      </c>
    </row>
    <row r="732" spans="1:7" x14ac:dyDescent="0.3">
      <c r="A732" s="191" t="s">
        <v>837</v>
      </c>
      <c r="B732" s="191" t="s">
        <v>921</v>
      </c>
      <c r="C732" s="192" t="s">
        <v>857</v>
      </c>
      <c r="D732" s="201" t="s">
        <v>858</v>
      </c>
      <c r="E732" s="192">
        <v>88.8</v>
      </c>
      <c r="F732" s="192">
        <v>95.7</v>
      </c>
      <c r="G732" s="192">
        <v>90.4</v>
      </c>
    </row>
    <row r="733" spans="1:7" x14ac:dyDescent="0.3">
      <c r="A733" s="191" t="s">
        <v>837</v>
      </c>
      <c r="B733" s="191" t="s">
        <v>921</v>
      </c>
      <c r="C733" s="192" t="s">
        <v>859</v>
      </c>
      <c r="D733" s="201" t="s">
        <v>860</v>
      </c>
      <c r="E733" s="192">
        <v>122.9</v>
      </c>
      <c r="F733" s="192">
        <v>96.5</v>
      </c>
      <c r="G733" s="192">
        <v>105.2</v>
      </c>
    </row>
    <row r="734" spans="1:7" x14ac:dyDescent="0.3">
      <c r="A734" s="191" t="s">
        <v>837</v>
      </c>
      <c r="B734" s="191" t="s">
        <v>921</v>
      </c>
      <c r="C734" s="192" t="s">
        <v>861</v>
      </c>
      <c r="D734" s="201" t="s">
        <v>862</v>
      </c>
      <c r="E734" s="192">
        <v>120.6</v>
      </c>
      <c r="F734" s="192">
        <v>96.5</v>
      </c>
      <c r="G734" s="192">
        <v>104.6</v>
      </c>
    </row>
    <row r="735" spans="1:7" x14ac:dyDescent="0.3">
      <c r="A735" s="191" t="s">
        <v>837</v>
      </c>
      <c r="B735" s="191" t="s">
        <v>921</v>
      </c>
      <c r="C735" s="192" t="s">
        <v>863</v>
      </c>
      <c r="D735" s="201" t="s">
        <v>864</v>
      </c>
      <c r="E735" s="192">
        <v>114.5</v>
      </c>
      <c r="F735" s="192">
        <v>106.7</v>
      </c>
      <c r="G735" s="192">
        <v>112.3</v>
      </c>
    </row>
    <row r="736" spans="1:7" x14ac:dyDescent="0.3">
      <c r="A736" s="191" t="s">
        <v>837</v>
      </c>
      <c r="B736" s="191" t="s">
        <v>921</v>
      </c>
      <c r="C736" s="192" t="s">
        <v>865</v>
      </c>
      <c r="D736" s="201" t="s">
        <v>866</v>
      </c>
      <c r="E736" s="192">
        <v>107.3</v>
      </c>
      <c r="F736" s="192">
        <v>106.7</v>
      </c>
      <c r="G736" s="192">
        <v>107</v>
      </c>
    </row>
    <row r="737" spans="1:7" x14ac:dyDescent="0.3">
      <c r="A737" s="191" t="s">
        <v>837</v>
      </c>
      <c r="B737" s="191" t="s">
        <v>921</v>
      </c>
      <c r="C737" s="192" t="s">
        <v>867</v>
      </c>
      <c r="D737" s="201" t="s">
        <v>868</v>
      </c>
      <c r="E737" s="192">
        <v>117.1</v>
      </c>
      <c r="F737" s="192">
        <v>101.4</v>
      </c>
      <c r="G737" s="192">
        <v>108.4</v>
      </c>
    </row>
    <row r="738" spans="1:7" x14ac:dyDescent="0.3">
      <c r="A738" s="191" t="s">
        <v>837</v>
      </c>
      <c r="B738" s="191" t="s">
        <v>921</v>
      </c>
      <c r="C738" s="192" t="s">
        <v>869</v>
      </c>
      <c r="D738" s="201" t="s">
        <v>870</v>
      </c>
      <c r="E738" s="192">
        <v>131.1</v>
      </c>
      <c r="F738" s="192">
        <v>101</v>
      </c>
      <c r="G738" s="192">
        <v>124.6</v>
      </c>
    </row>
    <row r="739" spans="1:7" x14ac:dyDescent="0.3">
      <c r="A739" s="191" t="s">
        <v>837</v>
      </c>
      <c r="B739" s="191" t="s">
        <v>921</v>
      </c>
      <c r="C739" s="192" t="s">
        <v>871</v>
      </c>
      <c r="D739" s="201" t="s">
        <v>872</v>
      </c>
      <c r="E739" s="192">
        <v>105.3</v>
      </c>
      <c r="F739" s="192">
        <v>96.8</v>
      </c>
      <c r="G739" s="192">
        <v>101.7</v>
      </c>
    </row>
    <row r="740" spans="1:7" x14ac:dyDescent="0.3">
      <c r="A740" s="191" t="s">
        <v>837</v>
      </c>
      <c r="B740" s="191" t="s">
        <v>921</v>
      </c>
      <c r="C740" s="192" t="s">
        <v>873</v>
      </c>
      <c r="D740" s="201" t="s">
        <v>874</v>
      </c>
      <c r="E740" s="192">
        <v>105.1</v>
      </c>
      <c r="F740" s="192">
        <v>100.3</v>
      </c>
      <c r="G740" s="192">
        <v>102.7</v>
      </c>
    </row>
    <row r="741" spans="1:7" x14ac:dyDescent="0.3">
      <c r="A741" s="191" t="s">
        <v>837</v>
      </c>
      <c r="B741" s="191" t="s">
        <v>921</v>
      </c>
      <c r="C741" s="192" t="s">
        <v>875</v>
      </c>
      <c r="D741" s="201" t="s">
        <v>876</v>
      </c>
      <c r="E741" s="192">
        <v>116.9</v>
      </c>
      <c r="F741" s="192">
        <v>100.9</v>
      </c>
      <c r="G741" s="192">
        <v>109.9</v>
      </c>
    </row>
    <row r="742" spans="1:7" x14ac:dyDescent="0.3">
      <c r="A742" s="191" t="s">
        <v>837</v>
      </c>
      <c r="B742" s="191" t="s">
        <v>922</v>
      </c>
      <c r="C742" s="192" t="s">
        <v>1301</v>
      </c>
      <c r="D742" s="202" t="s">
        <v>1599</v>
      </c>
      <c r="E742" s="192">
        <v>0</v>
      </c>
      <c r="F742" s="192">
        <v>101.8</v>
      </c>
      <c r="G742" s="192">
        <v>101.8</v>
      </c>
    </row>
    <row r="743" spans="1:7" x14ac:dyDescent="0.3">
      <c r="A743" s="191" t="s">
        <v>837</v>
      </c>
      <c r="B743" s="191" t="s">
        <v>922</v>
      </c>
      <c r="C743" s="192" t="s">
        <v>839</v>
      </c>
      <c r="D743" s="201" t="s">
        <v>840</v>
      </c>
      <c r="E743" s="192">
        <v>95.8</v>
      </c>
      <c r="F743" s="192">
        <v>100.8</v>
      </c>
      <c r="G743" s="192">
        <v>99.4</v>
      </c>
    </row>
    <row r="744" spans="1:7" x14ac:dyDescent="0.3">
      <c r="A744" s="191" t="s">
        <v>837</v>
      </c>
      <c r="B744" s="191" t="s">
        <v>922</v>
      </c>
      <c r="C744" s="192" t="s">
        <v>841</v>
      </c>
      <c r="D744" s="201" t="s">
        <v>842</v>
      </c>
      <c r="E744" s="192">
        <v>118.3</v>
      </c>
      <c r="F744" s="192">
        <v>88</v>
      </c>
      <c r="G744" s="192">
        <v>92.1</v>
      </c>
    </row>
    <row r="745" spans="1:7" x14ac:dyDescent="0.3">
      <c r="A745" s="191" t="s">
        <v>837</v>
      </c>
      <c r="B745" s="191" t="s">
        <v>922</v>
      </c>
      <c r="C745" s="192" t="s">
        <v>843</v>
      </c>
      <c r="D745" s="201" t="s">
        <v>844</v>
      </c>
      <c r="E745" s="192">
        <v>95.7</v>
      </c>
      <c r="F745" s="192">
        <v>90.8</v>
      </c>
      <c r="G745" s="192">
        <v>93.2</v>
      </c>
    </row>
    <row r="746" spans="1:7" x14ac:dyDescent="0.3">
      <c r="A746" s="191" t="s">
        <v>837</v>
      </c>
      <c r="B746" s="191" t="s">
        <v>922</v>
      </c>
      <c r="C746" s="192" t="s">
        <v>845</v>
      </c>
      <c r="D746" s="201" t="s">
        <v>846</v>
      </c>
      <c r="E746" s="192">
        <v>123.3</v>
      </c>
      <c r="F746" s="192">
        <v>100.9</v>
      </c>
      <c r="G746" s="192">
        <v>114.5</v>
      </c>
    </row>
    <row r="747" spans="1:7" x14ac:dyDescent="0.3">
      <c r="A747" s="191" t="s">
        <v>837</v>
      </c>
      <c r="B747" s="191" t="s">
        <v>922</v>
      </c>
      <c r="C747" s="192" t="s">
        <v>847</v>
      </c>
      <c r="D747" s="201" t="s">
        <v>848</v>
      </c>
      <c r="E747" s="192">
        <v>107.3</v>
      </c>
      <c r="F747" s="192">
        <v>93</v>
      </c>
      <c r="G747" s="192">
        <v>100.3</v>
      </c>
    </row>
    <row r="748" spans="1:7" x14ac:dyDescent="0.3">
      <c r="A748" s="191" t="s">
        <v>837</v>
      </c>
      <c r="B748" s="191" t="s">
        <v>922</v>
      </c>
      <c r="C748" s="192" t="s">
        <v>849</v>
      </c>
      <c r="D748" s="201" t="s">
        <v>850</v>
      </c>
      <c r="E748" s="192">
        <v>148.1</v>
      </c>
      <c r="F748" s="192">
        <v>99.5</v>
      </c>
      <c r="G748" s="192">
        <v>118.1</v>
      </c>
    </row>
    <row r="749" spans="1:7" x14ac:dyDescent="0.3">
      <c r="A749" s="191" t="s">
        <v>837</v>
      </c>
      <c r="B749" s="191" t="s">
        <v>922</v>
      </c>
      <c r="C749" s="192" t="s">
        <v>851</v>
      </c>
      <c r="D749" s="201" t="s">
        <v>852</v>
      </c>
      <c r="E749" s="192">
        <v>107.5</v>
      </c>
      <c r="F749" s="192">
        <v>91.3</v>
      </c>
      <c r="G749" s="192">
        <v>102.3</v>
      </c>
    </row>
    <row r="750" spans="1:7" x14ac:dyDescent="0.3">
      <c r="A750" s="191" t="s">
        <v>837</v>
      </c>
      <c r="B750" s="191" t="s">
        <v>922</v>
      </c>
      <c r="C750" s="192" t="s">
        <v>853</v>
      </c>
      <c r="D750" s="201" t="s">
        <v>854</v>
      </c>
      <c r="E750" s="192">
        <v>115.8</v>
      </c>
      <c r="F750" s="192">
        <v>86</v>
      </c>
      <c r="G750" s="192">
        <v>99.2</v>
      </c>
    </row>
    <row r="751" spans="1:7" x14ac:dyDescent="0.3">
      <c r="A751" s="191" t="s">
        <v>837</v>
      </c>
      <c r="B751" s="191" t="s">
        <v>922</v>
      </c>
      <c r="C751" s="192" t="s">
        <v>855</v>
      </c>
      <c r="D751" s="201" t="s">
        <v>856</v>
      </c>
      <c r="E751" s="192">
        <v>111.3</v>
      </c>
      <c r="F751" s="192">
        <v>91.8</v>
      </c>
      <c r="G751" s="192">
        <v>103.1</v>
      </c>
    </row>
    <row r="752" spans="1:7" x14ac:dyDescent="0.3">
      <c r="A752" s="191" t="s">
        <v>837</v>
      </c>
      <c r="B752" s="191" t="s">
        <v>922</v>
      </c>
      <c r="C752" s="192" t="s">
        <v>857</v>
      </c>
      <c r="D752" s="201" t="s">
        <v>858</v>
      </c>
      <c r="E752" s="192">
        <v>84.9</v>
      </c>
      <c r="F752" s="192">
        <v>85.4</v>
      </c>
      <c r="G752" s="192">
        <v>85</v>
      </c>
    </row>
    <row r="753" spans="1:7" x14ac:dyDescent="0.3">
      <c r="A753" s="191" t="s">
        <v>837</v>
      </c>
      <c r="B753" s="191" t="s">
        <v>922</v>
      </c>
      <c r="C753" s="192" t="s">
        <v>859</v>
      </c>
      <c r="D753" s="201" t="s">
        <v>860</v>
      </c>
      <c r="E753" s="192">
        <v>110.7</v>
      </c>
      <c r="F753" s="192">
        <v>85.6</v>
      </c>
      <c r="G753" s="192">
        <v>93.9</v>
      </c>
    </row>
    <row r="754" spans="1:7" x14ac:dyDescent="0.3">
      <c r="A754" s="191" t="s">
        <v>837</v>
      </c>
      <c r="B754" s="191" t="s">
        <v>922</v>
      </c>
      <c r="C754" s="192" t="s">
        <v>861</v>
      </c>
      <c r="D754" s="201" t="s">
        <v>862</v>
      </c>
      <c r="E754" s="192">
        <v>93.5</v>
      </c>
      <c r="F754" s="192">
        <v>85.6</v>
      </c>
      <c r="G754" s="192">
        <v>88.2</v>
      </c>
    </row>
    <row r="755" spans="1:7" x14ac:dyDescent="0.3">
      <c r="A755" s="191" t="s">
        <v>837</v>
      </c>
      <c r="B755" s="191" t="s">
        <v>922</v>
      </c>
      <c r="C755" s="192" t="s">
        <v>863</v>
      </c>
      <c r="D755" s="201" t="s">
        <v>864</v>
      </c>
      <c r="E755" s="192">
        <v>112.8</v>
      </c>
      <c r="F755" s="192">
        <v>101.5</v>
      </c>
      <c r="G755" s="192">
        <v>109.5</v>
      </c>
    </row>
    <row r="756" spans="1:7" x14ac:dyDescent="0.3">
      <c r="A756" s="191" t="s">
        <v>837</v>
      </c>
      <c r="B756" s="191" t="s">
        <v>922</v>
      </c>
      <c r="C756" s="192" t="s">
        <v>865</v>
      </c>
      <c r="D756" s="201" t="s">
        <v>866</v>
      </c>
      <c r="E756" s="192">
        <v>106.2</v>
      </c>
      <c r="F756" s="192">
        <v>95.5</v>
      </c>
      <c r="G756" s="192">
        <v>100</v>
      </c>
    </row>
    <row r="757" spans="1:7" x14ac:dyDescent="0.3">
      <c r="A757" s="191" t="s">
        <v>837</v>
      </c>
      <c r="B757" s="191" t="s">
        <v>922</v>
      </c>
      <c r="C757" s="192" t="s">
        <v>867</v>
      </c>
      <c r="D757" s="201" t="s">
        <v>868</v>
      </c>
      <c r="E757" s="192">
        <v>104.6</v>
      </c>
      <c r="F757" s="192">
        <v>91.2</v>
      </c>
      <c r="G757" s="192">
        <v>97.2</v>
      </c>
    </row>
    <row r="758" spans="1:7" x14ac:dyDescent="0.3">
      <c r="A758" s="191" t="s">
        <v>837</v>
      </c>
      <c r="B758" s="191" t="s">
        <v>922</v>
      </c>
      <c r="C758" s="192" t="s">
        <v>869</v>
      </c>
      <c r="D758" s="201" t="s">
        <v>870</v>
      </c>
      <c r="E758" s="192">
        <v>131.1</v>
      </c>
      <c r="F758" s="192">
        <v>73.900000000000006</v>
      </c>
      <c r="G758" s="192">
        <v>118.7</v>
      </c>
    </row>
    <row r="759" spans="1:7" x14ac:dyDescent="0.3">
      <c r="A759" s="191" t="s">
        <v>837</v>
      </c>
      <c r="B759" s="191" t="s">
        <v>922</v>
      </c>
      <c r="C759" s="192" t="s">
        <v>871</v>
      </c>
      <c r="D759" s="201" t="s">
        <v>872</v>
      </c>
      <c r="E759" s="192">
        <v>104.7</v>
      </c>
      <c r="F759" s="192">
        <v>87</v>
      </c>
      <c r="G759" s="192">
        <v>97.2</v>
      </c>
    </row>
    <row r="760" spans="1:7" x14ac:dyDescent="0.3">
      <c r="A760" s="191" t="s">
        <v>837</v>
      </c>
      <c r="B760" s="191" t="s">
        <v>922</v>
      </c>
      <c r="C760" s="192" t="s">
        <v>873</v>
      </c>
      <c r="D760" s="201" t="s">
        <v>874</v>
      </c>
      <c r="E760" s="192">
        <v>110.4</v>
      </c>
      <c r="F760" s="192">
        <v>98.2</v>
      </c>
      <c r="G760" s="192">
        <v>104.3</v>
      </c>
    </row>
    <row r="761" spans="1:7" x14ac:dyDescent="0.3">
      <c r="A761" s="191" t="s">
        <v>837</v>
      </c>
      <c r="B761" s="191" t="s">
        <v>922</v>
      </c>
      <c r="C761" s="192" t="s">
        <v>875</v>
      </c>
      <c r="D761" s="201" t="s">
        <v>876</v>
      </c>
      <c r="E761" s="192">
        <v>108.3</v>
      </c>
      <c r="F761" s="192">
        <v>92.3</v>
      </c>
      <c r="G761" s="192">
        <v>101.3</v>
      </c>
    </row>
    <row r="762" spans="1:7" x14ac:dyDescent="0.3">
      <c r="A762" s="191" t="s">
        <v>881</v>
      </c>
      <c r="B762" s="191" t="s">
        <v>923</v>
      </c>
      <c r="C762" s="192" t="s">
        <v>1301</v>
      </c>
      <c r="D762" s="202" t="s">
        <v>1599</v>
      </c>
      <c r="E762" s="192">
        <v>0</v>
      </c>
      <c r="F762" s="192">
        <v>106.9</v>
      </c>
      <c r="G762" s="192">
        <v>106.9</v>
      </c>
    </row>
    <row r="763" spans="1:7" x14ac:dyDescent="0.3">
      <c r="A763" s="191" t="s">
        <v>881</v>
      </c>
      <c r="B763" s="191" t="s">
        <v>923</v>
      </c>
      <c r="C763" s="192" t="s">
        <v>839</v>
      </c>
      <c r="D763" s="201" t="s">
        <v>840</v>
      </c>
      <c r="E763" s="192">
        <v>123</v>
      </c>
      <c r="F763" s="192">
        <v>104.8</v>
      </c>
      <c r="G763" s="192">
        <v>110.2</v>
      </c>
    </row>
    <row r="764" spans="1:7" x14ac:dyDescent="0.3">
      <c r="A764" s="191" t="s">
        <v>881</v>
      </c>
      <c r="B764" s="191" t="s">
        <v>923</v>
      </c>
      <c r="C764" s="192" t="s">
        <v>841</v>
      </c>
      <c r="D764" s="201" t="s">
        <v>842</v>
      </c>
      <c r="E764" s="192">
        <v>123.4</v>
      </c>
      <c r="F764" s="192">
        <v>93.3</v>
      </c>
      <c r="G764" s="192">
        <v>97.4</v>
      </c>
    </row>
    <row r="765" spans="1:7" x14ac:dyDescent="0.3">
      <c r="A765" s="191" t="s">
        <v>881</v>
      </c>
      <c r="B765" s="191" t="s">
        <v>923</v>
      </c>
      <c r="C765" s="192" t="s">
        <v>843</v>
      </c>
      <c r="D765" s="201" t="s">
        <v>844</v>
      </c>
      <c r="E765" s="192">
        <v>128.30000000000001</v>
      </c>
      <c r="F765" s="192">
        <v>73.5</v>
      </c>
      <c r="G765" s="192">
        <v>99.9</v>
      </c>
    </row>
    <row r="766" spans="1:7" x14ac:dyDescent="0.3">
      <c r="A766" s="191" t="s">
        <v>881</v>
      </c>
      <c r="B766" s="191" t="s">
        <v>923</v>
      </c>
      <c r="C766" s="192" t="s">
        <v>845</v>
      </c>
      <c r="D766" s="201" t="s">
        <v>846</v>
      </c>
      <c r="E766" s="192">
        <v>177.2</v>
      </c>
      <c r="F766" s="192">
        <v>104.2</v>
      </c>
      <c r="G766" s="192">
        <v>148.4</v>
      </c>
    </row>
    <row r="767" spans="1:7" x14ac:dyDescent="0.3">
      <c r="A767" s="191" t="s">
        <v>881</v>
      </c>
      <c r="B767" s="191" t="s">
        <v>923</v>
      </c>
      <c r="C767" s="192" t="s">
        <v>847</v>
      </c>
      <c r="D767" s="201" t="s">
        <v>848</v>
      </c>
      <c r="E767" s="192">
        <v>151.69999999999999</v>
      </c>
      <c r="F767" s="192">
        <v>93.5</v>
      </c>
      <c r="G767" s="192">
        <v>123.4</v>
      </c>
    </row>
    <row r="768" spans="1:7" x14ac:dyDescent="0.3">
      <c r="A768" s="191" t="s">
        <v>881</v>
      </c>
      <c r="B768" s="191" t="s">
        <v>923</v>
      </c>
      <c r="C768" s="192" t="s">
        <v>849</v>
      </c>
      <c r="D768" s="201" t="s">
        <v>850</v>
      </c>
      <c r="E768" s="192">
        <v>197.5</v>
      </c>
      <c r="F768" s="192">
        <v>87.1</v>
      </c>
      <c r="G768" s="192">
        <v>129.5</v>
      </c>
    </row>
    <row r="769" spans="1:7" x14ac:dyDescent="0.3">
      <c r="A769" s="191" t="s">
        <v>881</v>
      </c>
      <c r="B769" s="191" t="s">
        <v>923</v>
      </c>
      <c r="C769" s="192" t="s">
        <v>851</v>
      </c>
      <c r="D769" s="201" t="s">
        <v>852</v>
      </c>
      <c r="E769" s="192">
        <v>140.6</v>
      </c>
      <c r="F769" s="192">
        <v>89.1</v>
      </c>
      <c r="G769" s="192">
        <v>124.2</v>
      </c>
    </row>
    <row r="770" spans="1:7" x14ac:dyDescent="0.3">
      <c r="A770" s="191" t="s">
        <v>881</v>
      </c>
      <c r="B770" s="191" t="s">
        <v>923</v>
      </c>
      <c r="C770" s="192" t="s">
        <v>853</v>
      </c>
      <c r="D770" s="201" t="s">
        <v>854</v>
      </c>
      <c r="E770" s="192">
        <v>98.5</v>
      </c>
      <c r="F770" s="192">
        <v>94</v>
      </c>
      <c r="G770" s="192">
        <v>96</v>
      </c>
    </row>
    <row r="771" spans="1:7" x14ac:dyDescent="0.3">
      <c r="A771" s="191" t="s">
        <v>881</v>
      </c>
      <c r="B771" s="191" t="s">
        <v>923</v>
      </c>
      <c r="C771" s="192" t="s">
        <v>855</v>
      </c>
      <c r="D771" s="201" t="s">
        <v>856</v>
      </c>
      <c r="E771" s="192">
        <v>122.5</v>
      </c>
      <c r="F771" s="192">
        <v>90.9</v>
      </c>
      <c r="G771" s="192">
        <v>109.3</v>
      </c>
    </row>
    <row r="772" spans="1:7" x14ac:dyDescent="0.3">
      <c r="A772" s="191" t="s">
        <v>881</v>
      </c>
      <c r="B772" s="191" t="s">
        <v>923</v>
      </c>
      <c r="C772" s="192" t="s">
        <v>857</v>
      </c>
      <c r="D772" s="201" t="s">
        <v>858</v>
      </c>
      <c r="E772" s="192">
        <v>87.7</v>
      </c>
      <c r="F772" s="192">
        <v>84.1</v>
      </c>
      <c r="G772" s="192">
        <v>86.9</v>
      </c>
    </row>
    <row r="773" spans="1:7" x14ac:dyDescent="0.3">
      <c r="A773" s="191" t="s">
        <v>881</v>
      </c>
      <c r="B773" s="191" t="s">
        <v>923</v>
      </c>
      <c r="C773" s="192" t="s">
        <v>859</v>
      </c>
      <c r="D773" s="201" t="s">
        <v>860</v>
      </c>
      <c r="E773" s="192">
        <v>123.5</v>
      </c>
      <c r="F773" s="192">
        <v>93.3</v>
      </c>
      <c r="G773" s="192">
        <v>103.3</v>
      </c>
    </row>
    <row r="774" spans="1:7" x14ac:dyDescent="0.3">
      <c r="A774" s="191" t="s">
        <v>881</v>
      </c>
      <c r="B774" s="191" t="s">
        <v>923</v>
      </c>
      <c r="C774" s="192" t="s">
        <v>861</v>
      </c>
      <c r="D774" s="201" t="s">
        <v>862</v>
      </c>
      <c r="E774" s="192">
        <v>141.80000000000001</v>
      </c>
      <c r="F774" s="192">
        <v>93.3</v>
      </c>
      <c r="G774" s="192">
        <v>109.7</v>
      </c>
    </row>
    <row r="775" spans="1:7" x14ac:dyDescent="0.3">
      <c r="A775" s="191" t="s">
        <v>881</v>
      </c>
      <c r="B775" s="191" t="s">
        <v>923</v>
      </c>
      <c r="C775" s="192" t="s">
        <v>863</v>
      </c>
      <c r="D775" s="201" t="s">
        <v>864</v>
      </c>
      <c r="E775" s="192">
        <v>129.69999999999999</v>
      </c>
      <c r="F775" s="192">
        <v>91.2</v>
      </c>
      <c r="G775" s="192">
        <v>118.6</v>
      </c>
    </row>
    <row r="776" spans="1:7" x14ac:dyDescent="0.3">
      <c r="A776" s="191" t="s">
        <v>881</v>
      </c>
      <c r="B776" s="191" t="s">
        <v>923</v>
      </c>
      <c r="C776" s="192" t="s">
        <v>865</v>
      </c>
      <c r="D776" s="201" t="s">
        <v>866</v>
      </c>
      <c r="E776" s="192">
        <v>125.5</v>
      </c>
      <c r="F776" s="192">
        <v>112.4</v>
      </c>
      <c r="G776" s="192">
        <v>117.9</v>
      </c>
    </row>
    <row r="777" spans="1:7" x14ac:dyDescent="0.3">
      <c r="A777" s="191" t="s">
        <v>881</v>
      </c>
      <c r="B777" s="191" t="s">
        <v>923</v>
      </c>
      <c r="C777" s="192" t="s">
        <v>867</v>
      </c>
      <c r="D777" s="201" t="s">
        <v>868</v>
      </c>
      <c r="E777" s="192">
        <v>130.19999999999999</v>
      </c>
      <c r="F777" s="192">
        <v>95.3</v>
      </c>
      <c r="G777" s="192">
        <v>110.9</v>
      </c>
    </row>
    <row r="778" spans="1:7" x14ac:dyDescent="0.3">
      <c r="A778" s="191" t="s">
        <v>881</v>
      </c>
      <c r="B778" s="191" t="s">
        <v>923</v>
      </c>
      <c r="C778" s="192" t="s">
        <v>869</v>
      </c>
      <c r="D778" s="201" t="s">
        <v>870</v>
      </c>
      <c r="E778" s="192">
        <v>131.1</v>
      </c>
      <c r="F778" s="192">
        <v>94.9</v>
      </c>
      <c r="G778" s="192">
        <v>123.3</v>
      </c>
    </row>
    <row r="779" spans="1:7" x14ac:dyDescent="0.3">
      <c r="A779" s="191" t="s">
        <v>881</v>
      </c>
      <c r="B779" s="191" t="s">
        <v>923</v>
      </c>
      <c r="C779" s="192" t="s">
        <v>871</v>
      </c>
      <c r="D779" s="201" t="s">
        <v>872</v>
      </c>
      <c r="E779" s="192">
        <v>105.5</v>
      </c>
      <c r="F779" s="192">
        <v>90</v>
      </c>
      <c r="G779" s="192">
        <v>98.9</v>
      </c>
    </row>
    <row r="780" spans="1:7" x14ac:dyDescent="0.3">
      <c r="A780" s="191" t="s">
        <v>881</v>
      </c>
      <c r="B780" s="191" t="s">
        <v>923</v>
      </c>
      <c r="C780" s="192" t="s">
        <v>873</v>
      </c>
      <c r="D780" s="201" t="s">
        <v>874</v>
      </c>
      <c r="E780" s="192">
        <v>103.7</v>
      </c>
      <c r="F780" s="192">
        <v>100.6</v>
      </c>
      <c r="G780" s="192">
        <v>102.1</v>
      </c>
    </row>
    <row r="781" spans="1:7" x14ac:dyDescent="0.3">
      <c r="A781" s="191" t="s">
        <v>881</v>
      </c>
      <c r="B781" s="191" t="s">
        <v>923</v>
      </c>
      <c r="C781" s="192" t="s">
        <v>875</v>
      </c>
      <c r="D781" s="201" t="s">
        <v>876</v>
      </c>
      <c r="E781" s="192">
        <v>123.8</v>
      </c>
      <c r="F781" s="192">
        <v>93.4</v>
      </c>
      <c r="G781" s="192">
        <v>110.4</v>
      </c>
    </row>
    <row r="782" spans="1:7" x14ac:dyDescent="0.3">
      <c r="A782" s="191" t="s">
        <v>837</v>
      </c>
      <c r="B782" s="191" t="s">
        <v>924</v>
      </c>
      <c r="C782" s="192" t="s">
        <v>1301</v>
      </c>
      <c r="D782" s="202" t="s">
        <v>1599</v>
      </c>
      <c r="E782" s="192">
        <v>0</v>
      </c>
      <c r="F782" s="192">
        <v>101.8</v>
      </c>
      <c r="G782" s="192">
        <v>101.8</v>
      </c>
    </row>
    <row r="783" spans="1:7" x14ac:dyDescent="0.3">
      <c r="A783" s="191" t="s">
        <v>837</v>
      </c>
      <c r="B783" s="191" t="s">
        <v>924</v>
      </c>
      <c r="C783" s="192" t="s">
        <v>839</v>
      </c>
      <c r="D783" s="201" t="s">
        <v>840</v>
      </c>
      <c r="E783" s="192">
        <v>117.2</v>
      </c>
      <c r="F783" s="192">
        <v>99.7</v>
      </c>
      <c r="G783" s="192">
        <v>104.8</v>
      </c>
    </row>
    <row r="784" spans="1:7" x14ac:dyDescent="0.3">
      <c r="A784" s="191" t="s">
        <v>837</v>
      </c>
      <c r="B784" s="191" t="s">
        <v>924</v>
      </c>
      <c r="C784" s="192" t="s">
        <v>841</v>
      </c>
      <c r="D784" s="201" t="s">
        <v>842</v>
      </c>
      <c r="E784" s="192">
        <v>121.9</v>
      </c>
      <c r="F784" s="192">
        <v>87</v>
      </c>
      <c r="G784" s="192">
        <v>91.7</v>
      </c>
    </row>
    <row r="785" spans="1:7" x14ac:dyDescent="0.3">
      <c r="A785" s="191" t="s">
        <v>837</v>
      </c>
      <c r="B785" s="191" t="s">
        <v>924</v>
      </c>
      <c r="C785" s="192" t="s">
        <v>843</v>
      </c>
      <c r="D785" s="201" t="s">
        <v>844</v>
      </c>
      <c r="E785" s="192">
        <v>160.69999999999999</v>
      </c>
      <c r="F785" s="192">
        <v>81.3</v>
      </c>
      <c r="G785" s="192">
        <v>119.6</v>
      </c>
    </row>
    <row r="786" spans="1:7" x14ac:dyDescent="0.3">
      <c r="A786" s="191" t="s">
        <v>837</v>
      </c>
      <c r="B786" s="191" t="s">
        <v>924</v>
      </c>
      <c r="C786" s="192" t="s">
        <v>845</v>
      </c>
      <c r="D786" s="201" t="s">
        <v>846</v>
      </c>
      <c r="E786" s="192">
        <v>134.9</v>
      </c>
      <c r="F786" s="192">
        <v>99.5</v>
      </c>
      <c r="G786" s="192">
        <v>121</v>
      </c>
    </row>
    <row r="787" spans="1:7" x14ac:dyDescent="0.3">
      <c r="A787" s="191" t="s">
        <v>837</v>
      </c>
      <c r="B787" s="191" t="s">
        <v>924</v>
      </c>
      <c r="C787" s="192" t="s">
        <v>847</v>
      </c>
      <c r="D787" s="201" t="s">
        <v>848</v>
      </c>
      <c r="E787" s="192">
        <v>131.69999999999999</v>
      </c>
      <c r="F787" s="192">
        <v>90.4</v>
      </c>
      <c r="G787" s="192">
        <v>111.7</v>
      </c>
    </row>
    <row r="788" spans="1:7" x14ac:dyDescent="0.3">
      <c r="A788" s="191" t="s">
        <v>837</v>
      </c>
      <c r="B788" s="191" t="s">
        <v>924</v>
      </c>
      <c r="C788" s="192" t="s">
        <v>849</v>
      </c>
      <c r="D788" s="201" t="s">
        <v>850</v>
      </c>
      <c r="E788" s="192">
        <v>168.4</v>
      </c>
      <c r="F788" s="192">
        <v>93.6</v>
      </c>
      <c r="G788" s="192">
        <v>122.3</v>
      </c>
    </row>
    <row r="789" spans="1:7" x14ac:dyDescent="0.3">
      <c r="A789" s="191" t="s">
        <v>837</v>
      </c>
      <c r="B789" s="191" t="s">
        <v>924</v>
      </c>
      <c r="C789" s="192" t="s">
        <v>851</v>
      </c>
      <c r="D789" s="201" t="s">
        <v>852</v>
      </c>
      <c r="E789" s="192">
        <v>110.2</v>
      </c>
      <c r="F789" s="192">
        <v>89</v>
      </c>
      <c r="G789" s="192">
        <v>103.5</v>
      </c>
    </row>
    <row r="790" spans="1:7" x14ac:dyDescent="0.3">
      <c r="A790" s="191" t="s">
        <v>837</v>
      </c>
      <c r="B790" s="191" t="s">
        <v>924</v>
      </c>
      <c r="C790" s="192" t="s">
        <v>853</v>
      </c>
      <c r="D790" s="201" t="s">
        <v>854</v>
      </c>
      <c r="E790" s="192">
        <v>120</v>
      </c>
      <c r="F790" s="192">
        <v>86</v>
      </c>
      <c r="G790" s="192">
        <v>101.1</v>
      </c>
    </row>
    <row r="791" spans="1:7" x14ac:dyDescent="0.3">
      <c r="A791" s="191" t="s">
        <v>837</v>
      </c>
      <c r="B791" s="191" t="s">
        <v>924</v>
      </c>
      <c r="C791" s="192" t="s">
        <v>855</v>
      </c>
      <c r="D791" s="201" t="s">
        <v>856</v>
      </c>
      <c r="E791" s="192">
        <v>117</v>
      </c>
      <c r="F791" s="192">
        <v>87.3</v>
      </c>
      <c r="G791" s="192">
        <v>104.6</v>
      </c>
    </row>
    <row r="792" spans="1:7" x14ac:dyDescent="0.3">
      <c r="A792" s="191" t="s">
        <v>837</v>
      </c>
      <c r="B792" s="191" t="s">
        <v>924</v>
      </c>
      <c r="C792" s="192" t="s">
        <v>857</v>
      </c>
      <c r="D792" s="201" t="s">
        <v>858</v>
      </c>
      <c r="E792" s="192">
        <v>94.8</v>
      </c>
      <c r="F792" s="192">
        <v>83.7</v>
      </c>
      <c r="G792" s="192">
        <v>92.3</v>
      </c>
    </row>
    <row r="793" spans="1:7" x14ac:dyDescent="0.3">
      <c r="A793" s="191" t="s">
        <v>837</v>
      </c>
      <c r="B793" s="191" t="s">
        <v>924</v>
      </c>
      <c r="C793" s="192" t="s">
        <v>859</v>
      </c>
      <c r="D793" s="201" t="s">
        <v>860</v>
      </c>
      <c r="E793" s="192">
        <v>170.7</v>
      </c>
      <c r="F793" s="192">
        <v>85.6</v>
      </c>
      <c r="G793" s="192">
        <v>113.8</v>
      </c>
    </row>
    <row r="794" spans="1:7" x14ac:dyDescent="0.3">
      <c r="A794" s="191" t="s">
        <v>837</v>
      </c>
      <c r="B794" s="191" t="s">
        <v>924</v>
      </c>
      <c r="C794" s="192" t="s">
        <v>861</v>
      </c>
      <c r="D794" s="201" t="s">
        <v>862</v>
      </c>
      <c r="E794" s="192">
        <v>101.4</v>
      </c>
      <c r="F794" s="192">
        <v>85.6</v>
      </c>
      <c r="G794" s="192">
        <v>90.9</v>
      </c>
    </row>
    <row r="795" spans="1:7" x14ac:dyDescent="0.3">
      <c r="A795" s="191" t="s">
        <v>837</v>
      </c>
      <c r="B795" s="191" t="s">
        <v>924</v>
      </c>
      <c r="C795" s="192" t="s">
        <v>863</v>
      </c>
      <c r="D795" s="201" t="s">
        <v>864</v>
      </c>
      <c r="E795" s="192">
        <v>122.5</v>
      </c>
      <c r="F795" s="192">
        <v>93.7</v>
      </c>
      <c r="G795" s="192">
        <v>114.2</v>
      </c>
    </row>
    <row r="796" spans="1:7" x14ac:dyDescent="0.3">
      <c r="A796" s="191" t="s">
        <v>837</v>
      </c>
      <c r="B796" s="191" t="s">
        <v>924</v>
      </c>
      <c r="C796" s="192" t="s">
        <v>865</v>
      </c>
      <c r="D796" s="201" t="s">
        <v>866</v>
      </c>
      <c r="E796" s="192">
        <v>112.3</v>
      </c>
      <c r="F796" s="192">
        <v>91.9</v>
      </c>
      <c r="G796" s="192">
        <v>100.4</v>
      </c>
    </row>
    <row r="797" spans="1:7" x14ac:dyDescent="0.3">
      <c r="A797" s="191" t="s">
        <v>837</v>
      </c>
      <c r="B797" s="191" t="s">
        <v>924</v>
      </c>
      <c r="C797" s="192" t="s">
        <v>867</v>
      </c>
      <c r="D797" s="201" t="s">
        <v>868</v>
      </c>
      <c r="E797" s="192">
        <v>120.4</v>
      </c>
      <c r="F797" s="192">
        <v>89</v>
      </c>
      <c r="G797" s="192">
        <v>103</v>
      </c>
    </row>
    <row r="798" spans="1:7" x14ac:dyDescent="0.3">
      <c r="A798" s="191" t="s">
        <v>837</v>
      </c>
      <c r="B798" s="191" t="s">
        <v>924</v>
      </c>
      <c r="C798" s="192" t="s">
        <v>869</v>
      </c>
      <c r="D798" s="201" t="s">
        <v>870</v>
      </c>
      <c r="E798" s="192">
        <v>131.1</v>
      </c>
      <c r="F798" s="192">
        <v>71.900000000000006</v>
      </c>
      <c r="G798" s="192">
        <v>118.3</v>
      </c>
    </row>
    <row r="799" spans="1:7" x14ac:dyDescent="0.3">
      <c r="A799" s="191" t="s">
        <v>837</v>
      </c>
      <c r="B799" s="191" t="s">
        <v>924</v>
      </c>
      <c r="C799" s="192" t="s">
        <v>871</v>
      </c>
      <c r="D799" s="201" t="s">
        <v>872</v>
      </c>
      <c r="E799" s="192">
        <v>103.9</v>
      </c>
      <c r="F799" s="192">
        <v>99.1</v>
      </c>
      <c r="G799" s="192">
        <v>101.9</v>
      </c>
    </row>
    <row r="800" spans="1:7" x14ac:dyDescent="0.3">
      <c r="A800" s="191" t="s">
        <v>837</v>
      </c>
      <c r="B800" s="191" t="s">
        <v>924</v>
      </c>
      <c r="C800" s="192" t="s">
        <v>873</v>
      </c>
      <c r="D800" s="201" t="s">
        <v>874</v>
      </c>
      <c r="E800" s="192">
        <v>109.5</v>
      </c>
      <c r="F800" s="192">
        <v>90.2</v>
      </c>
      <c r="G800" s="192">
        <v>99.8</v>
      </c>
    </row>
    <row r="801" spans="1:7" x14ac:dyDescent="0.3">
      <c r="A801" s="191" t="s">
        <v>837</v>
      </c>
      <c r="B801" s="191" t="s">
        <v>924</v>
      </c>
      <c r="C801" s="192" t="s">
        <v>875</v>
      </c>
      <c r="D801" s="201" t="s">
        <v>876</v>
      </c>
      <c r="E801" s="192">
        <v>115.4</v>
      </c>
      <c r="F801" s="192">
        <v>92</v>
      </c>
      <c r="G801" s="192">
        <v>105.1</v>
      </c>
    </row>
    <row r="802" spans="1:7" x14ac:dyDescent="0.3">
      <c r="A802" s="191" t="s">
        <v>884</v>
      </c>
      <c r="B802" s="191" t="s">
        <v>925</v>
      </c>
      <c r="C802" s="192" t="s">
        <v>1301</v>
      </c>
      <c r="D802" s="202" t="s">
        <v>1599</v>
      </c>
      <c r="E802" s="192">
        <v>0</v>
      </c>
      <c r="F802" s="192">
        <v>102.2</v>
      </c>
      <c r="G802" s="192">
        <v>102.2</v>
      </c>
    </row>
    <row r="803" spans="1:7" x14ac:dyDescent="0.3">
      <c r="A803" s="191" t="s">
        <v>884</v>
      </c>
      <c r="B803" s="191" t="s">
        <v>925</v>
      </c>
      <c r="C803" s="192" t="s">
        <v>839</v>
      </c>
      <c r="D803" s="201" t="s">
        <v>840</v>
      </c>
      <c r="E803" s="192">
        <v>99.2</v>
      </c>
      <c r="F803" s="192">
        <v>99.1</v>
      </c>
      <c r="G803" s="192">
        <v>99.1</v>
      </c>
    </row>
    <row r="804" spans="1:7" x14ac:dyDescent="0.3">
      <c r="A804" s="191" t="s">
        <v>884</v>
      </c>
      <c r="B804" s="191" t="s">
        <v>925</v>
      </c>
      <c r="C804" s="192" t="s">
        <v>841</v>
      </c>
      <c r="D804" s="201" t="s">
        <v>842</v>
      </c>
      <c r="E804" s="192">
        <v>130</v>
      </c>
      <c r="F804" s="192">
        <v>85.3</v>
      </c>
      <c r="G804" s="192">
        <v>91.3</v>
      </c>
    </row>
    <row r="805" spans="1:7" x14ac:dyDescent="0.3">
      <c r="A805" s="191" t="s">
        <v>884</v>
      </c>
      <c r="B805" s="191" t="s">
        <v>925</v>
      </c>
      <c r="C805" s="192" t="s">
        <v>843</v>
      </c>
      <c r="D805" s="201" t="s">
        <v>844</v>
      </c>
      <c r="E805" s="192">
        <v>144.6</v>
      </c>
      <c r="F805" s="192">
        <v>77.900000000000006</v>
      </c>
      <c r="G805" s="192">
        <v>110.1</v>
      </c>
    </row>
    <row r="806" spans="1:7" x14ac:dyDescent="0.3">
      <c r="A806" s="191" t="s">
        <v>884</v>
      </c>
      <c r="B806" s="191" t="s">
        <v>925</v>
      </c>
      <c r="C806" s="192" t="s">
        <v>845</v>
      </c>
      <c r="D806" s="201" t="s">
        <v>846</v>
      </c>
      <c r="E806" s="192">
        <v>119.4</v>
      </c>
      <c r="F806" s="192">
        <v>96.6</v>
      </c>
      <c r="G806" s="192">
        <v>110.4</v>
      </c>
    </row>
    <row r="807" spans="1:7" x14ac:dyDescent="0.3">
      <c r="A807" s="191" t="s">
        <v>884</v>
      </c>
      <c r="B807" s="191" t="s">
        <v>925</v>
      </c>
      <c r="C807" s="192" t="s">
        <v>847</v>
      </c>
      <c r="D807" s="201" t="s">
        <v>848</v>
      </c>
      <c r="E807" s="192">
        <v>122.3</v>
      </c>
      <c r="F807" s="192">
        <v>88</v>
      </c>
      <c r="G807" s="192">
        <v>105.7</v>
      </c>
    </row>
    <row r="808" spans="1:7" x14ac:dyDescent="0.3">
      <c r="A808" s="191" t="s">
        <v>884</v>
      </c>
      <c r="B808" s="191" t="s">
        <v>925</v>
      </c>
      <c r="C808" s="192" t="s">
        <v>849</v>
      </c>
      <c r="D808" s="201" t="s">
        <v>850</v>
      </c>
      <c r="E808" s="192">
        <v>165.4</v>
      </c>
      <c r="F808" s="192">
        <v>86.7</v>
      </c>
      <c r="G808" s="192">
        <v>116.9</v>
      </c>
    </row>
    <row r="809" spans="1:7" x14ac:dyDescent="0.3">
      <c r="A809" s="191" t="s">
        <v>884</v>
      </c>
      <c r="B809" s="191" t="s">
        <v>925</v>
      </c>
      <c r="C809" s="192" t="s">
        <v>851</v>
      </c>
      <c r="D809" s="201" t="s">
        <v>852</v>
      </c>
      <c r="E809" s="192">
        <v>108.6</v>
      </c>
      <c r="F809" s="192">
        <v>86.8</v>
      </c>
      <c r="G809" s="192">
        <v>101.7</v>
      </c>
    </row>
    <row r="810" spans="1:7" x14ac:dyDescent="0.3">
      <c r="A810" s="191" t="s">
        <v>884</v>
      </c>
      <c r="B810" s="191" t="s">
        <v>925</v>
      </c>
      <c r="C810" s="192" t="s">
        <v>853</v>
      </c>
      <c r="D810" s="201" t="s">
        <v>854</v>
      </c>
      <c r="E810" s="192">
        <v>132.5</v>
      </c>
      <c r="F810" s="192">
        <v>85</v>
      </c>
      <c r="G810" s="192">
        <v>106</v>
      </c>
    </row>
    <row r="811" spans="1:7" x14ac:dyDescent="0.3">
      <c r="A811" s="191" t="s">
        <v>884</v>
      </c>
      <c r="B811" s="191" t="s">
        <v>925</v>
      </c>
      <c r="C811" s="192" t="s">
        <v>855</v>
      </c>
      <c r="D811" s="201" t="s">
        <v>856</v>
      </c>
      <c r="E811" s="192">
        <v>110.6</v>
      </c>
      <c r="F811" s="192">
        <v>87.9</v>
      </c>
      <c r="G811" s="192">
        <v>101.1</v>
      </c>
    </row>
    <row r="812" spans="1:7" x14ac:dyDescent="0.3">
      <c r="A812" s="191" t="s">
        <v>884</v>
      </c>
      <c r="B812" s="191" t="s">
        <v>925</v>
      </c>
      <c r="C812" s="192" t="s">
        <v>857</v>
      </c>
      <c r="D812" s="201" t="s">
        <v>858</v>
      </c>
      <c r="E812" s="192">
        <v>94.8</v>
      </c>
      <c r="F812" s="192">
        <v>74.099999999999994</v>
      </c>
      <c r="G812" s="192">
        <v>90</v>
      </c>
    </row>
    <row r="813" spans="1:7" x14ac:dyDescent="0.3">
      <c r="A813" s="191" t="s">
        <v>884</v>
      </c>
      <c r="B813" s="191" t="s">
        <v>925</v>
      </c>
      <c r="C813" s="192" t="s">
        <v>859</v>
      </c>
      <c r="D813" s="201" t="s">
        <v>860</v>
      </c>
      <c r="E813" s="192">
        <v>115.9</v>
      </c>
      <c r="F813" s="192">
        <v>84.4</v>
      </c>
      <c r="G813" s="192">
        <v>94.8</v>
      </c>
    </row>
    <row r="814" spans="1:7" x14ac:dyDescent="0.3">
      <c r="A814" s="191" t="s">
        <v>884</v>
      </c>
      <c r="B814" s="191" t="s">
        <v>925</v>
      </c>
      <c r="C814" s="192" t="s">
        <v>861</v>
      </c>
      <c r="D814" s="201" t="s">
        <v>862</v>
      </c>
      <c r="E814" s="192">
        <v>98.9</v>
      </c>
      <c r="F814" s="192">
        <v>84.4</v>
      </c>
      <c r="G814" s="192">
        <v>89.3</v>
      </c>
    </row>
    <row r="815" spans="1:7" x14ac:dyDescent="0.3">
      <c r="A815" s="191" t="s">
        <v>884</v>
      </c>
      <c r="B815" s="191" t="s">
        <v>925</v>
      </c>
      <c r="C815" s="192" t="s">
        <v>863</v>
      </c>
      <c r="D815" s="201" t="s">
        <v>864</v>
      </c>
      <c r="E815" s="192">
        <v>122.5</v>
      </c>
      <c r="F815" s="192">
        <v>95.7</v>
      </c>
      <c r="G815" s="192">
        <v>114.8</v>
      </c>
    </row>
    <row r="816" spans="1:7" x14ac:dyDescent="0.3">
      <c r="A816" s="191" t="s">
        <v>884</v>
      </c>
      <c r="B816" s="191" t="s">
        <v>925</v>
      </c>
      <c r="C816" s="192" t="s">
        <v>865</v>
      </c>
      <c r="D816" s="201" t="s">
        <v>866</v>
      </c>
      <c r="E816" s="192">
        <v>112.3</v>
      </c>
      <c r="F816" s="192">
        <v>91.7</v>
      </c>
      <c r="G816" s="192">
        <v>100.3</v>
      </c>
    </row>
    <row r="817" spans="1:7" x14ac:dyDescent="0.3">
      <c r="A817" s="191" t="s">
        <v>884</v>
      </c>
      <c r="B817" s="191" t="s">
        <v>925</v>
      </c>
      <c r="C817" s="192" t="s">
        <v>867</v>
      </c>
      <c r="D817" s="201" t="s">
        <v>868</v>
      </c>
      <c r="E817" s="192">
        <v>111.3</v>
      </c>
      <c r="F817" s="192">
        <v>88.2</v>
      </c>
      <c r="G817" s="192">
        <v>98.5</v>
      </c>
    </row>
    <row r="818" spans="1:7" x14ac:dyDescent="0.3">
      <c r="A818" s="191" t="s">
        <v>884</v>
      </c>
      <c r="B818" s="191" t="s">
        <v>925</v>
      </c>
      <c r="C818" s="192" t="s">
        <v>869</v>
      </c>
      <c r="D818" s="201" t="s">
        <v>870</v>
      </c>
      <c r="E818" s="192">
        <v>131.1</v>
      </c>
      <c r="F818" s="192">
        <v>82.8</v>
      </c>
      <c r="G818" s="192">
        <v>120.7</v>
      </c>
    </row>
    <row r="819" spans="1:7" x14ac:dyDescent="0.3">
      <c r="A819" s="191" t="s">
        <v>884</v>
      </c>
      <c r="B819" s="191" t="s">
        <v>925</v>
      </c>
      <c r="C819" s="192" t="s">
        <v>871</v>
      </c>
      <c r="D819" s="201" t="s">
        <v>872</v>
      </c>
      <c r="E819" s="192">
        <v>103.9</v>
      </c>
      <c r="F819" s="192">
        <v>90</v>
      </c>
      <c r="G819" s="192">
        <v>98.1</v>
      </c>
    </row>
    <row r="820" spans="1:7" x14ac:dyDescent="0.3">
      <c r="A820" s="191" t="s">
        <v>884</v>
      </c>
      <c r="B820" s="191" t="s">
        <v>925</v>
      </c>
      <c r="C820" s="192" t="s">
        <v>873</v>
      </c>
      <c r="D820" s="201" t="s">
        <v>874</v>
      </c>
      <c r="E820" s="192">
        <v>108.4</v>
      </c>
      <c r="F820" s="192">
        <v>72.099999999999994</v>
      </c>
      <c r="G820" s="192">
        <v>90</v>
      </c>
    </row>
    <row r="821" spans="1:7" x14ac:dyDescent="0.3">
      <c r="A821" s="191" t="s">
        <v>884</v>
      </c>
      <c r="B821" s="191" t="s">
        <v>925</v>
      </c>
      <c r="C821" s="192" t="s">
        <v>875</v>
      </c>
      <c r="D821" s="201" t="s">
        <v>876</v>
      </c>
      <c r="E821" s="192">
        <v>112.5</v>
      </c>
      <c r="F821" s="192">
        <v>86.1</v>
      </c>
      <c r="G821" s="192">
        <v>100.9</v>
      </c>
    </row>
    <row r="822" spans="1:7" x14ac:dyDescent="0.3">
      <c r="A822" s="191" t="s">
        <v>892</v>
      </c>
      <c r="B822" s="191" t="s">
        <v>926</v>
      </c>
      <c r="C822" s="192" t="s">
        <v>1301</v>
      </c>
      <c r="D822" s="202" t="s">
        <v>1599</v>
      </c>
      <c r="E822" s="192">
        <v>0</v>
      </c>
      <c r="F822" s="192">
        <v>105.5</v>
      </c>
      <c r="G822" s="192">
        <v>105.5</v>
      </c>
    </row>
    <row r="823" spans="1:7" x14ac:dyDescent="0.3">
      <c r="A823" s="191" t="s">
        <v>892</v>
      </c>
      <c r="B823" s="191" t="s">
        <v>926</v>
      </c>
      <c r="C823" s="192" t="s">
        <v>839</v>
      </c>
      <c r="D823" s="201" t="s">
        <v>840</v>
      </c>
      <c r="E823" s="192">
        <v>121.4</v>
      </c>
      <c r="F823" s="192">
        <v>102.6</v>
      </c>
      <c r="G823" s="192">
        <v>108.1</v>
      </c>
    </row>
    <row r="824" spans="1:7" x14ac:dyDescent="0.3">
      <c r="A824" s="191" t="s">
        <v>892</v>
      </c>
      <c r="B824" s="191" t="s">
        <v>926</v>
      </c>
      <c r="C824" s="192" t="s">
        <v>841</v>
      </c>
      <c r="D824" s="201" t="s">
        <v>842</v>
      </c>
      <c r="E824" s="192">
        <v>122.4</v>
      </c>
      <c r="F824" s="192">
        <v>88.2</v>
      </c>
      <c r="G824" s="192">
        <v>92.8</v>
      </c>
    </row>
    <row r="825" spans="1:7" x14ac:dyDescent="0.3">
      <c r="A825" s="191" t="s">
        <v>892</v>
      </c>
      <c r="B825" s="191" t="s">
        <v>926</v>
      </c>
      <c r="C825" s="192" t="s">
        <v>843</v>
      </c>
      <c r="D825" s="201" t="s">
        <v>844</v>
      </c>
      <c r="E825" s="192">
        <v>107.2</v>
      </c>
      <c r="F825" s="192">
        <v>75.900000000000006</v>
      </c>
      <c r="G825" s="192">
        <v>91</v>
      </c>
    </row>
    <row r="826" spans="1:7" x14ac:dyDescent="0.3">
      <c r="A826" s="191" t="s">
        <v>892</v>
      </c>
      <c r="B826" s="191" t="s">
        <v>926</v>
      </c>
      <c r="C826" s="192" t="s">
        <v>845</v>
      </c>
      <c r="D826" s="201" t="s">
        <v>846</v>
      </c>
      <c r="E826" s="192">
        <v>107.7</v>
      </c>
      <c r="F826" s="192">
        <v>100.5</v>
      </c>
      <c r="G826" s="192">
        <v>104.8</v>
      </c>
    </row>
    <row r="827" spans="1:7" x14ac:dyDescent="0.3">
      <c r="A827" s="191" t="s">
        <v>892</v>
      </c>
      <c r="B827" s="191" t="s">
        <v>926</v>
      </c>
      <c r="C827" s="192" t="s">
        <v>847</v>
      </c>
      <c r="D827" s="201" t="s">
        <v>848</v>
      </c>
      <c r="E827" s="192">
        <v>130.5</v>
      </c>
      <c r="F827" s="192">
        <v>90.3</v>
      </c>
      <c r="G827" s="192">
        <v>110.9</v>
      </c>
    </row>
    <row r="828" spans="1:7" x14ac:dyDescent="0.3">
      <c r="A828" s="191" t="s">
        <v>892</v>
      </c>
      <c r="B828" s="191" t="s">
        <v>926</v>
      </c>
      <c r="C828" s="192" t="s">
        <v>849</v>
      </c>
      <c r="D828" s="201" t="s">
        <v>850</v>
      </c>
      <c r="E828" s="192">
        <v>172.6</v>
      </c>
      <c r="F828" s="192">
        <v>94.5</v>
      </c>
      <c r="G828" s="192">
        <v>124.5</v>
      </c>
    </row>
    <row r="829" spans="1:7" x14ac:dyDescent="0.3">
      <c r="A829" s="191" t="s">
        <v>892</v>
      </c>
      <c r="B829" s="191" t="s">
        <v>926</v>
      </c>
      <c r="C829" s="192" t="s">
        <v>851</v>
      </c>
      <c r="D829" s="201" t="s">
        <v>852</v>
      </c>
      <c r="E829" s="192">
        <v>110.8</v>
      </c>
      <c r="F829" s="192">
        <v>86.9</v>
      </c>
      <c r="G829" s="192">
        <v>103.2</v>
      </c>
    </row>
    <row r="830" spans="1:7" x14ac:dyDescent="0.3">
      <c r="A830" s="191" t="s">
        <v>892</v>
      </c>
      <c r="B830" s="191" t="s">
        <v>926</v>
      </c>
      <c r="C830" s="192" t="s">
        <v>853</v>
      </c>
      <c r="D830" s="201" t="s">
        <v>854</v>
      </c>
      <c r="E830" s="192">
        <v>104.3</v>
      </c>
      <c r="F830" s="192">
        <v>86.4</v>
      </c>
      <c r="G830" s="192">
        <v>94.3</v>
      </c>
    </row>
    <row r="831" spans="1:7" x14ac:dyDescent="0.3">
      <c r="A831" s="191" t="s">
        <v>892</v>
      </c>
      <c r="B831" s="191" t="s">
        <v>926</v>
      </c>
      <c r="C831" s="192" t="s">
        <v>855</v>
      </c>
      <c r="D831" s="201" t="s">
        <v>856</v>
      </c>
      <c r="E831" s="192">
        <v>127</v>
      </c>
      <c r="F831" s="192">
        <v>85</v>
      </c>
      <c r="G831" s="192">
        <v>109.4</v>
      </c>
    </row>
    <row r="832" spans="1:7" x14ac:dyDescent="0.3">
      <c r="A832" s="191" t="s">
        <v>892</v>
      </c>
      <c r="B832" s="191" t="s">
        <v>926</v>
      </c>
      <c r="C832" s="192" t="s">
        <v>857</v>
      </c>
      <c r="D832" s="201" t="s">
        <v>858</v>
      </c>
      <c r="E832" s="192">
        <v>91.5</v>
      </c>
      <c r="F832" s="192">
        <v>83.2</v>
      </c>
      <c r="G832" s="192">
        <v>89.6</v>
      </c>
    </row>
    <row r="833" spans="1:7" x14ac:dyDescent="0.3">
      <c r="A833" s="191" t="s">
        <v>892</v>
      </c>
      <c r="B833" s="191" t="s">
        <v>926</v>
      </c>
      <c r="C833" s="192" t="s">
        <v>859</v>
      </c>
      <c r="D833" s="201" t="s">
        <v>860</v>
      </c>
      <c r="E833" s="192">
        <v>103.5</v>
      </c>
      <c r="F833" s="192">
        <v>85.5</v>
      </c>
      <c r="G833" s="192">
        <v>91.5</v>
      </c>
    </row>
    <row r="834" spans="1:7" x14ac:dyDescent="0.3">
      <c r="A834" s="191" t="s">
        <v>892</v>
      </c>
      <c r="B834" s="191" t="s">
        <v>926</v>
      </c>
      <c r="C834" s="192" t="s">
        <v>861</v>
      </c>
      <c r="D834" s="201" t="s">
        <v>862</v>
      </c>
      <c r="E834" s="192">
        <v>98.9</v>
      </c>
      <c r="F834" s="192">
        <v>85.5</v>
      </c>
      <c r="G834" s="192">
        <v>90</v>
      </c>
    </row>
    <row r="835" spans="1:7" x14ac:dyDescent="0.3">
      <c r="A835" s="191" t="s">
        <v>892</v>
      </c>
      <c r="B835" s="191" t="s">
        <v>926</v>
      </c>
      <c r="C835" s="192" t="s">
        <v>863</v>
      </c>
      <c r="D835" s="201" t="s">
        <v>864</v>
      </c>
      <c r="E835" s="192">
        <v>121.1</v>
      </c>
      <c r="F835" s="192">
        <v>53.5</v>
      </c>
      <c r="G835" s="192">
        <v>101.7</v>
      </c>
    </row>
    <row r="836" spans="1:7" x14ac:dyDescent="0.3">
      <c r="A836" s="191" t="s">
        <v>892</v>
      </c>
      <c r="B836" s="191" t="s">
        <v>926</v>
      </c>
      <c r="C836" s="192" t="s">
        <v>865</v>
      </c>
      <c r="D836" s="201" t="s">
        <v>866</v>
      </c>
      <c r="E836" s="192">
        <v>112.3</v>
      </c>
      <c r="F836" s="192">
        <v>84</v>
      </c>
      <c r="G836" s="192">
        <v>95.8</v>
      </c>
    </row>
    <row r="837" spans="1:7" x14ac:dyDescent="0.3">
      <c r="A837" s="191" t="s">
        <v>892</v>
      </c>
      <c r="B837" s="191" t="s">
        <v>926</v>
      </c>
      <c r="C837" s="192" t="s">
        <v>867</v>
      </c>
      <c r="D837" s="201" t="s">
        <v>868</v>
      </c>
      <c r="E837" s="192">
        <v>111.7</v>
      </c>
      <c r="F837" s="192">
        <v>81.8</v>
      </c>
      <c r="G837" s="192">
        <v>95.2</v>
      </c>
    </row>
    <row r="838" spans="1:7" x14ac:dyDescent="0.3">
      <c r="A838" s="191" t="s">
        <v>892</v>
      </c>
      <c r="B838" s="191" t="s">
        <v>926</v>
      </c>
      <c r="C838" s="192" t="s">
        <v>869</v>
      </c>
      <c r="D838" s="201" t="s">
        <v>870</v>
      </c>
      <c r="E838" s="192">
        <v>131.1</v>
      </c>
      <c r="F838" s="192">
        <v>92.9</v>
      </c>
      <c r="G838" s="192">
        <v>122.9</v>
      </c>
    </row>
    <row r="839" spans="1:7" x14ac:dyDescent="0.3">
      <c r="A839" s="191" t="s">
        <v>892</v>
      </c>
      <c r="B839" s="191" t="s">
        <v>926</v>
      </c>
      <c r="C839" s="192" t="s">
        <v>871</v>
      </c>
      <c r="D839" s="201" t="s">
        <v>872</v>
      </c>
      <c r="E839" s="192">
        <v>103.6</v>
      </c>
      <c r="F839" s="192">
        <v>93.4</v>
      </c>
      <c r="G839" s="192">
        <v>99.3</v>
      </c>
    </row>
    <row r="840" spans="1:7" x14ac:dyDescent="0.3">
      <c r="A840" s="191" t="s">
        <v>892</v>
      </c>
      <c r="B840" s="191" t="s">
        <v>926</v>
      </c>
      <c r="C840" s="192" t="s">
        <v>873</v>
      </c>
      <c r="D840" s="201" t="s">
        <v>874</v>
      </c>
      <c r="E840" s="192">
        <v>111.9</v>
      </c>
      <c r="F840" s="192">
        <v>81.3</v>
      </c>
      <c r="G840" s="192">
        <v>96.4</v>
      </c>
    </row>
    <row r="841" spans="1:7" x14ac:dyDescent="0.3">
      <c r="A841" s="191" t="s">
        <v>892</v>
      </c>
      <c r="B841" s="191" t="s">
        <v>926</v>
      </c>
      <c r="C841" s="192" t="s">
        <v>875</v>
      </c>
      <c r="D841" s="201" t="s">
        <v>876</v>
      </c>
      <c r="E841" s="192">
        <v>115</v>
      </c>
      <c r="F841" s="192">
        <v>89.3</v>
      </c>
      <c r="G841" s="192">
        <v>103.7</v>
      </c>
    </row>
    <row r="842" spans="1:7" x14ac:dyDescent="0.3">
      <c r="A842" s="191" t="s">
        <v>837</v>
      </c>
      <c r="B842" s="191" t="s">
        <v>927</v>
      </c>
      <c r="C842" s="192" t="s">
        <v>1301</v>
      </c>
      <c r="D842" s="202" t="s">
        <v>1599</v>
      </c>
      <c r="E842" s="192">
        <v>0</v>
      </c>
      <c r="F842" s="192">
        <v>104.2</v>
      </c>
      <c r="G842" s="192">
        <v>104.2</v>
      </c>
    </row>
    <row r="843" spans="1:7" x14ac:dyDescent="0.3">
      <c r="A843" s="191" t="s">
        <v>837</v>
      </c>
      <c r="B843" s="191" t="s">
        <v>927</v>
      </c>
      <c r="C843" s="192" t="s">
        <v>839</v>
      </c>
      <c r="D843" s="201" t="s">
        <v>840</v>
      </c>
      <c r="E843" s="192">
        <v>108.2</v>
      </c>
      <c r="F843" s="192">
        <v>104.6</v>
      </c>
      <c r="G843" s="192">
        <v>105.7</v>
      </c>
    </row>
    <row r="844" spans="1:7" x14ac:dyDescent="0.3">
      <c r="A844" s="191" t="s">
        <v>837</v>
      </c>
      <c r="B844" s="191" t="s">
        <v>927</v>
      </c>
      <c r="C844" s="192" t="s">
        <v>841</v>
      </c>
      <c r="D844" s="201" t="s">
        <v>842</v>
      </c>
      <c r="E844" s="192">
        <v>122.1</v>
      </c>
      <c r="F844" s="192">
        <v>86.1</v>
      </c>
      <c r="G844" s="192">
        <v>90.9</v>
      </c>
    </row>
    <row r="845" spans="1:7" x14ac:dyDescent="0.3">
      <c r="A845" s="191" t="s">
        <v>837</v>
      </c>
      <c r="B845" s="191" t="s">
        <v>927</v>
      </c>
      <c r="C845" s="192" t="s">
        <v>843</v>
      </c>
      <c r="D845" s="201" t="s">
        <v>844</v>
      </c>
      <c r="E845" s="192">
        <v>136.30000000000001</v>
      </c>
      <c r="F845" s="192">
        <v>90.9</v>
      </c>
      <c r="G845" s="192">
        <v>112.8</v>
      </c>
    </row>
    <row r="846" spans="1:7" x14ac:dyDescent="0.3">
      <c r="A846" s="191" t="s">
        <v>837</v>
      </c>
      <c r="B846" s="191" t="s">
        <v>927</v>
      </c>
      <c r="C846" s="192" t="s">
        <v>845</v>
      </c>
      <c r="D846" s="201" t="s">
        <v>846</v>
      </c>
      <c r="E846" s="192">
        <v>139.6</v>
      </c>
      <c r="F846" s="192">
        <v>97.6</v>
      </c>
      <c r="G846" s="192">
        <v>123</v>
      </c>
    </row>
    <row r="847" spans="1:7" x14ac:dyDescent="0.3">
      <c r="A847" s="191" t="s">
        <v>837</v>
      </c>
      <c r="B847" s="191" t="s">
        <v>927</v>
      </c>
      <c r="C847" s="192" t="s">
        <v>847</v>
      </c>
      <c r="D847" s="201" t="s">
        <v>848</v>
      </c>
      <c r="E847" s="192">
        <v>128.5</v>
      </c>
      <c r="F847" s="192">
        <v>91</v>
      </c>
      <c r="G847" s="192">
        <v>110.3</v>
      </c>
    </row>
    <row r="848" spans="1:7" x14ac:dyDescent="0.3">
      <c r="A848" s="191" t="s">
        <v>837</v>
      </c>
      <c r="B848" s="191" t="s">
        <v>927</v>
      </c>
      <c r="C848" s="192" t="s">
        <v>849</v>
      </c>
      <c r="D848" s="201" t="s">
        <v>850</v>
      </c>
      <c r="E848" s="192">
        <v>178.4</v>
      </c>
      <c r="F848" s="192">
        <v>98.3</v>
      </c>
      <c r="G848" s="192">
        <v>129</v>
      </c>
    </row>
    <row r="849" spans="1:7" x14ac:dyDescent="0.3">
      <c r="A849" s="191" t="s">
        <v>837</v>
      </c>
      <c r="B849" s="191" t="s">
        <v>927</v>
      </c>
      <c r="C849" s="192" t="s">
        <v>851</v>
      </c>
      <c r="D849" s="201" t="s">
        <v>852</v>
      </c>
      <c r="E849" s="192">
        <v>126.6</v>
      </c>
      <c r="F849" s="192">
        <v>91.4</v>
      </c>
      <c r="G849" s="192">
        <v>115.4</v>
      </c>
    </row>
    <row r="850" spans="1:7" x14ac:dyDescent="0.3">
      <c r="A850" s="191" t="s">
        <v>837</v>
      </c>
      <c r="B850" s="191" t="s">
        <v>927</v>
      </c>
      <c r="C850" s="192" t="s">
        <v>853</v>
      </c>
      <c r="D850" s="201" t="s">
        <v>854</v>
      </c>
      <c r="E850" s="192">
        <v>107.2</v>
      </c>
      <c r="F850" s="192">
        <v>83.7</v>
      </c>
      <c r="G850" s="192">
        <v>94.1</v>
      </c>
    </row>
    <row r="851" spans="1:7" x14ac:dyDescent="0.3">
      <c r="A851" s="191" t="s">
        <v>837</v>
      </c>
      <c r="B851" s="191" t="s">
        <v>927</v>
      </c>
      <c r="C851" s="192" t="s">
        <v>855</v>
      </c>
      <c r="D851" s="201" t="s">
        <v>856</v>
      </c>
      <c r="E851" s="192">
        <v>120.2</v>
      </c>
      <c r="F851" s="192">
        <v>91.6</v>
      </c>
      <c r="G851" s="192">
        <v>108.3</v>
      </c>
    </row>
    <row r="852" spans="1:7" x14ac:dyDescent="0.3">
      <c r="A852" s="191" t="s">
        <v>837</v>
      </c>
      <c r="B852" s="191" t="s">
        <v>927</v>
      </c>
      <c r="C852" s="192" t="s">
        <v>857</v>
      </c>
      <c r="D852" s="201" t="s">
        <v>858</v>
      </c>
      <c r="E852" s="192">
        <v>84</v>
      </c>
      <c r="F852" s="192">
        <v>84.6</v>
      </c>
      <c r="G852" s="192">
        <v>84.1</v>
      </c>
    </row>
    <row r="853" spans="1:7" x14ac:dyDescent="0.3">
      <c r="A853" s="191" t="s">
        <v>837</v>
      </c>
      <c r="B853" s="191" t="s">
        <v>927</v>
      </c>
      <c r="C853" s="192" t="s">
        <v>859</v>
      </c>
      <c r="D853" s="201" t="s">
        <v>860</v>
      </c>
      <c r="E853" s="192">
        <v>138</v>
      </c>
      <c r="F853" s="192">
        <v>83.2</v>
      </c>
      <c r="G853" s="192">
        <v>101.4</v>
      </c>
    </row>
    <row r="854" spans="1:7" x14ac:dyDescent="0.3">
      <c r="A854" s="191" t="s">
        <v>837</v>
      </c>
      <c r="B854" s="191" t="s">
        <v>927</v>
      </c>
      <c r="C854" s="192" t="s">
        <v>861</v>
      </c>
      <c r="D854" s="201" t="s">
        <v>862</v>
      </c>
      <c r="E854" s="192">
        <v>125.9</v>
      </c>
      <c r="F854" s="192">
        <v>83.2</v>
      </c>
      <c r="G854" s="192">
        <v>97.6</v>
      </c>
    </row>
    <row r="855" spans="1:7" x14ac:dyDescent="0.3">
      <c r="A855" s="191" t="s">
        <v>837</v>
      </c>
      <c r="B855" s="191" t="s">
        <v>927</v>
      </c>
      <c r="C855" s="192" t="s">
        <v>863</v>
      </c>
      <c r="D855" s="201" t="s">
        <v>864</v>
      </c>
      <c r="E855" s="192">
        <v>118.7</v>
      </c>
      <c r="F855" s="192">
        <v>100.7</v>
      </c>
      <c r="G855" s="192">
        <v>113.5</v>
      </c>
    </row>
    <row r="856" spans="1:7" x14ac:dyDescent="0.3">
      <c r="A856" s="191" t="s">
        <v>837</v>
      </c>
      <c r="B856" s="191" t="s">
        <v>927</v>
      </c>
      <c r="C856" s="192" t="s">
        <v>865</v>
      </c>
      <c r="D856" s="201" t="s">
        <v>866</v>
      </c>
      <c r="E856" s="192">
        <v>114.9</v>
      </c>
      <c r="F856" s="192">
        <v>99.4</v>
      </c>
      <c r="G856" s="192">
        <v>105.9</v>
      </c>
    </row>
    <row r="857" spans="1:7" x14ac:dyDescent="0.3">
      <c r="A857" s="191" t="s">
        <v>837</v>
      </c>
      <c r="B857" s="191" t="s">
        <v>927</v>
      </c>
      <c r="C857" s="192" t="s">
        <v>867</v>
      </c>
      <c r="D857" s="201" t="s">
        <v>868</v>
      </c>
      <c r="E857" s="192">
        <v>123.2</v>
      </c>
      <c r="F857" s="192">
        <v>89.8</v>
      </c>
      <c r="G857" s="192">
        <v>104.7</v>
      </c>
    </row>
    <row r="858" spans="1:7" x14ac:dyDescent="0.3">
      <c r="A858" s="191" t="s">
        <v>837</v>
      </c>
      <c r="B858" s="191" t="s">
        <v>927</v>
      </c>
      <c r="C858" s="192" t="s">
        <v>869</v>
      </c>
      <c r="D858" s="201" t="s">
        <v>870</v>
      </c>
      <c r="E858" s="192">
        <v>131.1</v>
      </c>
      <c r="F858" s="192">
        <v>96.9</v>
      </c>
      <c r="G858" s="192">
        <v>123.7</v>
      </c>
    </row>
    <row r="859" spans="1:7" x14ac:dyDescent="0.3">
      <c r="A859" s="191" t="s">
        <v>837</v>
      </c>
      <c r="B859" s="191" t="s">
        <v>927</v>
      </c>
      <c r="C859" s="192" t="s">
        <v>871</v>
      </c>
      <c r="D859" s="201" t="s">
        <v>872</v>
      </c>
      <c r="E859" s="192">
        <v>105.6</v>
      </c>
      <c r="F859" s="192">
        <v>85.7</v>
      </c>
      <c r="G859" s="192">
        <v>97.2</v>
      </c>
    </row>
    <row r="860" spans="1:7" x14ac:dyDescent="0.3">
      <c r="A860" s="191" t="s">
        <v>837</v>
      </c>
      <c r="B860" s="191" t="s">
        <v>927</v>
      </c>
      <c r="C860" s="192" t="s">
        <v>873</v>
      </c>
      <c r="D860" s="201" t="s">
        <v>874</v>
      </c>
      <c r="E860" s="192">
        <v>100.2</v>
      </c>
      <c r="F860" s="192">
        <v>96.8</v>
      </c>
      <c r="G860" s="192">
        <v>98.5</v>
      </c>
    </row>
    <row r="861" spans="1:7" x14ac:dyDescent="0.3">
      <c r="A861" s="191" t="s">
        <v>837</v>
      </c>
      <c r="B861" s="191" t="s">
        <v>927</v>
      </c>
      <c r="C861" s="192" t="s">
        <v>875</v>
      </c>
      <c r="D861" s="201" t="s">
        <v>876</v>
      </c>
      <c r="E861" s="192">
        <v>116.3</v>
      </c>
      <c r="F861" s="192">
        <v>92.2</v>
      </c>
      <c r="G861" s="192">
        <v>105.7</v>
      </c>
    </row>
    <row r="862" spans="1:7" x14ac:dyDescent="0.3">
      <c r="A862" s="191" t="s">
        <v>888</v>
      </c>
      <c r="B862" s="191" t="s">
        <v>928</v>
      </c>
      <c r="C862" s="192" t="s">
        <v>1301</v>
      </c>
      <c r="D862" s="202" t="s">
        <v>1599</v>
      </c>
      <c r="E862" s="192">
        <v>0</v>
      </c>
      <c r="F862" s="192">
        <v>101.6</v>
      </c>
      <c r="G862" s="192">
        <v>101.6</v>
      </c>
    </row>
    <row r="863" spans="1:7" x14ac:dyDescent="0.3">
      <c r="A863" s="191" t="s">
        <v>888</v>
      </c>
      <c r="B863" s="191" t="s">
        <v>928</v>
      </c>
      <c r="C863" s="192" t="s">
        <v>839</v>
      </c>
      <c r="D863" s="201" t="s">
        <v>840</v>
      </c>
      <c r="E863" s="192">
        <v>105</v>
      </c>
      <c r="F863" s="192">
        <v>95.8</v>
      </c>
      <c r="G863" s="192">
        <v>98.5</v>
      </c>
    </row>
    <row r="864" spans="1:7" x14ac:dyDescent="0.3">
      <c r="A864" s="191" t="s">
        <v>888</v>
      </c>
      <c r="B864" s="191" t="s">
        <v>928</v>
      </c>
      <c r="C864" s="192" t="s">
        <v>841</v>
      </c>
      <c r="D864" s="201" t="s">
        <v>842</v>
      </c>
      <c r="E864" s="192">
        <v>103.7</v>
      </c>
      <c r="F864" s="192">
        <v>62</v>
      </c>
      <c r="G864" s="192">
        <v>67.599999999999994</v>
      </c>
    </row>
    <row r="865" spans="1:7" x14ac:dyDescent="0.3">
      <c r="A865" s="191" t="s">
        <v>888</v>
      </c>
      <c r="B865" s="191" t="s">
        <v>928</v>
      </c>
      <c r="C865" s="192" t="s">
        <v>843</v>
      </c>
      <c r="D865" s="201" t="s">
        <v>844</v>
      </c>
      <c r="E865" s="192">
        <v>136.4</v>
      </c>
      <c r="F865" s="192">
        <v>55.9</v>
      </c>
      <c r="G865" s="192">
        <v>94.7</v>
      </c>
    </row>
    <row r="866" spans="1:7" x14ac:dyDescent="0.3">
      <c r="A866" s="191" t="s">
        <v>888</v>
      </c>
      <c r="B866" s="191" t="s">
        <v>928</v>
      </c>
      <c r="C866" s="192" t="s">
        <v>845</v>
      </c>
      <c r="D866" s="201" t="s">
        <v>846</v>
      </c>
      <c r="E866" s="192">
        <v>130.5</v>
      </c>
      <c r="F866" s="192">
        <v>61.1</v>
      </c>
      <c r="G866" s="192">
        <v>103.1</v>
      </c>
    </row>
    <row r="867" spans="1:7" x14ac:dyDescent="0.3">
      <c r="A867" s="191" t="s">
        <v>888</v>
      </c>
      <c r="B867" s="191" t="s">
        <v>928</v>
      </c>
      <c r="C867" s="192" t="s">
        <v>847</v>
      </c>
      <c r="D867" s="201" t="s">
        <v>848</v>
      </c>
      <c r="E867" s="192">
        <v>123.6</v>
      </c>
      <c r="F867" s="192">
        <v>61.3</v>
      </c>
      <c r="G867" s="192">
        <v>93.3</v>
      </c>
    </row>
    <row r="868" spans="1:7" x14ac:dyDescent="0.3">
      <c r="A868" s="191" t="s">
        <v>888</v>
      </c>
      <c r="B868" s="191" t="s">
        <v>928</v>
      </c>
      <c r="C868" s="192" t="s">
        <v>849</v>
      </c>
      <c r="D868" s="201" t="s">
        <v>850</v>
      </c>
      <c r="E868" s="192">
        <v>161.5</v>
      </c>
      <c r="F868" s="192">
        <v>64.7</v>
      </c>
      <c r="G868" s="192">
        <v>101.8</v>
      </c>
    </row>
    <row r="869" spans="1:7" x14ac:dyDescent="0.3">
      <c r="A869" s="191" t="s">
        <v>888</v>
      </c>
      <c r="B869" s="191" t="s">
        <v>928</v>
      </c>
      <c r="C869" s="192" t="s">
        <v>851</v>
      </c>
      <c r="D869" s="201" t="s">
        <v>852</v>
      </c>
      <c r="E869" s="192">
        <v>109.9</v>
      </c>
      <c r="F869" s="192">
        <v>71.8</v>
      </c>
      <c r="G869" s="192">
        <v>97.8</v>
      </c>
    </row>
    <row r="870" spans="1:7" x14ac:dyDescent="0.3">
      <c r="A870" s="191" t="s">
        <v>888</v>
      </c>
      <c r="B870" s="191" t="s">
        <v>928</v>
      </c>
      <c r="C870" s="192" t="s">
        <v>853</v>
      </c>
      <c r="D870" s="201" t="s">
        <v>854</v>
      </c>
      <c r="E870" s="192">
        <v>100</v>
      </c>
      <c r="F870" s="192">
        <v>61.8</v>
      </c>
      <c r="G870" s="192">
        <v>78.7</v>
      </c>
    </row>
    <row r="871" spans="1:7" x14ac:dyDescent="0.3">
      <c r="A871" s="191" t="s">
        <v>888</v>
      </c>
      <c r="B871" s="191" t="s">
        <v>928</v>
      </c>
      <c r="C871" s="192" t="s">
        <v>855</v>
      </c>
      <c r="D871" s="201" t="s">
        <v>856</v>
      </c>
      <c r="E871" s="192">
        <v>113.7</v>
      </c>
      <c r="F871" s="192">
        <v>60.9</v>
      </c>
      <c r="G871" s="192">
        <v>91.6</v>
      </c>
    </row>
    <row r="872" spans="1:7" x14ac:dyDescent="0.3">
      <c r="A872" s="191" t="s">
        <v>888</v>
      </c>
      <c r="B872" s="191" t="s">
        <v>928</v>
      </c>
      <c r="C872" s="192" t="s">
        <v>857</v>
      </c>
      <c r="D872" s="201" t="s">
        <v>858</v>
      </c>
      <c r="E872" s="192">
        <v>89.3</v>
      </c>
      <c r="F872" s="192">
        <v>54.3</v>
      </c>
      <c r="G872" s="192">
        <v>81.2</v>
      </c>
    </row>
    <row r="873" spans="1:7" x14ac:dyDescent="0.3">
      <c r="A873" s="191" t="s">
        <v>888</v>
      </c>
      <c r="B873" s="191" t="s">
        <v>928</v>
      </c>
      <c r="C873" s="192" t="s">
        <v>859</v>
      </c>
      <c r="D873" s="201" t="s">
        <v>860</v>
      </c>
      <c r="E873" s="192">
        <v>121.2</v>
      </c>
      <c r="F873" s="192">
        <v>60.6</v>
      </c>
      <c r="G873" s="192">
        <v>80.7</v>
      </c>
    </row>
    <row r="874" spans="1:7" x14ac:dyDescent="0.3">
      <c r="A874" s="191" t="s">
        <v>888</v>
      </c>
      <c r="B874" s="191" t="s">
        <v>928</v>
      </c>
      <c r="C874" s="192" t="s">
        <v>861</v>
      </c>
      <c r="D874" s="201" t="s">
        <v>862</v>
      </c>
      <c r="E874" s="192">
        <v>108</v>
      </c>
      <c r="F874" s="192">
        <v>60.6</v>
      </c>
      <c r="G874" s="192">
        <v>76.599999999999994</v>
      </c>
    </row>
    <row r="875" spans="1:7" x14ac:dyDescent="0.3">
      <c r="A875" s="191" t="s">
        <v>888</v>
      </c>
      <c r="B875" s="191" t="s">
        <v>928</v>
      </c>
      <c r="C875" s="192" t="s">
        <v>863</v>
      </c>
      <c r="D875" s="201" t="s">
        <v>864</v>
      </c>
      <c r="E875" s="192">
        <v>107.8</v>
      </c>
      <c r="F875" s="192">
        <v>69.3</v>
      </c>
      <c r="G875" s="192">
        <v>96.8</v>
      </c>
    </row>
    <row r="876" spans="1:7" x14ac:dyDescent="0.3">
      <c r="A876" s="191" t="s">
        <v>888</v>
      </c>
      <c r="B876" s="191" t="s">
        <v>928</v>
      </c>
      <c r="C876" s="192" t="s">
        <v>865</v>
      </c>
      <c r="D876" s="201" t="s">
        <v>866</v>
      </c>
      <c r="E876" s="192">
        <v>113.2</v>
      </c>
      <c r="F876" s="192">
        <v>51.6</v>
      </c>
      <c r="G876" s="192">
        <v>77.400000000000006</v>
      </c>
    </row>
    <row r="877" spans="1:7" x14ac:dyDescent="0.3">
      <c r="A877" s="191" t="s">
        <v>888</v>
      </c>
      <c r="B877" s="191" t="s">
        <v>928</v>
      </c>
      <c r="C877" s="192" t="s">
        <v>867</v>
      </c>
      <c r="D877" s="201" t="s">
        <v>868</v>
      </c>
      <c r="E877" s="192">
        <v>109.7</v>
      </c>
      <c r="F877" s="192">
        <v>62.6</v>
      </c>
      <c r="G877" s="192">
        <v>83.7</v>
      </c>
    </row>
    <row r="878" spans="1:7" x14ac:dyDescent="0.3">
      <c r="A878" s="191" t="s">
        <v>888</v>
      </c>
      <c r="B878" s="191" t="s">
        <v>928</v>
      </c>
      <c r="C878" s="192" t="s">
        <v>869</v>
      </c>
      <c r="D878" s="201" t="s">
        <v>870</v>
      </c>
      <c r="E878" s="192">
        <v>131.1</v>
      </c>
      <c r="F878" s="192">
        <v>63.4</v>
      </c>
      <c r="G878" s="192">
        <v>116.5</v>
      </c>
    </row>
    <row r="879" spans="1:7" x14ac:dyDescent="0.3">
      <c r="A879" s="191" t="s">
        <v>888</v>
      </c>
      <c r="B879" s="191" t="s">
        <v>928</v>
      </c>
      <c r="C879" s="192" t="s">
        <v>871</v>
      </c>
      <c r="D879" s="201" t="s">
        <v>872</v>
      </c>
      <c r="E879" s="192">
        <v>103.6</v>
      </c>
      <c r="F879" s="192">
        <v>69</v>
      </c>
      <c r="G879" s="192">
        <v>89</v>
      </c>
    </row>
    <row r="880" spans="1:7" x14ac:dyDescent="0.3">
      <c r="A880" s="191" t="s">
        <v>888</v>
      </c>
      <c r="B880" s="191" t="s">
        <v>928</v>
      </c>
      <c r="C880" s="192" t="s">
        <v>873</v>
      </c>
      <c r="D880" s="201" t="s">
        <v>874</v>
      </c>
      <c r="E880" s="192">
        <v>108.7</v>
      </c>
      <c r="F880" s="192">
        <v>61.4</v>
      </c>
      <c r="G880" s="192">
        <v>84.8</v>
      </c>
    </row>
    <row r="881" spans="1:7" x14ac:dyDescent="0.3">
      <c r="A881" s="191" t="s">
        <v>888</v>
      </c>
      <c r="B881" s="191" t="s">
        <v>928</v>
      </c>
      <c r="C881" s="192" t="s">
        <v>875</v>
      </c>
      <c r="D881" s="201" t="s">
        <v>876</v>
      </c>
      <c r="E881" s="192">
        <v>111.9</v>
      </c>
      <c r="F881" s="192">
        <v>67</v>
      </c>
      <c r="G881" s="192">
        <v>92.1</v>
      </c>
    </row>
    <row r="882" spans="1:7" x14ac:dyDescent="0.3">
      <c r="A882" s="191" t="s">
        <v>877</v>
      </c>
      <c r="B882" s="191" t="s">
        <v>929</v>
      </c>
      <c r="C882" s="192" t="s">
        <v>1301</v>
      </c>
      <c r="D882" s="202" t="s">
        <v>1599</v>
      </c>
      <c r="E882" s="192">
        <v>0</v>
      </c>
      <c r="F882" s="192">
        <v>104.1</v>
      </c>
      <c r="G882" s="192">
        <v>104.1</v>
      </c>
    </row>
    <row r="883" spans="1:7" x14ac:dyDescent="0.3">
      <c r="A883" s="191" t="s">
        <v>877</v>
      </c>
      <c r="B883" s="191" t="s">
        <v>929</v>
      </c>
      <c r="C883" s="192" t="s">
        <v>839</v>
      </c>
      <c r="D883" s="201" t="s">
        <v>840</v>
      </c>
      <c r="E883" s="192">
        <v>117.9</v>
      </c>
      <c r="F883" s="192">
        <v>98.7</v>
      </c>
      <c r="G883" s="192">
        <v>104.4</v>
      </c>
    </row>
    <row r="884" spans="1:7" x14ac:dyDescent="0.3">
      <c r="A884" s="191" t="s">
        <v>877</v>
      </c>
      <c r="B884" s="191" t="s">
        <v>929</v>
      </c>
      <c r="C884" s="192" t="s">
        <v>841</v>
      </c>
      <c r="D884" s="201" t="s">
        <v>842</v>
      </c>
      <c r="E884" s="192">
        <v>123.5</v>
      </c>
      <c r="F884" s="192">
        <v>69.900000000000006</v>
      </c>
      <c r="G884" s="192">
        <v>77.099999999999994</v>
      </c>
    </row>
    <row r="885" spans="1:7" x14ac:dyDescent="0.3">
      <c r="A885" s="191" t="s">
        <v>877</v>
      </c>
      <c r="B885" s="191" t="s">
        <v>929</v>
      </c>
      <c r="C885" s="192" t="s">
        <v>843</v>
      </c>
      <c r="D885" s="201" t="s">
        <v>844</v>
      </c>
      <c r="E885" s="192">
        <v>148.69999999999999</v>
      </c>
      <c r="F885" s="192">
        <v>52.6</v>
      </c>
      <c r="G885" s="192">
        <v>98.9</v>
      </c>
    </row>
    <row r="886" spans="1:7" x14ac:dyDescent="0.3">
      <c r="A886" s="191" t="s">
        <v>877</v>
      </c>
      <c r="B886" s="191" t="s">
        <v>929</v>
      </c>
      <c r="C886" s="192" t="s">
        <v>845</v>
      </c>
      <c r="D886" s="201" t="s">
        <v>846</v>
      </c>
      <c r="E886" s="192">
        <v>138.6</v>
      </c>
      <c r="F886" s="192">
        <v>75.2</v>
      </c>
      <c r="G886" s="192">
        <v>113.6</v>
      </c>
    </row>
    <row r="887" spans="1:7" x14ac:dyDescent="0.3">
      <c r="A887" s="191" t="s">
        <v>877</v>
      </c>
      <c r="B887" s="191" t="s">
        <v>929</v>
      </c>
      <c r="C887" s="192" t="s">
        <v>847</v>
      </c>
      <c r="D887" s="201" t="s">
        <v>848</v>
      </c>
      <c r="E887" s="192">
        <v>125.6</v>
      </c>
      <c r="F887" s="192">
        <v>69.3</v>
      </c>
      <c r="G887" s="192">
        <v>98.2</v>
      </c>
    </row>
    <row r="888" spans="1:7" x14ac:dyDescent="0.3">
      <c r="A888" s="191" t="s">
        <v>877</v>
      </c>
      <c r="B888" s="191" t="s">
        <v>929</v>
      </c>
      <c r="C888" s="192" t="s">
        <v>849</v>
      </c>
      <c r="D888" s="201" t="s">
        <v>850</v>
      </c>
      <c r="E888" s="192">
        <v>168.1</v>
      </c>
      <c r="F888" s="192">
        <v>66.3</v>
      </c>
      <c r="G888" s="192">
        <v>105.3</v>
      </c>
    </row>
    <row r="889" spans="1:7" x14ac:dyDescent="0.3">
      <c r="A889" s="191" t="s">
        <v>877</v>
      </c>
      <c r="B889" s="191" t="s">
        <v>929</v>
      </c>
      <c r="C889" s="192" t="s">
        <v>851</v>
      </c>
      <c r="D889" s="201" t="s">
        <v>852</v>
      </c>
      <c r="E889" s="192">
        <v>111</v>
      </c>
      <c r="F889" s="192">
        <v>76.7</v>
      </c>
      <c r="G889" s="192">
        <v>100.1</v>
      </c>
    </row>
    <row r="890" spans="1:7" x14ac:dyDescent="0.3">
      <c r="A890" s="191" t="s">
        <v>877</v>
      </c>
      <c r="B890" s="191" t="s">
        <v>929</v>
      </c>
      <c r="C890" s="192" t="s">
        <v>853</v>
      </c>
      <c r="D890" s="201" t="s">
        <v>854</v>
      </c>
      <c r="E890" s="192">
        <v>119.3</v>
      </c>
      <c r="F890" s="192">
        <v>71</v>
      </c>
      <c r="G890" s="192">
        <v>92.4</v>
      </c>
    </row>
    <row r="891" spans="1:7" x14ac:dyDescent="0.3">
      <c r="A891" s="191" t="s">
        <v>877</v>
      </c>
      <c r="B891" s="191" t="s">
        <v>929</v>
      </c>
      <c r="C891" s="192" t="s">
        <v>855</v>
      </c>
      <c r="D891" s="201" t="s">
        <v>856</v>
      </c>
      <c r="E891" s="192">
        <v>110.4</v>
      </c>
      <c r="F891" s="192">
        <v>69.8</v>
      </c>
      <c r="G891" s="192">
        <v>93.4</v>
      </c>
    </row>
    <row r="892" spans="1:7" x14ac:dyDescent="0.3">
      <c r="A892" s="191" t="s">
        <v>877</v>
      </c>
      <c r="B892" s="191" t="s">
        <v>929</v>
      </c>
      <c r="C892" s="192" t="s">
        <v>857</v>
      </c>
      <c r="D892" s="201" t="s">
        <v>858</v>
      </c>
      <c r="E892" s="192">
        <v>94.8</v>
      </c>
      <c r="F892" s="192">
        <v>62.9</v>
      </c>
      <c r="G892" s="192">
        <v>87.4</v>
      </c>
    </row>
    <row r="893" spans="1:7" x14ac:dyDescent="0.3">
      <c r="A893" s="191" t="s">
        <v>877</v>
      </c>
      <c r="B893" s="191" t="s">
        <v>929</v>
      </c>
      <c r="C893" s="192" t="s">
        <v>859</v>
      </c>
      <c r="D893" s="201" t="s">
        <v>860</v>
      </c>
      <c r="E893" s="192">
        <v>105.6</v>
      </c>
      <c r="F893" s="192">
        <v>69.7</v>
      </c>
      <c r="G893" s="192">
        <v>81.599999999999994</v>
      </c>
    </row>
    <row r="894" spans="1:7" x14ac:dyDescent="0.3">
      <c r="A894" s="191" t="s">
        <v>877</v>
      </c>
      <c r="B894" s="191" t="s">
        <v>929</v>
      </c>
      <c r="C894" s="192" t="s">
        <v>861</v>
      </c>
      <c r="D894" s="201" t="s">
        <v>862</v>
      </c>
      <c r="E894" s="192">
        <v>98.9</v>
      </c>
      <c r="F894" s="192">
        <v>69.7</v>
      </c>
      <c r="G894" s="192">
        <v>79.599999999999994</v>
      </c>
    </row>
    <row r="895" spans="1:7" x14ac:dyDescent="0.3">
      <c r="A895" s="191" t="s">
        <v>877</v>
      </c>
      <c r="B895" s="191" t="s">
        <v>929</v>
      </c>
      <c r="C895" s="192" t="s">
        <v>863</v>
      </c>
      <c r="D895" s="201" t="s">
        <v>864</v>
      </c>
      <c r="E895" s="192">
        <v>122.5</v>
      </c>
      <c r="F895" s="192">
        <v>67.5</v>
      </c>
      <c r="G895" s="192">
        <v>106.7</v>
      </c>
    </row>
    <row r="896" spans="1:7" x14ac:dyDescent="0.3">
      <c r="A896" s="191" t="s">
        <v>877</v>
      </c>
      <c r="B896" s="191" t="s">
        <v>929</v>
      </c>
      <c r="C896" s="192" t="s">
        <v>865</v>
      </c>
      <c r="D896" s="201" t="s">
        <v>866</v>
      </c>
      <c r="E896" s="192">
        <v>112.4</v>
      </c>
      <c r="F896" s="192">
        <v>58.7</v>
      </c>
      <c r="G896" s="192">
        <v>81.2</v>
      </c>
    </row>
    <row r="897" spans="1:7" x14ac:dyDescent="0.3">
      <c r="A897" s="191" t="s">
        <v>877</v>
      </c>
      <c r="B897" s="191" t="s">
        <v>929</v>
      </c>
      <c r="C897" s="192" t="s">
        <v>867</v>
      </c>
      <c r="D897" s="201" t="s">
        <v>868</v>
      </c>
      <c r="E897" s="192">
        <v>110.9</v>
      </c>
      <c r="F897" s="192">
        <v>68.7</v>
      </c>
      <c r="G897" s="192">
        <v>87.6</v>
      </c>
    </row>
    <row r="898" spans="1:7" x14ac:dyDescent="0.3">
      <c r="A898" s="191" t="s">
        <v>877</v>
      </c>
      <c r="B898" s="191" t="s">
        <v>929</v>
      </c>
      <c r="C898" s="192" t="s">
        <v>869</v>
      </c>
      <c r="D898" s="201" t="s">
        <v>870</v>
      </c>
      <c r="E898" s="192">
        <v>131.1</v>
      </c>
      <c r="F898" s="192">
        <v>65.2</v>
      </c>
      <c r="G898" s="192">
        <v>116.9</v>
      </c>
    </row>
    <row r="899" spans="1:7" x14ac:dyDescent="0.3">
      <c r="A899" s="191" t="s">
        <v>877</v>
      </c>
      <c r="B899" s="191" t="s">
        <v>929</v>
      </c>
      <c r="C899" s="192" t="s">
        <v>871</v>
      </c>
      <c r="D899" s="201" t="s">
        <v>872</v>
      </c>
      <c r="E899" s="192">
        <v>103.6</v>
      </c>
      <c r="F899" s="192">
        <v>82.6</v>
      </c>
      <c r="G899" s="192">
        <v>94.7</v>
      </c>
    </row>
    <row r="900" spans="1:7" x14ac:dyDescent="0.3">
      <c r="A900" s="191" t="s">
        <v>877</v>
      </c>
      <c r="B900" s="191" t="s">
        <v>929</v>
      </c>
      <c r="C900" s="192" t="s">
        <v>873</v>
      </c>
      <c r="D900" s="201" t="s">
        <v>874</v>
      </c>
      <c r="E900" s="192">
        <v>110.6</v>
      </c>
      <c r="F900" s="192">
        <v>59.6</v>
      </c>
      <c r="G900" s="192">
        <v>84.8</v>
      </c>
    </row>
    <row r="901" spans="1:7" x14ac:dyDescent="0.3">
      <c r="A901" s="191" t="s">
        <v>877</v>
      </c>
      <c r="B901" s="191" t="s">
        <v>929</v>
      </c>
      <c r="C901" s="192" t="s">
        <v>875</v>
      </c>
      <c r="D901" s="201" t="s">
        <v>876</v>
      </c>
      <c r="E901" s="192">
        <v>113.9</v>
      </c>
      <c r="F901" s="192">
        <v>73.099999999999994</v>
      </c>
      <c r="G901" s="192">
        <v>95.9</v>
      </c>
    </row>
    <row r="902" spans="1:7" x14ac:dyDescent="0.3">
      <c r="A902" s="191" t="s">
        <v>884</v>
      </c>
      <c r="B902" s="191" t="s">
        <v>930</v>
      </c>
      <c r="C902" s="192" t="s">
        <v>1301</v>
      </c>
      <c r="D902" s="202" t="s">
        <v>1599</v>
      </c>
      <c r="E902" s="192">
        <v>0</v>
      </c>
      <c r="F902" s="192">
        <v>102.2</v>
      </c>
      <c r="G902" s="192">
        <v>102.2</v>
      </c>
    </row>
    <row r="903" spans="1:7" x14ac:dyDescent="0.3">
      <c r="A903" s="191" t="s">
        <v>884</v>
      </c>
      <c r="B903" s="191" t="s">
        <v>930</v>
      </c>
      <c r="C903" s="192" t="s">
        <v>839</v>
      </c>
      <c r="D903" s="201" t="s">
        <v>840</v>
      </c>
      <c r="E903" s="192">
        <v>99.7</v>
      </c>
      <c r="F903" s="192">
        <v>98.4</v>
      </c>
      <c r="G903" s="192">
        <v>98.8</v>
      </c>
    </row>
    <row r="904" spans="1:7" x14ac:dyDescent="0.3">
      <c r="A904" s="191" t="s">
        <v>884</v>
      </c>
      <c r="B904" s="191" t="s">
        <v>930</v>
      </c>
      <c r="C904" s="192" t="s">
        <v>841</v>
      </c>
      <c r="D904" s="201" t="s">
        <v>842</v>
      </c>
      <c r="E904" s="192">
        <v>130</v>
      </c>
      <c r="F904" s="192">
        <v>90.5</v>
      </c>
      <c r="G904" s="192">
        <v>95.9</v>
      </c>
    </row>
    <row r="905" spans="1:7" x14ac:dyDescent="0.3">
      <c r="A905" s="191" t="s">
        <v>884</v>
      </c>
      <c r="B905" s="191" t="s">
        <v>930</v>
      </c>
      <c r="C905" s="192" t="s">
        <v>843</v>
      </c>
      <c r="D905" s="201" t="s">
        <v>844</v>
      </c>
      <c r="E905" s="192">
        <v>103.1</v>
      </c>
      <c r="F905" s="192">
        <v>94.8</v>
      </c>
      <c r="G905" s="192">
        <v>98.8</v>
      </c>
    </row>
    <row r="906" spans="1:7" x14ac:dyDescent="0.3">
      <c r="A906" s="191" t="s">
        <v>884</v>
      </c>
      <c r="B906" s="191" t="s">
        <v>930</v>
      </c>
      <c r="C906" s="192" t="s">
        <v>845</v>
      </c>
      <c r="D906" s="201" t="s">
        <v>846</v>
      </c>
      <c r="E906" s="192">
        <v>125.6</v>
      </c>
      <c r="F906" s="192">
        <v>98.8</v>
      </c>
      <c r="G906" s="192">
        <v>115</v>
      </c>
    </row>
    <row r="907" spans="1:7" x14ac:dyDescent="0.3">
      <c r="A907" s="191" t="s">
        <v>884</v>
      </c>
      <c r="B907" s="191" t="s">
        <v>930</v>
      </c>
      <c r="C907" s="192" t="s">
        <v>847</v>
      </c>
      <c r="D907" s="201" t="s">
        <v>848</v>
      </c>
      <c r="E907" s="192">
        <v>119.3</v>
      </c>
      <c r="F907" s="192">
        <v>94.1</v>
      </c>
      <c r="G907" s="192">
        <v>107.1</v>
      </c>
    </row>
    <row r="908" spans="1:7" x14ac:dyDescent="0.3">
      <c r="A908" s="191" t="s">
        <v>884</v>
      </c>
      <c r="B908" s="191" t="s">
        <v>930</v>
      </c>
      <c r="C908" s="192" t="s">
        <v>849</v>
      </c>
      <c r="D908" s="201" t="s">
        <v>850</v>
      </c>
      <c r="E908" s="192">
        <v>165.2</v>
      </c>
      <c r="F908" s="192">
        <v>94.6</v>
      </c>
      <c r="G908" s="192">
        <v>121.7</v>
      </c>
    </row>
    <row r="909" spans="1:7" x14ac:dyDescent="0.3">
      <c r="A909" s="191" t="s">
        <v>884</v>
      </c>
      <c r="B909" s="191" t="s">
        <v>930</v>
      </c>
      <c r="C909" s="192" t="s">
        <v>851</v>
      </c>
      <c r="D909" s="201" t="s">
        <v>852</v>
      </c>
      <c r="E909" s="192">
        <v>108.1</v>
      </c>
      <c r="F909" s="192">
        <v>91.6</v>
      </c>
      <c r="G909" s="192">
        <v>102.9</v>
      </c>
    </row>
    <row r="910" spans="1:7" x14ac:dyDescent="0.3">
      <c r="A910" s="191" t="s">
        <v>884</v>
      </c>
      <c r="B910" s="191" t="s">
        <v>930</v>
      </c>
      <c r="C910" s="192" t="s">
        <v>853</v>
      </c>
      <c r="D910" s="201" t="s">
        <v>854</v>
      </c>
      <c r="E910" s="192">
        <v>132.5</v>
      </c>
      <c r="F910" s="192">
        <v>90.5</v>
      </c>
      <c r="G910" s="192">
        <v>109.1</v>
      </c>
    </row>
    <row r="911" spans="1:7" x14ac:dyDescent="0.3">
      <c r="A911" s="191" t="s">
        <v>884</v>
      </c>
      <c r="B911" s="191" t="s">
        <v>930</v>
      </c>
      <c r="C911" s="192" t="s">
        <v>855</v>
      </c>
      <c r="D911" s="201" t="s">
        <v>856</v>
      </c>
      <c r="E911" s="192">
        <v>110.6</v>
      </c>
      <c r="F911" s="192">
        <v>94.2</v>
      </c>
      <c r="G911" s="192">
        <v>103.7</v>
      </c>
    </row>
    <row r="912" spans="1:7" x14ac:dyDescent="0.3">
      <c r="A912" s="191" t="s">
        <v>884</v>
      </c>
      <c r="B912" s="191" t="s">
        <v>930</v>
      </c>
      <c r="C912" s="192" t="s">
        <v>857</v>
      </c>
      <c r="D912" s="201" t="s">
        <v>858</v>
      </c>
      <c r="E912" s="192">
        <v>94.4</v>
      </c>
      <c r="F912" s="192">
        <v>78.2</v>
      </c>
      <c r="G912" s="192">
        <v>90.6</v>
      </c>
    </row>
    <row r="913" spans="1:7" x14ac:dyDescent="0.3">
      <c r="A913" s="191" t="s">
        <v>884</v>
      </c>
      <c r="B913" s="191" t="s">
        <v>930</v>
      </c>
      <c r="C913" s="192" t="s">
        <v>859</v>
      </c>
      <c r="D913" s="201" t="s">
        <v>860</v>
      </c>
      <c r="E913" s="192">
        <v>141.80000000000001</v>
      </c>
      <c r="F913" s="192">
        <v>90</v>
      </c>
      <c r="G913" s="192">
        <v>107.2</v>
      </c>
    </row>
    <row r="914" spans="1:7" x14ac:dyDescent="0.3">
      <c r="A914" s="191" t="s">
        <v>884</v>
      </c>
      <c r="B914" s="191" t="s">
        <v>930</v>
      </c>
      <c r="C914" s="192" t="s">
        <v>861</v>
      </c>
      <c r="D914" s="201" t="s">
        <v>862</v>
      </c>
      <c r="E914" s="192">
        <v>98.1</v>
      </c>
      <c r="F914" s="192">
        <v>90</v>
      </c>
      <c r="G914" s="192">
        <v>92.7</v>
      </c>
    </row>
    <row r="915" spans="1:7" x14ac:dyDescent="0.3">
      <c r="A915" s="191" t="s">
        <v>884</v>
      </c>
      <c r="B915" s="191" t="s">
        <v>930</v>
      </c>
      <c r="C915" s="192" t="s">
        <v>863</v>
      </c>
      <c r="D915" s="201" t="s">
        <v>864</v>
      </c>
      <c r="E915" s="192">
        <v>122.5</v>
      </c>
      <c r="F915" s="192">
        <v>95.7</v>
      </c>
      <c r="G915" s="192">
        <v>114.8</v>
      </c>
    </row>
    <row r="916" spans="1:7" x14ac:dyDescent="0.3">
      <c r="A916" s="191" t="s">
        <v>884</v>
      </c>
      <c r="B916" s="191" t="s">
        <v>930</v>
      </c>
      <c r="C916" s="192" t="s">
        <v>865</v>
      </c>
      <c r="D916" s="201" t="s">
        <v>866</v>
      </c>
      <c r="E916" s="192">
        <v>112.3</v>
      </c>
      <c r="F916" s="192">
        <v>106.4</v>
      </c>
      <c r="G916" s="192">
        <v>108.8</v>
      </c>
    </row>
    <row r="917" spans="1:7" x14ac:dyDescent="0.3">
      <c r="A917" s="191" t="s">
        <v>884</v>
      </c>
      <c r="B917" s="191" t="s">
        <v>930</v>
      </c>
      <c r="C917" s="192" t="s">
        <v>867</v>
      </c>
      <c r="D917" s="201" t="s">
        <v>868</v>
      </c>
      <c r="E917" s="192">
        <v>114.9</v>
      </c>
      <c r="F917" s="192">
        <v>93.8</v>
      </c>
      <c r="G917" s="192">
        <v>103.2</v>
      </c>
    </row>
    <row r="918" spans="1:7" x14ac:dyDescent="0.3">
      <c r="A918" s="191" t="s">
        <v>884</v>
      </c>
      <c r="B918" s="191" t="s">
        <v>930</v>
      </c>
      <c r="C918" s="192" t="s">
        <v>869</v>
      </c>
      <c r="D918" s="201" t="s">
        <v>870</v>
      </c>
      <c r="E918" s="192">
        <v>131.1</v>
      </c>
      <c r="F918" s="192">
        <v>85.8</v>
      </c>
      <c r="G918" s="192">
        <v>121.3</v>
      </c>
    </row>
    <row r="919" spans="1:7" x14ac:dyDescent="0.3">
      <c r="A919" s="191" t="s">
        <v>884</v>
      </c>
      <c r="B919" s="191" t="s">
        <v>930</v>
      </c>
      <c r="C919" s="192" t="s">
        <v>871</v>
      </c>
      <c r="D919" s="201" t="s">
        <v>872</v>
      </c>
      <c r="E919" s="192">
        <v>103.6</v>
      </c>
      <c r="F919" s="192">
        <v>93.5</v>
      </c>
      <c r="G919" s="192">
        <v>99.3</v>
      </c>
    </row>
    <row r="920" spans="1:7" x14ac:dyDescent="0.3">
      <c r="A920" s="191" t="s">
        <v>884</v>
      </c>
      <c r="B920" s="191" t="s">
        <v>930</v>
      </c>
      <c r="C920" s="192" t="s">
        <v>873</v>
      </c>
      <c r="D920" s="201" t="s">
        <v>874</v>
      </c>
      <c r="E920" s="192">
        <v>108.9</v>
      </c>
      <c r="F920" s="192">
        <v>86.1</v>
      </c>
      <c r="G920" s="192">
        <v>97.4</v>
      </c>
    </row>
    <row r="921" spans="1:7" x14ac:dyDescent="0.3">
      <c r="A921" s="191" t="s">
        <v>884</v>
      </c>
      <c r="B921" s="191" t="s">
        <v>930</v>
      </c>
      <c r="C921" s="192" t="s">
        <v>875</v>
      </c>
      <c r="D921" s="201" t="s">
        <v>876</v>
      </c>
      <c r="E921" s="192">
        <v>112.3</v>
      </c>
      <c r="F921" s="192">
        <v>92</v>
      </c>
      <c r="G921" s="192">
        <v>103.4</v>
      </c>
    </row>
    <row r="922" spans="1:7" x14ac:dyDescent="0.3">
      <c r="A922" s="191" t="s">
        <v>837</v>
      </c>
      <c r="B922" s="191" t="s">
        <v>931</v>
      </c>
      <c r="C922" s="192" t="s">
        <v>1301</v>
      </c>
      <c r="D922" s="202" t="s">
        <v>1599</v>
      </c>
      <c r="E922" s="192">
        <v>0</v>
      </c>
      <c r="F922" s="192">
        <v>101.8</v>
      </c>
      <c r="G922" s="192">
        <v>101.8</v>
      </c>
    </row>
    <row r="923" spans="1:7" x14ac:dyDescent="0.3">
      <c r="A923" s="191" t="s">
        <v>837</v>
      </c>
      <c r="B923" s="191" t="s">
        <v>931</v>
      </c>
      <c r="C923" s="192" t="s">
        <v>839</v>
      </c>
      <c r="D923" s="201" t="s">
        <v>840</v>
      </c>
      <c r="E923" s="192">
        <v>107.5</v>
      </c>
      <c r="F923" s="192">
        <v>99.3</v>
      </c>
      <c r="G923" s="192">
        <v>101.7</v>
      </c>
    </row>
    <row r="924" spans="1:7" x14ac:dyDescent="0.3">
      <c r="A924" s="191" t="s">
        <v>837</v>
      </c>
      <c r="B924" s="191" t="s">
        <v>931</v>
      </c>
      <c r="C924" s="192" t="s">
        <v>841</v>
      </c>
      <c r="D924" s="201" t="s">
        <v>842</v>
      </c>
      <c r="E924" s="192">
        <v>112.1</v>
      </c>
      <c r="F924" s="192">
        <v>85.4</v>
      </c>
      <c r="G924" s="192">
        <v>89</v>
      </c>
    </row>
    <row r="925" spans="1:7" x14ac:dyDescent="0.3">
      <c r="A925" s="191" t="s">
        <v>837</v>
      </c>
      <c r="B925" s="191" t="s">
        <v>931</v>
      </c>
      <c r="C925" s="192" t="s">
        <v>843</v>
      </c>
      <c r="D925" s="201" t="s">
        <v>844</v>
      </c>
      <c r="E925" s="192">
        <v>103.2</v>
      </c>
      <c r="F925" s="192">
        <v>81.2</v>
      </c>
      <c r="G925" s="192">
        <v>91.8</v>
      </c>
    </row>
    <row r="926" spans="1:7" x14ac:dyDescent="0.3">
      <c r="A926" s="191" t="s">
        <v>837</v>
      </c>
      <c r="B926" s="191" t="s">
        <v>931</v>
      </c>
      <c r="C926" s="192" t="s">
        <v>845</v>
      </c>
      <c r="D926" s="201" t="s">
        <v>846</v>
      </c>
      <c r="E926" s="192">
        <v>124.4</v>
      </c>
      <c r="F926" s="192">
        <v>86.3</v>
      </c>
      <c r="G926" s="192">
        <v>109.3</v>
      </c>
    </row>
    <row r="927" spans="1:7" x14ac:dyDescent="0.3">
      <c r="A927" s="191" t="s">
        <v>837</v>
      </c>
      <c r="B927" s="191" t="s">
        <v>931</v>
      </c>
      <c r="C927" s="192" t="s">
        <v>847</v>
      </c>
      <c r="D927" s="201" t="s">
        <v>848</v>
      </c>
      <c r="E927" s="192">
        <v>111.4</v>
      </c>
      <c r="F927" s="192">
        <v>85.2</v>
      </c>
      <c r="G927" s="192">
        <v>98.7</v>
      </c>
    </row>
    <row r="928" spans="1:7" x14ac:dyDescent="0.3">
      <c r="A928" s="191" t="s">
        <v>837</v>
      </c>
      <c r="B928" s="191" t="s">
        <v>931</v>
      </c>
      <c r="C928" s="192" t="s">
        <v>849</v>
      </c>
      <c r="D928" s="201" t="s">
        <v>850</v>
      </c>
      <c r="E928" s="192">
        <v>166.2</v>
      </c>
      <c r="F928" s="192">
        <v>94</v>
      </c>
      <c r="G928" s="192">
        <v>121.7</v>
      </c>
    </row>
    <row r="929" spans="1:7" x14ac:dyDescent="0.3">
      <c r="A929" s="191" t="s">
        <v>837</v>
      </c>
      <c r="B929" s="191" t="s">
        <v>931</v>
      </c>
      <c r="C929" s="192" t="s">
        <v>851</v>
      </c>
      <c r="D929" s="201" t="s">
        <v>852</v>
      </c>
      <c r="E929" s="192">
        <v>109.4</v>
      </c>
      <c r="F929" s="192">
        <v>89.7</v>
      </c>
      <c r="G929" s="192">
        <v>103.1</v>
      </c>
    </row>
    <row r="930" spans="1:7" x14ac:dyDescent="0.3">
      <c r="A930" s="191" t="s">
        <v>837</v>
      </c>
      <c r="B930" s="191" t="s">
        <v>931</v>
      </c>
      <c r="C930" s="192" t="s">
        <v>853</v>
      </c>
      <c r="D930" s="201" t="s">
        <v>854</v>
      </c>
      <c r="E930" s="192">
        <v>108.3</v>
      </c>
      <c r="F930" s="192">
        <v>85.3</v>
      </c>
      <c r="G930" s="192">
        <v>95.5</v>
      </c>
    </row>
    <row r="931" spans="1:7" x14ac:dyDescent="0.3">
      <c r="A931" s="191" t="s">
        <v>837</v>
      </c>
      <c r="B931" s="191" t="s">
        <v>931</v>
      </c>
      <c r="C931" s="192" t="s">
        <v>855</v>
      </c>
      <c r="D931" s="201" t="s">
        <v>856</v>
      </c>
      <c r="E931" s="192">
        <v>116</v>
      </c>
      <c r="F931" s="192">
        <v>86.5</v>
      </c>
      <c r="G931" s="192">
        <v>103.6</v>
      </c>
    </row>
    <row r="932" spans="1:7" x14ac:dyDescent="0.3">
      <c r="A932" s="191" t="s">
        <v>837</v>
      </c>
      <c r="B932" s="191" t="s">
        <v>931</v>
      </c>
      <c r="C932" s="192" t="s">
        <v>857</v>
      </c>
      <c r="D932" s="201" t="s">
        <v>858</v>
      </c>
      <c r="E932" s="192">
        <v>87.8</v>
      </c>
      <c r="F932" s="192">
        <v>83.1</v>
      </c>
      <c r="G932" s="192">
        <v>86.7</v>
      </c>
    </row>
    <row r="933" spans="1:7" x14ac:dyDescent="0.3">
      <c r="A933" s="191" t="s">
        <v>837</v>
      </c>
      <c r="B933" s="191" t="s">
        <v>931</v>
      </c>
      <c r="C933" s="192" t="s">
        <v>859</v>
      </c>
      <c r="D933" s="201" t="s">
        <v>860</v>
      </c>
      <c r="E933" s="192">
        <v>108.8</v>
      </c>
      <c r="F933" s="192">
        <v>84.8</v>
      </c>
      <c r="G933" s="192">
        <v>92.8</v>
      </c>
    </row>
    <row r="934" spans="1:7" x14ac:dyDescent="0.3">
      <c r="A934" s="191" t="s">
        <v>837</v>
      </c>
      <c r="B934" s="191" t="s">
        <v>931</v>
      </c>
      <c r="C934" s="192" t="s">
        <v>861</v>
      </c>
      <c r="D934" s="201" t="s">
        <v>862</v>
      </c>
      <c r="E934" s="192">
        <v>98.9</v>
      </c>
      <c r="F934" s="192">
        <v>84.8</v>
      </c>
      <c r="G934" s="192">
        <v>89.6</v>
      </c>
    </row>
    <row r="935" spans="1:7" x14ac:dyDescent="0.3">
      <c r="A935" s="191" t="s">
        <v>837</v>
      </c>
      <c r="B935" s="191" t="s">
        <v>931</v>
      </c>
      <c r="C935" s="192" t="s">
        <v>863</v>
      </c>
      <c r="D935" s="201" t="s">
        <v>864</v>
      </c>
      <c r="E935" s="192">
        <v>114.9</v>
      </c>
      <c r="F935" s="192">
        <v>99.3</v>
      </c>
      <c r="G935" s="192">
        <v>110.4</v>
      </c>
    </row>
    <row r="936" spans="1:7" x14ac:dyDescent="0.3">
      <c r="A936" s="191" t="s">
        <v>837</v>
      </c>
      <c r="B936" s="191" t="s">
        <v>931</v>
      </c>
      <c r="C936" s="192" t="s">
        <v>865</v>
      </c>
      <c r="D936" s="201" t="s">
        <v>866</v>
      </c>
      <c r="E936" s="192">
        <v>112.3</v>
      </c>
      <c r="F936" s="192">
        <v>97.9</v>
      </c>
      <c r="G936" s="192">
        <v>103.9</v>
      </c>
    </row>
    <row r="937" spans="1:7" x14ac:dyDescent="0.3">
      <c r="A937" s="191" t="s">
        <v>837</v>
      </c>
      <c r="B937" s="191" t="s">
        <v>931</v>
      </c>
      <c r="C937" s="192" t="s">
        <v>867</v>
      </c>
      <c r="D937" s="201" t="s">
        <v>868</v>
      </c>
      <c r="E937" s="192">
        <v>108</v>
      </c>
      <c r="F937" s="192">
        <v>89.4</v>
      </c>
      <c r="G937" s="192">
        <v>97.7</v>
      </c>
    </row>
    <row r="938" spans="1:7" x14ac:dyDescent="0.3">
      <c r="A938" s="191" t="s">
        <v>837</v>
      </c>
      <c r="B938" s="191" t="s">
        <v>931</v>
      </c>
      <c r="C938" s="192" t="s">
        <v>869</v>
      </c>
      <c r="D938" s="201" t="s">
        <v>870</v>
      </c>
      <c r="E938" s="192">
        <v>131.1</v>
      </c>
      <c r="F938" s="192">
        <v>95.8</v>
      </c>
      <c r="G938" s="192">
        <v>123.5</v>
      </c>
    </row>
    <row r="939" spans="1:7" x14ac:dyDescent="0.3">
      <c r="A939" s="191" t="s">
        <v>837</v>
      </c>
      <c r="B939" s="191" t="s">
        <v>931</v>
      </c>
      <c r="C939" s="192" t="s">
        <v>871</v>
      </c>
      <c r="D939" s="201" t="s">
        <v>872</v>
      </c>
      <c r="E939" s="192">
        <v>103.6</v>
      </c>
      <c r="F939" s="192">
        <v>94.6</v>
      </c>
      <c r="G939" s="192">
        <v>99.8</v>
      </c>
    </row>
    <row r="940" spans="1:7" x14ac:dyDescent="0.3">
      <c r="A940" s="191" t="s">
        <v>837</v>
      </c>
      <c r="B940" s="191" t="s">
        <v>931</v>
      </c>
      <c r="C940" s="192" t="s">
        <v>873</v>
      </c>
      <c r="D940" s="201" t="s">
        <v>874</v>
      </c>
      <c r="E940" s="192">
        <v>110.2</v>
      </c>
      <c r="F940" s="192">
        <v>90.1</v>
      </c>
      <c r="G940" s="192">
        <v>100.1</v>
      </c>
    </row>
    <row r="941" spans="1:7" x14ac:dyDescent="0.3">
      <c r="A941" s="191" t="s">
        <v>837</v>
      </c>
      <c r="B941" s="191" t="s">
        <v>931</v>
      </c>
      <c r="C941" s="192" t="s">
        <v>875</v>
      </c>
      <c r="D941" s="201" t="s">
        <v>876</v>
      </c>
      <c r="E941" s="192">
        <v>110.7</v>
      </c>
      <c r="F941" s="192">
        <v>91.1</v>
      </c>
      <c r="G941" s="192">
        <v>102.1</v>
      </c>
    </row>
    <row r="942" spans="1:7" x14ac:dyDescent="0.3">
      <c r="A942" s="191" t="s">
        <v>837</v>
      </c>
      <c r="B942" s="191" t="s">
        <v>932</v>
      </c>
      <c r="C942" s="192" t="s">
        <v>1301</v>
      </c>
      <c r="D942" s="202" t="s">
        <v>1599</v>
      </c>
      <c r="E942" s="192">
        <v>0</v>
      </c>
      <c r="F942" s="192">
        <v>101.8</v>
      </c>
      <c r="G942" s="192">
        <v>101.8</v>
      </c>
    </row>
    <row r="943" spans="1:7" x14ac:dyDescent="0.3">
      <c r="A943" s="191" t="s">
        <v>837</v>
      </c>
      <c r="B943" s="191" t="s">
        <v>932</v>
      </c>
      <c r="C943" s="192" t="s">
        <v>839</v>
      </c>
      <c r="D943" s="201" t="s">
        <v>840</v>
      </c>
      <c r="E943" s="192">
        <v>99.8</v>
      </c>
      <c r="F943" s="192">
        <v>100.5</v>
      </c>
      <c r="G943" s="192">
        <v>100.3</v>
      </c>
    </row>
    <row r="944" spans="1:7" x14ac:dyDescent="0.3">
      <c r="A944" s="191" t="s">
        <v>837</v>
      </c>
      <c r="B944" s="191" t="s">
        <v>932</v>
      </c>
      <c r="C944" s="192" t="s">
        <v>841</v>
      </c>
      <c r="D944" s="201" t="s">
        <v>842</v>
      </c>
      <c r="E944" s="192">
        <v>106.7</v>
      </c>
      <c r="F944" s="192">
        <v>86.5</v>
      </c>
      <c r="G944" s="192">
        <v>89.3</v>
      </c>
    </row>
    <row r="945" spans="1:7" x14ac:dyDescent="0.3">
      <c r="A945" s="191" t="s">
        <v>837</v>
      </c>
      <c r="B945" s="191" t="s">
        <v>932</v>
      </c>
      <c r="C945" s="192" t="s">
        <v>843</v>
      </c>
      <c r="D945" s="201" t="s">
        <v>844</v>
      </c>
      <c r="E945" s="192">
        <v>98.4</v>
      </c>
      <c r="F945" s="192">
        <v>90.3</v>
      </c>
      <c r="G945" s="192">
        <v>94.2</v>
      </c>
    </row>
    <row r="946" spans="1:7" x14ac:dyDescent="0.3">
      <c r="A946" s="191" t="s">
        <v>837</v>
      </c>
      <c r="B946" s="191" t="s">
        <v>932</v>
      </c>
      <c r="C946" s="192" t="s">
        <v>845</v>
      </c>
      <c r="D946" s="201" t="s">
        <v>846</v>
      </c>
      <c r="E946" s="192">
        <v>121.4</v>
      </c>
      <c r="F946" s="192">
        <v>96</v>
      </c>
      <c r="G946" s="192">
        <v>111.4</v>
      </c>
    </row>
    <row r="947" spans="1:7" x14ac:dyDescent="0.3">
      <c r="A947" s="191" t="s">
        <v>837</v>
      </c>
      <c r="B947" s="191" t="s">
        <v>932</v>
      </c>
      <c r="C947" s="192" t="s">
        <v>847</v>
      </c>
      <c r="D947" s="201" t="s">
        <v>848</v>
      </c>
      <c r="E947" s="192">
        <v>105.9</v>
      </c>
      <c r="F947" s="192">
        <v>90.6</v>
      </c>
      <c r="G947" s="192">
        <v>98.5</v>
      </c>
    </row>
    <row r="948" spans="1:7" x14ac:dyDescent="0.3">
      <c r="A948" s="191" t="s">
        <v>837</v>
      </c>
      <c r="B948" s="191" t="s">
        <v>932</v>
      </c>
      <c r="C948" s="192" t="s">
        <v>849</v>
      </c>
      <c r="D948" s="201" t="s">
        <v>850</v>
      </c>
      <c r="E948" s="192">
        <v>148</v>
      </c>
      <c r="F948" s="192">
        <v>96.1</v>
      </c>
      <c r="G948" s="192">
        <v>116</v>
      </c>
    </row>
    <row r="949" spans="1:7" x14ac:dyDescent="0.3">
      <c r="A949" s="191" t="s">
        <v>837</v>
      </c>
      <c r="B949" s="191" t="s">
        <v>932</v>
      </c>
      <c r="C949" s="192" t="s">
        <v>851</v>
      </c>
      <c r="D949" s="201" t="s">
        <v>852</v>
      </c>
      <c r="E949" s="192">
        <v>107.6</v>
      </c>
      <c r="F949" s="192">
        <v>91.2</v>
      </c>
      <c r="G949" s="192">
        <v>102.4</v>
      </c>
    </row>
    <row r="950" spans="1:7" x14ac:dyDescent="0.3">
      <c r="A950" s="191" t="s">
        <v>837</v>
      </c>
      <c r="B950" s="191" t="s">
        <v>932</v>
      </c>
      <c r="C950" s="192" t="s">
        <v>853</v>
      </c>
      <c r="D950" s="201" t="s">
        <v>854</v>
      </c>
      <c r="E950" s="192">
        <v>103.1</v>
      </c>
      <c r="F950" s="192">
        <v>85.3</v>
      </c>
      <c r="G950" s="192">
        <v>93.2</v>
      </c>
    </row>
    <row r="951" spans="1:7" x14ac:dyDescent="0.3">
      <c r="A951" s="191" t="s">
        <v>837</v>
      </c>
      <c r="B951" s="191" t="s">
        <v>932</v>
      </c>
      <c r="C951" s="192" t="s">
        <v>855</v>
      </c>
      <c r="D951" s="201" t="s">
        <v>856</v>
      </c>
      <c r="E951" s="192">
        <v>110.7</v>
      </c>
      <c r="F951" s="192">
        <v>89.6</v>
      </c>
      <c r="G951" s="192">
        <v>101.9</v>
      </c>
    </row>
    <row r="952" spans="1:7" x14ac:dyDescent="0.3">
      <c r="A952" s="191" t="s">
        <v>837</v>
      </c>
      <c r="B952" s="191" t="s">
        <v>932</v>
      </c>
      <c r="C952" s="192" t="s">
        <v>857</v>
      </c>
      <c r="D952" s="201" t="s">
        <v>858</v>
      </c>
      <c r="E952" s="192">
        <v>86.6</v>
      </c>
      <c r="F952" s="192">
        <v>83.5</v>
      </c>
      <c r="G952" s="192">
        <v>85.9</v>
      </c>
    </row>
    <row r="953" spans="1:7" x14ac:dyDescent="0.3">
      <c r="A953" s="191" t="s">
        <v>837</v>
      </c>
      <c r="B953" s="191" t="s">
        <v>932</v>
      </c>
      <c r="C953" s="192" t="s">
        <v>859</v>
      </c>
      <c r="D953" s="201" t="s">
        <v>860</v>
      </c>
      <c r="E953" s="192">
        <v>99.8</v>
      </c>
      <c r="F953" s="192">
        <v>84.8</v>
      </c>
      <c r="G953" s="192">
        <v>89.8</v>
      </c>
    </row>
    <row r="954" spans="1:7" x14ac:dyDescent="0.3">
      <c r="A954" s="191" t="s">
        <v>837</v>
      </c>
      <c r="B954" s="191" t="s">
        <v>932</v>
      </c>
      <c r="C954" s="192" t="s">
        <v>861</v>
      </c>
      <c r="D954" s="201" t="s">
        <v>862</v>
      </c>
      <c r="E954" s="192">
        <v>93.5</v>
      </c>
      <c r="F954" s="192">
        <v>84.8</v>
      </c>
      <c r="G954" s="192">
        <v>87.7</v>
      </c>
    </row>
    <row r="955" spans="1:7" x14ac:dyDescent="0.3">
      <c r="A955" s="191" t="s">
        <v>837</v>
      </c>
      <c r="B955" s="191" t="s">
        <v>932</v>
      </c>
      <c r="C955" s="192" t="s">
        <v>863</v>
      </c>
      <c r="D955" s="201" t="s">
        <v>864</v>
      </c>
      <c r="E955" s="192">
        <v>106.4</v>
      </c>
      <c r="F955" s="192">
        <v>99.3</v>
      </c>
      <c r="G955" s="192">
        <v>104.3</v>
      </c>
    </row>
    <row r="956" spans="1:7" x14ac:dyDescent="0.3">
      <c r="A956" s="191" t="s">
        <v>837</v>
      </c>
      <c r="B956" s="191" t="s">
        <v>932</v>
      </c>
      <c r="C956" s="192" t="s">
        <v>865</v>
      </c>
      <c r="D956" s="201" t="s">
        <v>866</v>
      </c>
      <c r="E956" s="192">
        <v>106.2</v>
      </c>
      <c r="F956" s="192">
        <v>93.6</v>
      </c>
      <c r="G956" s="192">
        <v>98.9</v>
      </c>
    </row>
    <row r="957" spans="1:7" x14ac:dyDescent="0.3">
      <c r="A957" s="191" t="s">
        <v>837</v>
      </c>
      <c r="B957" s="191" t="s">
        <v>932</v>
      </c>
      <c r="C957" s="192" t="s">
        <v>867</v>
      </c>
      <c r="D957" s="201" t="s">
        <v>868</v>
      </c>
      <c r="E957" s="192">
        <v>101.1</v>
      </c>
      <c r="F957" s="192">
        <v>89.4</v>
      </c>
      <c r="G957" s="192">
        <v>94.6</v>
      </c>
    </row>
    <row r="958" spans="1:7" x14ac:dyDescent="0.3">
      <c r="A958" s="191" t="s">
        <v>837</v>
      </c>
      <c r="B958" s="191" t="s">
        <v>932</v>
      </c>
      <c r="C958" s="192" t="s">
        <v>869</v>
      </c>
      <c r="D958" s="201" t="s">
        <v>870</v>
      </c>
      <c r="E958" s="192">
        <v>131.1</v>
      </c>
      <c r="F958" s="192">
        <v>96.6</v>
      </c>
      <c r="G958" s="192">
        <v>123.7</v>
      </c>
    </row>
    <row r="959" spans="1:7" x14ac:dyDescent="0.3">
      <c r="A959" s="191" t="s">
        <v>837</v>
      </c>
      <c r="B959" s="191" t="s">
        <v>932</v>
      </c>
      <c r="C959" s="192" t="s">
        <v>871</v>
      </c>
      <c r="D959" s="201" t="s">
        <v>872</v>
      </c>
      <c r="E959" s="192">
        <v>103.5</v>
      </c>
      <c r="F959" s="192">
        <v>87.6</v>
      </c>
      <c r="G959" s="192">
        <v>96.8</v>
      </c>
    </row>
    <row r="960" spans="1:7" x14ac:dyDescent="0.3">
      <c r="A960" s="191" t="s">
        <v>837</v>
      </c>
      <c r="B960" s="191" t="s">
        <v>932</v>
      </c>
      <c r="C960" s="192" t="s">
        <v>873</v>
      </c>
      <c r="D960" s="201" t="s">
        <v>874</v>
      </c>
      <c r="E960" s="192">
        <v>108.2</v>
      </c>
      <c r="F960" s="192">
        <v>98.4</v>
      </c>
      <c r="G960" s="192">
        <v>103.2</v>
      </c>
    </row>
    <row r="961" spans="1:7" x14ac:dyDescent="0.3">
      <c r="A961" s="191" t="s">
        <v>837</v>
      </c>
      <c r="B961" s="191" t="s">
        <v>932</v>
      </c>
      <c r="C961" s="192" t="s">
        <v>875</v>
      </c>
      <c r="D961" s="201" t="s">
        <v>876</v>
      </c>
      <c r="E961" s="192">
        <v>107.6</v>
      </c>
      <c r="F961" s="192">
        <v>92.1</v>
      </c>
      <c r="G961" s="192">
        <v>100.8</v>
      </c>
    </row>
    <row r="962" spans="1:7" x14ac:dyDescent="0.3">
      <c r="A962" s="191" t="s">
        <v>884</v>
      </c>
      <c r="B962" s="191" t="s">
        <v>933</v>
      </c>
      <c r="C962" s="192" t="s">
        <v>1301</v>
      </c>
      <c r="D962" s="202" t="s">
        <v>1599</v>
      </c>
      <c r="E962" s="192">
        <v>0</v>
      </c>
      <c r="F962" s="192">
        <v>102.2</v>
      </c>
      <c r="G962" s="192">
        <v>102.2</v>
      </c>
    </row>
    <row r="963" spans="1:7" x14ac:dyDescent="0.3">
      <c r="A963" s="191" t="s">
        <v>884</v>
      </c>
      <c r="B963" s="191" t="s">
        <v>933</v>
      </c>
      <c r="C963" s="192" t="s">
        <v>839</v>
      </c>
      <c r="D963" s="201" t="s">
        <v>840</v>
      </c>
      <c r="E963" s="192">
        <v>119.2</v>
      </c>
      <c r="F963" s="192">
        <v>99.1</v>
      </c>
      <c r="G963" s="192">
        <v>105</v>
      </c>
    </row>
    <row r="964" spans="1:7" x14ac:dyDescent="0.3">
      <c r="A964" s="191" t="s">
        <v>884</v>
      </c>
      <c r="B964" s="191" t="s">
        <v>933</v>
      </c>
      <c r="C964" s="192" t="s">
        <v>841</v>
      </c>
      <c r="D964" s="201" t="s">
        <v>842</v>
      </c>
      <c r="E964" s="192">
        <v>155.30000000000001</v>
      </c>
      <c r="F964" s="192">
        <v>85.4</v>
      </c>
      <c r="G964" s="192">
        <v>94.9</v>
      </c>
    </row>
    <row r="965" spans="1:7" x14ac:dyDescent="0.3">
      <c r="A965" s="191" t="s">
        <v>884</v>
      </c>
      <c r="B965" s="191" t="s">
        <v>933</v>
      </c>
      <c r="C965" s="192" t="s">
        <v>843</v>
      </c>
      <c r="D965" s="201" t="s">
        <v>844</v>
      </c>
      <c r="E965" s="192">
        <v>159.4</v>
      </c>
      <c r="F965" s="192">
        <v>77.900000000000006</v>
      </c>
      <c r="G965" s="192">
        <v>117.2</v>
      </c>
    </row>
    <row r="966" spans="1:7" x14ac:dyDescent="0.3">
      <c r="A966" s="191" t="s">
        <v>884</v>
      </c>
      <c r="B966" s="191" t="s">
        <v>933</v>
      </c>
      <c r="C966" s="192" t="s">
        <v>845</v>
      </c>
      <c r="D966" s="201" t="s">
        <v>846</v>
      </c>
      <c r="E966" s="192">
        <v>118</v>
      </c>
      <c r="F966" s="192">
        <v>96.7</v>
      </c>
      <c r="G966" s="192">
        <v>109.6</v>
      </c>
    </row>
    <row r="967" spans="1:7" x14ac:dyDescent="0.3">
      <c r="A967" s="191" t="s">
        <v>884</v>
      </c>
      <c r="B967" s="191" t="s">
        <v>933</v>
      </c>
      <c r="C967" s="192" t="s">
        <v>847</v>
      </c>
      <c r="D967" s="201" t="s">
        <v>848</v>
      </c>
      <c r="E967" s="192">
        <v>146.5</v>
      </c>
      <c r="F967" s="192">
        <v>88.1</v>
      </c>
      <c r="G967" s="192">
        <v>118.1</v>
      </c>
    </row>
    <row r="968" spans="1:7" x14ac:dyDescent="0.3">
      <c r="A968" s="191" t="s">
        <v>884</v>
      </c>
      <c r="B968" s="191" t="s">
        <v>933</v>
      </c>
      <c r="C968" s="192" t="s">
        <v>849</v>
      </c>
      <c r="D968" s="201" t="s">
        <v>850</v>
      </c>
      <c r="E968" s="192">
        <v>239.2</v>
      </c>
      <c r="F968" s="192">
        <v>86.7</v>
      </c>
      <c r="G968" s="192">
        <v>145.19999999999999</v>
      </c>
    </row>
    <row r="969" spans="1:7" x14ac:dyDescent="0.3">
      <c r="A969" s="191" t="s">
        <v>884</v>
      </c>
      <c r="B969" s="191" t="s">
        <v>933</v>
      </c>
      <c r="C969" s="192" t="s">
        <v>851</v>
      </c>
      <c r="D969" s="201" t="s">
        <v>852</v>
      </c>
      <c r="E969" s="192">
        <v>122.8</v>
      </c>
      <c r="F969" s="192">
        <v>86.9</v>
      </c>
      <c r="G969" s="192">
        <v>111.4</v>
      </c>
    </row>
    <row r="970" spans="1:7" x14ac:dyDescent="0.3">
      <c r="A970" s="191" t="s">
        <v>884</v>
      </c>
      <c r="B970" s="191" t="s">
        <v>933</v>
      </c>
      <c r="C970" s="192" t="s">
        <v>853</v>
      </c>
      <c r="D970" s="201" t="s">
        <v>854</v>
      </c>
      <c r="E970" s="192">
        <v>168</v>
      </c>
      <c r="F970" s="192">
        <v>85</v>
      </c>
      <c r="G970" s="192">
        <v>121.8</v>
      </c>
    </row>
    <row r="971" spans="1:7" x14ac:dyDescent="0.3">
      <c r="A971" s="191" t="s">
        <v>884</v>
      </c>
      <c r="B971" s="191" t="s">
        <v>933</v>
      </c>
      <c r="C971" s="192" t="s">
        <v>855</v>
      </c>
      <c r="D971" s="201" t="s">
        <v>856</v>
      </c>
      <c r="E971" s="192">
        <v>141.6</v>
      </c>
      <c r="F971" s="192">
        <v>87.9</v>
      </c>
      <c r="G971" s="192">
        <v>119.2</v>
      </c>
    </row>
    <row r="972" spans="1:7" x14ac:dyDescent="0.3">
      <c r="A972" s="191" t="s">
        <v>884</v>
      </c>
      <c r="B972" s="191" t="s">
        <v>933</v>
      </c>
      <c r="C972" s="192" t="s">
        <v>857</v>
      </c>
      <c r="D972" s="201" t="s">
        <v>858</v>
      </c>
      <c r="E972" s="192">
        <v>105.5</v>
      </c>
      <c r="F972" s="192">
        <v>78.7</v>
      </c>
      <c r="G972" s="192">
        <v>99.2</v>
      </c>
    </row>
    <row r="973" spans="1:7" x14ac:dyDescent="0.3">
      <c r="A973" s="191" t="s">
        <v>884</v>
      </c>
      <c r="B973" s="191" t="s">
        <v>933</v>
      </c>
      <c r="C973" s="192" t="s">
        <v>859</v>
      </c>
      <c r="D973" s="201" t="s">
        <v>860</v>
      </c>
      <c r="E973" s="192">
        <v>162.69999999999999</v>
      </c>
      <c r="F973" s="192">
        <v>84.4</v>
      </c>
      <c r="G973" s="192">
        <v>110.4</v>
      </c>
    </row>
    <row r="974" spans="1:7" x14ac:dyDescent="0.3">
      <c r="A974" s="191" t="s">
        <v>884</v>
      </c>
      <c r="B974" s="191" t="s">
        <v>933</v>
      </c>
      <c r="C974" s="192" t="s">
        <v>861</v>
      </c>
      <c r="D974" s="201" t="s">
        <v>862</v>
      </c>
      <c r="E974" s="192">
        <v>107.3</v>
      </c>
      <c r="F974" s="192">
        <v>84.4</v>
      </c>
      <c r="G974" s="192">
        <v>92.1</v>
      </c>
    </row>
    <row r="975" spans="1:7" x14ac:dyDescent="0.3">
      <c r="A975" s="191" t="s">
        <v>884</v>
      </c>
      <c r="B975" s="191" t="s">
        <v>933</v>
      </c>
      <c r="C975" s="192" t="s">
        <v>863</v>
      </c>
      <c r="D975" s="201" t="s">
        <v>864</v>
      </c>
      <c r="E975" s="192">
        <v>143.1</v>
      </c>
      <c r="F975" s="192">
        <v>95.7</v>
      </c>
      <c r="G975" s="192">
        <v>129.5</v>
      </c>
    </row>
    <row r="976" spans="1:7" x14ac:dyDescent="0.3">
      <c r="A976" s="191" t="s">
        <v>884</v>
      </c>
      <c r="B976" s="191" t="s">
        <v>933</v>
      </c>
      <c r="C976" s="192" t="s">
        <v>865</v>
      </c>
      <c r="D976" s="201" t="s">
        <v>866</v>
      </c>
      <c r="E976" s="192">
        <v>120.1</v>
      </c>
      <c r="F976" s="192">
        <v>91.7</v>
      </c>
      <c r="G976" s="192">
        <v>103.6</v>
      </c>
    </row>
    <row r="977" spans="1:7" x14ac:dyDescent="0.3">
      <c r="A977" s="191" t="s">
        <v>884</v>
      </c>
      <c r="B977" s="191" t="s">
        <v>933</v>
      </c>
      <c r="C977" s="192" t="s">
        <v>867</v>
      </c>
      <c r="D977" s="201" t="s">
        <v>868</v>
      </c>
      <c r="E977" s="192">
        <v>129.6</v>
      </c>
      <c r="F977" s="192">
        <v>88.2</v>
      </c>
      <c r="G977" s="192">
        <v>106.7</v>
      </c>
    </row>
    <row r="978" spans="1:7" x14ac:dyDescent="0.3">
      <c r="A978" s="191" t="s">
        <v>884</v>
      </c>
      <c r="B978" s="191" t="s">
        <v>933</v>
      </c>
      <c r="C978" s="192" t="s">
        <v>869</v>
      </c>
      <c r="D978" s="201" t="s">
        <v>870</v>
      </c>
      <c r="E978" s="192">
        <v>131.1</v>
      </c>
      <c r="F978" s="192">
        <v>82.8</v>
      </c>
      <c r="G978" s="192">
        <v>120.7</v>
      </c>
    </row>
    <row r="979" spans="1:7" x14ac:dyDescent="0.3">
      <c r="A979" s="191" t="s">
        <v>884</v>
      </c>
      <c r="B979" s="191" t="s">
        <v>933</v>
      </c>
      <c r="C979" s="192" t="s">
        <v>871</v>
      </c>
      <c r="D979" s="201" t="s">
        <v>872</v>
      </c>
      <c r="E979" s="192">
        <v>103.7</v>
      </c>
      <c r="F979" s="192">
        <v>90</v>
      </c>
      <c r="G979" s="192">
        <v>97.9</v>
      </c>
    </row>
    <row r="980" spans="1:7" x14ac:dyDescent="0.3">
      <c r="A980" s="191" t="s">
        <v>884</v>
      </c>
      <c r="B980" s="191" t="s">
        <v>933</v>
      </c>
      <c r="C980" s="192" t="s">
        <v>873</v>
      </c>
      <c r="D980" s="201" t="s">
        <v>874</v>
      </c>
      <c r="E980" s="192">
        <v>114.4</v>
      </c>
      <c r="F980" s="192">
        <v>72.099999999999994</v>
      </c>
      <c r="G980" s="192">
        <v>93</v>
      </c>
    </row>
    <row r="981" spans="1:7" x14ac:dyDescent="0.3">
      <c r="A981" s="191" t="s">
        <v>884</v>
      </c>
      <c r="B981" s="191" t="s">
        <v>933</v>
      </c>
      <c r="C981" s="192" t="s">
        <v>875</v>
      </c>
      <c r="D981" s="201" t="s">
        <v>876</v>
      </c>
      <c r="E981" s="192">
        <v>126.1</v>
      </c>
      <c r="F981" s="192">
        <v>86.4</v>
      </c>
      <c r="G981" s="192">
        <v>108.6</v>
      </c>
    </row>
    <row r="982" spans="1:7" x14ac:dyDescent="0.3">
      <c r="A982" s="191" t="s">
        <v>877</v>
      </c>
      <c r="B982" s="191" t="s">
        <v>934</v>
      </c>
      <c r="C982" s="192" t="s">
        <v>1301</v>
      </c>
      <c r="D982" s="202" t="s">
        <v>1599</v>
      </c>
      <c r="E982" s="192">
        <v>0</v>
      </c>
      <c r="F982" s="192">
        <v>106.2</v>
      </c>
      <c r="G982" s="192">
        <v>106.2</v>
      </c>
    </row>
    <row r="983" spans="1:7" x14ac:dyDescent="0.3">
      <c r="A983" s="191" t="s">
        <v>877</v>
      </c>
      <c r="B983" s="191" t="s">
        <v>934</v>
      </c>
      <c r="C983" s="192" t="s">
        <v>839</v>
      </c>
      <c r="D983" s="201" t="s">
        <v>840</v>
      </c>
      <c r="E983" s="192">
        <v>114.7</v>
      </c>
      <c r="F983" s="192">
        <v>100.4</v>
      </c>
      <c r="G983" s="192">
        <v>104.6</v>
      </c>
    </row>
    <row r="984" spans="1:7" x14ac:dyDescent="0.3">
      <c r="A984" s="191" t="s">
        <v>877</v>
      </c>
      <c r="B984" s="191" t="s">
        <v>934</v>
      </c>
      <c r="C984" s="192" t="s">
        <v>841</v>
      </c>
      <c r="D984" s="201" t="s">
        <v>842</v>
      </c>
      <c r="E984" s="192">
        <v>126.3</v>
      </c>
      <c r="F984" s="192">
        <v>67.3</v>
      </c>
      <c r="G984" s="192">
        <v>75.2</v>
      </c>
    </row>
    <row r="985" spans="1:7" x14ac:dyDescent="0.3">
      <c r="A985" s="191" t="s">
        <v>877</v>
      </c>
      <c r="B985" s="191" t="s">
        <v>934</v>
      </c>
      <c r="C985" s="192" t="s">
        <v>843</v>
      </c>
      <c r="D985" s="201" t="s">
        <v>844</v>
      </c>
      <c r="E985" s="192">
        <v>132.4</v>
      </c>
      <c r="F985" s="192">
        <v>57.2</v>
      </c>
      <c r="G985" s="192">
        <v>93.5</v>
      </c>
    </row>
    <row r="986" spans="1:7" x14ac:dyDescent="0.3">
      <c r="A986" s="191" t="s">
        <v>877</v>
      </c>
      <c r="B986" s="191" t="s">
        <v>934</v>
      </c>
      <c r="C986" s="192" t="s">
        <v>845</v>
      </c>
      <c r="D986" s="201" t="s">
        <v>846</v>
      </c>
      <c r="E986" s="192">
        <v>146.80000000000001</v>
      </c>
      <c r="F986" s="192">
        <v>74.099999999999994</v>
      </c>
      <c r="G986" s="192">
        <v>118.2</v>
      </c>
    </row>
    <row r="987" spans="1:7" x14ac:dyDescent="0.3">
      <c r="A987" s="191" t="s">
        <v>877</v>
      </c>
      <c r="B987" s="191" t="s">
        <v>934</v>
      </c>
      <c r="C987" s="192" t="s">
        <v>847</v>
      </c>
      <c r="D987" s="201" t="s">
        <v>848</v>
      </c>
      <c r="E987" s="192">
        <v>137.6</v>
      </c>
      <c r="F987" s="192">
        <v>68.400000000000006</v>
      </c>
      <c r="G987" s="192">
        <v>103.9</v>
      </c>
    </row>
    <row r="988" spans="1:7" x14ac:dyDescent="0.3">
      <c r="A988" s="191" t="s">
        <v>877</v>
      </c>
      <c r="B988" s="191" t="s">
        <v>934</v>
      </c>
      <c r="C988" s="192" t="s">
        <v>849</v>
      </c>
      <c r="D988" s="201" t="s">
        <v>850</v>
      </c>
      <c r="E988" s="192">
        <v>177</v>
      </c>
      <c r="F988" s="192">
        <v>70.5</v>
      </c>
      <c r="G988" s="192">
        <v>111.4</v>
      </c>
    </row>
    <row r="989" spans="1:7" x14ac:dyDescent="0.3">
      <c r="A989" s="191" t="s">
        <v>877</v>
      </c>
      <c r="B989" s="191" t="s">
        <v>934</v>
      </c>
      <c r="C989" s="192" t="s">
        <v>851</v>
      </c>
      <c r="D989" s="201" t="s">
        <v>852</v>
      </c>
      <c r="E989" s="192">
        <v>149</v>
      </c>
      <c r="F989" s="192">
        <v>75.099999999999994</v>
      </c>
      <c r="G989" s="192">
        <v>125.5</v>
      </c>
    </row>
    <row r="990" spans="1:7" x14ac:dyDescent="0.3">
      <c r="A990" s="191" t="s">
        <v>877</v>
      </c>
      <c r="B990" s="191" t="s">
        <v>934</v>
      </c>
      <c r="C990" s="192" t="s">
        <v>853</v>
      </c>
      <c r="D990" s="201" t="s">
        <v>854</v>
      </c>
      <c r="E990" s="192">
        <v>112.1</v>
      </c>
      <c r="F990" s="192">
        <v>67.8</v>
      </c>
      <c r="G990" s="192">
        <v>87.4</v>
      </c>
    </row>
    <row r="991" spans="1:7" x14ac:dyDescent="0.3">
      <c r="A991" s="191" t="s">
        <v>877</v>
      </c>
      <c r="B991" s="191" t="s">
        <v>934</v>
      </c>
      <c r="C991" s="192" t="s">
        <v>855</v>
      </c>
      <c r="D991" s="201" t="s">
        <v>856</v>
      </c>
      <c r="E991" s="192">
        <v>125.9</v>
      </c>
      <c r="F991" s="192">
        <v>70.400000000000006</v>
      </c>
      <c r="G991" s="192">
        <v>102.7</v>
      </c>
    </row>
    <row r="992" spans="1:7" x14ac:dyDescent="0.3">
      <c r="A992" s="191" t="s">
        <v>877</v>
      </c>
      <c r="B992" s="191" t="s">
        <v>934</v>
      </c>
      <c r="C992" s="192" t="s">
        <v>857</v>
      </c>
      <c r="D992" s="201" t="s">
        <v>858</v>
      </c>
      <c r="E992" s="192">
        <v>85.1</v>
      </c>
      <c r="F992" s="192">
        <v>60.7</v>
      </c>
      <c r="G992" s="192">
        <v>79.5</v>
      </c>
    </row>
    <row r="993" spans="1:7" x14ac:dyDescent="0.3">
      <c r="A993" s="191" t="s">
        <v>877</v>
      </c>
      <c r="B993" s="191" t="s">
        <v>934</v>
      </c>
      <c r="C993" s="192" t="s">
        <v>859</v>
      </c>
      <c r="D993" s="201" t="s">
        <v>860</v>
      </c>
      <c r="E993" s="192">
        <v>119.2</v>
      </c>
      <c r="F993" s="192">
        <v>66.3</v>
      </c>
      <c r="G993" s="192">
        <v>83.8</v>
      </c>
    </row>
    <row r="994" spans="1:7" x14ac:dyDescent="0.3">
      <c r="A994" s="191" t="s">
        <v>877</v>
      </c>
      <c r="B994" s="191" t="s">
        <v>934</v>
      </c>
      <c r="C994" s="192" t="s">
        <v>861</v>
      </c>
      <c r="D994" s="201" t="s">
        <v>862</v>
      </c>
      <c r="E994" s="192">
        <v>139.9</v>
      </c>
      <c r="F994" s="192">
        <v>66.3</v>
      </c>
      <c r="G994" s="192">
        <v>91.2</v>
      </c>
    </row>
    <row r="995" spans="1:7" x14ac:dyDescent="0.3">
      <c r="A995" s="191" t="s">
        <v>877</v>
      </c>
      <c r="B995" s="191" t="s">
        <v>934</v>
      </c>
      <c r="C995" s="192" t="s">
        <v>863</v>
      </c>
      <c r="D995" s="201" t="s">
        <v>864</v>
      </c>
      <c r="E995" s="192">
        <v>119.4</v>
      </c>
      <c r="F995" s="192">
        <v>72.7</v>
      </c>
      <c r="G995" s="192">
        <v>105.9</v>
      </c>
    </row>
    <row r="996" spans="1:7" x14ac:dyDescent="0.3">
      <c r="A996" s="191" t="s">
        <v>877</v>
      </c>
      <c r="B996" s="191" t="s">
        <v>934</v>
      </c>
      <c r="C996" s="192" t="s">
        <v>865</v>
      </c>
      <c r="D996" s="201" t="s">
        <v>866</v>
      </c>
      <c r="E996" s="192">
        <v>117.3</v>
      </c>
      <c r="F996" s="192">
        <v>56.5</v>
      </c>
      <c r="G996" s="192">
        <v>81.900000000000006</v>
      </c>
    </row>
    <row r="997" spans="1:7" x14ac:dyDescent="0.3">
      <c r="A997" s="191" t="s">
        <v>877</v>
      </c>
      <c r="B997" s="191" t="s">
        <v>934</v>
      </c>
      <c r="C997" s="192" t="s">
        <v>867</v>
      </c>
      <c r="D997" s="201" t="s">
        <v>868</v>
      </c>
      <c r="E997" s="192">
        <v>126</v>
      </c>
      <c r="F997" s="192">
        <v>67.5</v>
      </c>
      <c r="G997" s="192">
        <v>93.7</v>
      </c>
    </row>
    <row r="998" spans="1:7" x14ac:dyDescent="0.3">
      <c r="A998" s="191" t="s">
        <v>877</v>
      </c>
      <c r="B998" s="191" t="s">
        <v>934</v>
      </c>
      <c r="C998" s="192" t="s">
        <v>869</v>
      </c>
      <c r="D998" s="201" t="s">
        <v>870</v>
      </c>
      <c r="E998" s="192">
        <v>131.1</v>
      </c>
      <c r="F998" s="192">
        <v>66.8</v>
      </c>
      <c r="G998" s="192">
        <v>117.2</v>
      </c>
    </row>
    <row r="999" spans="1:7" x14ac:dyDescent="0.3">
      <c r="A999" s="191" t="s">
        <v>877</v>
      </c>
      <c r="B999" s="191" t="s">
        <v>934</v>
      </c>
      <c r="C999" s="192" t="s">
        <v>871</v>
      </c>
      <c r="D999" s="201" t="s">
        <v>872</v>
      </c>
      <c r="E999" s="192">
        <v>105.4</v>
      </c>
      <c r="F999" s="192">
        <v>66.2</v>
      </c>
      <c r="G999" s="192">
        <v>88.8</v>
      </c>
    </row>
    <row r="1000" spans="1:7" x14ac:dyDescent="0.3">
      <c r="A1000" s="191" t="s">
        <v>877</v>
      </c>
      <c r="B1000" s="191" t="s">
        <v>934</v>
      </c>
      <c r="C1000" s="192" t="s">
        <v>873</v>
      </c>
      <c r="D1000" s="201" t="s">
        <v>874</v>
      </c>
      <c r="E1000" s="192">
        <v>109.9</v>
      </c>
      <c r="F1000" s="192">
        <v>67.5</v>
      </c>
      <c r="G1000" s="192">
        <v>88.5</v>
      </c>
    </row>
    <row r="1001" spans="1:7" x14ac:dyDescent="0.3">
      <c r="A1001" s="191" t="s">
        <v>877</v>
      </c>
      <c r="B1001" s="191" t="s">
        <v>934</v>
      </c>
      <c r="C1001" s="192" t="s">
        <v>875</v>
      </c>
      <c r="D1001" s="201" t="s">
        <v>876</v>
      </c>
      <c r="E1001" s="192">
        <v>122.6</v>
      </c>
      <c r="F1001" s="192">
        <v>70.8</v>
      </c>
      <c r="G1001" s="192">
        <v>99.8</v>
      </c>
    </row>
    <row r="1002" spans="1:7" x14ac:dyDescent="0.3">
      <c r="A1002" s="191" t="s">
        <v>884</v>
      </c>
      <c r="B1002" s="191" t="s">
        <v>935</v>
      </c>
      <c r="C1002" s="192" t="s">
        <v>1301</v>
      </c>
      <c r="D1002" s="202" t="s">
        <v>1599</v>
      </c>
      <c r="E1002" s="192">
        <v>0</v>
      </c>
      <c r="F1002" s="192">
        <v>102.2</v>
      </c>
      <c r="G1002" s="192">
        <v>102.2</v>
      </c>
    </row>
    <row r="1003" spans="1:7" x14ac:dyDescent="0.3">
      <c r="A1003" s="191" t="s">
        <v>884</v>
      </c>
      <c r="B1003" s="191" t="s">
        <v>935</v>
      </c>
      <c r="C1003" s="192" t="s">
        <v>839</v>
      </c>
      <c r="D1003" s="201" t="s">
        <v>840</v>
      </c>
      <c r="E1003" s="192">
        <v>99.4</v>
      </c>
      <c r="F1003" s="192">
        <v>99.1</v>
      </c>
      <c r="G1003" s="192">
        <v>99.2</v>
      </c>
    </row>
    <row r="1004" spans="1:7" x14ac:dyDescent="0.3">
      <c r="A1004" s="191" t="s">
        <v>884</v>
      </c>
      <c r="B1004" s="191" t="s">
        <v>935</v>
      </c>
      <c r="C1004" s="192" t="s">
        <v>841</v>
      </c>
      <c r="D1004" s="201" t="s">
        <v>842</v>
      </c>
      <c r="E1004" s="192">
        <v>130</v>
      </c>
      <c r="F1004" s="192">
        <v>85.4</v>
      </c>
      <c r="G1004" s="192">
        <v>91.4</v>
      </c>
    </row>
    <row r="1005" spans="1:7" x14ac:dyDescent="0.3">
      <c r="A1005" s="191" t="s">
        <v>884</v>
      </c>
      <c r="B1005" s="191" t="s">
        <v>935</v>
      </c>
      <c r="C1005" s="192" t="s">
        <v>843</v>
      </c>
      <c r="D1005" s="201" t="s">
        <v>844</v>
      </c>
      <c r="E1005" s="192">
        <v>136.69999999999999</v>
      </c>
      <c r="F1005" s="192">
        <v>77.900000000000006</v>
      </c>
      <c r="G1005" s="192">
        <v>106.3</v>
      </c>
    </row>
    <row r="1006" spans="1:7" x14ac:dyDescent="0.3">
      <c r="A1006" s="191" t="s">
        <v>884</v>
      </c>
      <c r="B1006" s="191" t="s">
        <v>935</v>
      </c>
      <c r="C1006" s="192" t="s">
        <v>845</v>
      </c>
      <c r="D1006" s="201" t="s">
        <v>846</v>
      </c>
      <c r="E1006" s="192">
        <v>121.1</v>
      </c>
      <c r="F1006" s="192">
        <v>96.7</v>
      </c>
      <c r="G1006" s="192">
        <v>111.4</v>
      </c>
    </row>
    <row r="1007" spans="1:7" x14ac:dyDescent="0.3">
      <c r="A1007" s="191" t="s">
        <v>884</v>
      </c>
      <c r="B1007" s="191" t="s">
        <v>935</v>
      </c>
      <c r="C1007" s="192" t="s">
        <v>847</v>
      </c>
      <c r="D1007" s="201" t="s">
        <v>848</v>
      </c>
      <c r="E1007" s="192">
        <v>122</v>
      </c>
      <c r="F1007" s="192">
        <v>88.1</v>
      </c>
      <c r="G1007" s="192">
        <v>105.5</v>
      </c>
    </row>
    <row r="1008" spans="1:7" x14ac:dyDescent="0.3">
      <c r="A1008" s="191" t="s">
        <v>884</v>
      </c>
      <c r="B1008" s="191" t="s">
        <v>935</v>
      </c>
      <c r="C1008" s="192" t="s">
        <v>849</v>
      </c>
      <c r="D1008" s="201" t="s">
        <v>850</v>
      </c>
      <c r="E1008" s="192">
        <v>165.5</v>
      </c>
      <c r="F1008" s="192">
        <v>86.7</v>
      </c>
      <c r="G1008" s="192">
        <v>116.9</v>
      </c>
    </row>
    <row r="1009" spans="1:7" x14ac:dyDescent="0.3">
      <c r="A1009" s="191" t="s">
        <v>884</v>
      </c>
      <c r="B1009" s="191" t="s">
        <v>935</v>
      </c>
      <c r="C1009" s="192" t="s">
        <v>851</v>
      </c>
      <c r="D1009" s="201" t="s">
        <v>852</v>
      </c>
      <c r="E1009" s="192">
        <v>108.6</v>
      </c>
      <c r="F1009" s="192">
        <v>86.9</v>
      </c>
      <c r="G1009" s="192">
        <v>101.7</v>
      </c>
    </row>
    <row r="1010" spans="1:7" x14ac:dyDescent="0.3">
      <c r="A1010" s="191" t="s">
        <v>884</v>
      </c>
      <c r="B1010" s="191" t="s">
        <v>935</v>
      </c>
      <c r="C1010" s="192" t="s">
        <v>853</v>
      </c>
      <c r="D1010" s="201" t="s">
        <v>854</v>
      </c>
      <c r="E1010" s="192">
        <v>132.5</v>
      </c>
      <c r="F1010" s="192">
        <v>85</v>
      </c>
      <c r="G1010" s="192">
        <v>106</v>
      </c>
    </row>
    <row r="1011" spans="1:7" x14ac:dyDescent="0.3">
      <c r="A1011" s="191" t="s">
        <v>884</v>
      </c>
      <c r="B1011" s="191" t="s">
        <v>935</v>
      </c>
      <c r="C1011" s="192" t="s">
        <v>855</v>
      </c>
      <c r="D1011" s="201" t="s">
        <v>856</v>
      </c>
      <c r="E1011" s="192">
        <v>110.6</v>
      </c>
      <c r="F1011" s="192">
        <v>87.9</v>
      </c>
      <c r="G1011" s="192">
        <v>101.1</v>
      </c>
    </row>
    <row r="1012" spans="1:7" x14ac:dyDescent="0.3">
      <c r="A1012" s="191" t="s">
        <v>884</v>
      </c>
      <c r="B1012" s="191" t="s">
        <v>935</v>
      </c>
      <c r="C1012" s="192" t="s">
        <v>857</v>
      </c>
      <c r="D1012" s="201" t="s">
        <v>858</v>
      </c>
      <c r="E1012" s="192">
        <v>94.8</v>
      </c>
      <c r="F1012" s="192">
        <v>78.7</v>
      </c>
      <c r="G1012" s="192">
        <v>91.1</v>
      </c>
    </row>
    <row r="1013" spans="1:7" x14ac:dyDescent="0.3">
      <c r="A1013" s="191" t="s">
        <v>884</v>
      </c>
      <c r="B1013" s="191" t="s">
        <v>935</v>
      </c>
      <c r="C1013" s="192" t="s">
        <v>859</v>
      </c>
      <c r="D1013" s="201" t="s">
        <v>860</v>
      </c>
      <c r="E1013" s="192">
        <v>142</v>
      </c>
      <c r="F1013" s="192">
        <v>84.4</v>
      </c>
      <c r="G1013" s="192">
        <v>103.5</v>
      </c>
    </row>
    <row r="1014" spans="1:7" x14ac:dyDescent="0.3">
      <c r="A1014" s="191" t="s">
        <v>884</v>
      </c>
      <c r="B1014" s="191" t="s">
        <v>935</v>
      </c>
      <c r="C1014" s="192" t="s">
        <v>861</v>
      </c>
      <c r="D1014" s="201" t="s">
        <v>862</v>
      </c>
      <c r="E1014" s="192">
        <v>98.9</v>
      </c>
      <c r="F1014" s="192">
        <v>84.4</v>
      </c>
      <c r="G1014" s="192">
        <v>89.3</v>
      </c>
    </row>
    <row r="1015" spans="1:7" x14ac:dyDescent="0.3">
      <c r="A1015" s="191" t="s">
        <v>884</v>
      </c>
      <c r="B1015" s="191" t="s">
        <v>935</v>
      </c>
      <c r="C1015" s="192" t="s">
        <v>863</v>
      </c>
      <c r="D1015" s="201" t="s">
        <v>864</v>
      </c>
      <c r="E1015" s="192">
        <v>122.5</v>
      </c>
      <c r="F1015" s="192">
        <v>95.7</v>
      </c>
      <c r="G1015" s="192">
        <v>114.8</v>
      </c>
    </row>
    <row r="1016" spans="1:7" x14ac:dyDescent="0.3">
      <c r="A1016" s="191" t="s">
        <v>884</v>
      </c>
      <c r="B1016" s="191" t="s">
        <v>935</v>
      </c>
      <c r="C1016" s="192" t="s">
        <v>865</v>
      </c>
      <c r="D1016" s="201" t="s">
        <v>866</v>
      </c>
      <c r="E1016" s="192">
        <v>112.3</v>
      </c>
      <c r="F1016" s="192">
        <v>91.7</v>
      </c>
      <c r="G1016" s="192">
        <v>100.3</v>
      </c>
    </row>
    <row r="1017" spans="1:7" x14ac:dyDescent="0.3">
      <c r="A1017" s="191" t="s">
        <v>884</v>
      </c>
      <c r="B1017" s="191" t="s">
        <v>935</v>
      </c>
      <c r="C1017" s="192" t="s">
        <v>867</v>
      </c>
      <c r="D1017" s="201" t="s">
        <v>868</v>
      </c>
      <c r="E1017" s="192">
        <v>115.1</v>
      </c>
      <c r="F1017" s="192">
        <v>88.2</v>
      </c>
      <c r="G1017" s="192">
        <v>100.2</v>
      </c>
    </row>
    <row r="1018" spans="1:7" x14ac:dyDescent="0.3">
      <c r="A1018" s="191" t="s">
        <v>884</v>
      </c>
      <c r="B1018" s="191" t="s">
        <v>935</v>
      </c>
      <c r="C1018" s="192" t="s">
        <v>869</v>
      </c>
      <c r="D1018" s="201" t="s">
        <v>870</v>
      </c>
      <c r="E1018" s="192">
        <v>131.1</v>
      </c>
      <c r="F1018" s="192">
        <v>82.8</v>
      </c>
      <c r="G1018" s="192">
        <v>120.7</v>
      </c>
    </row>
    <row r="1019" spans="1:7" x14ac:dyDescent="0.3">
      <c r="A1019" s="191" t="s">
        <v>884</v>
      </c>
      <c r="B1019" s="191" t="s">
        <v>935</v>
      </c>
      <c r="C1019" s="192" t="s">
        <v>871</v>
      </c>
      <c r="D1019" s="201" t="s">
        <v>872</v>
      </c>
      <c r="E1019" s="192">
        <v>103.9</v>
      </c>
      <c r="F1019" s="192">
        <v>90</v>
      </c>
      <c r="G1019" s="192">
        <v>98.1</v>
      </c>
    </row>
    <row r="1020" spans="1:7" x14ac:dyDescent="0.3">
      <c r="A1020" s="191" t="s">
        <v>884</v>
      </c>
      <c r="B1020" s="191" t="s">
        <v>935</v>
      </c>
      <c r="C1020" s="192" t="s">
        <v>873</v>
      </c>
      <c r="D1020" s="201" t="s">
        <v>874</v>
      </c>
      <c r="E1020" s="192">
        <v>108.4</v>
      </c>
      <c r="F1020" s="192">
        <v>72.099999999999994</v>
      </c>
      <c r="G1020" s="192">
        <v>90</v>
      </c>
    </row>
    <row r="1021" spans="1:7" x14ac:dyDescent="0.3">
      <c r="A1021" s="191" t="s">
        <v>884</v>
      </c>
      <c r="B1021" s="191" t="s">
        <v>935</v>
      </c>
      <c r="C1021" s="192" t="s">
        <v>875</v>
      </c>
      <c r="D1021" s="201" t="s">
        <v>876</v>
      </c>
      <c r="E1021" s="192">
        <v>112.8</v>
      </c>
      <c r="F1021" s="192">
        <v>86.4</v>
      </c>
      <c r="G1021" s="192">
        <v>101.1</v>
      </c>
    </row>
    <row r="1022" spans="1:7" x14ac:dyDescent="0.3">
      <c r="A1022" s="191" t="s">
        <v>888</v>
      </c>
      <c r="B1022" s="191" t="s">
        <v>936</v>
      </c>
      <c r="C1022" s="192" t="s">
        <v>1301</v>
      </c>
      <c r="D1022" s="202" t="s">
        <v>1599</v>
      </c>
      <c r="E1022" s="192">
        <v>0</v>
      </c>
      <c r="F1022" s="192">
        <v>101.6</v>
      </c>
      <c r="G1022" s="192">
        <v>101.6</v>
      </c>
    </row>
    <row r="1023" spans="1:7" x14ac:dyDescent="0.3">
      <c r="A1023" s="191" t="s">
        <v>888</v>
      </c>
      <c r="B1023" s="191" t="s">
        <v>936</v>
      </c>
      <c r="C1023" s="192" t="s">
        <v>839</v>
      </c>
      <c r="D1023" s="201" t="s">
        <v>840</v>
      </c>
      <c r="E1023" s="192">
        <v>102.3</v>
      </c>
      <c r="F1023" s="192">
        <v>95.8</v>
      </c>
      <c r="G1023" s="192">
        <v>97.7</v>
      </c>
    </row>
    <row r="1024" spans="1:7" x14ac:dyDescent="0.3">
      <c r="A1024" s="191" t="s">
        <v>888</v>
      </c>
      <c r="B1024" s="191" t="s">
        <v>936</v>
      </c>
      <c r="C1024" s="192" t="s">
        <v>841</v>
      </c>
      <c r="D1024" s="201" t="s">
        <v>842</v>
      </c>
      <c r="E1024" s="192">
        <v>102.6</v>
      </c>
      <c r="F1024" s="192">
        <v>62</v>
      </c>
      <c r="G1024" s="192">
        <v>67.5</v>
      </c>
    </row>
    <row r="1025" spans="1:7" x14ac:dyDescent="0.3">
      <c r="A1025" s="191" t="s">
        <v>888</v>
      </c>
      <c r="B1025" s="191" t="s">
        <v>936</v>
      </c>
      <c r="C1025" s="192" t="s">
        <v>843</v>
      </c>
      <c r="D1025" s="201" t="s">
        <v>844</v>
      </c>
      <c r="E1025" s="192">
        <v>138.19999999999999</v>
      </c>
      <c r="F1025" s="192">
        <v>55.9</v>
      </c>
      <c r="G1025" s="192">
        <v>95.6</v>
      </c>
    </row>
    <row r="1026" spans="1:7" x14ac:dyDescent="0.3">
      <c r="A1026" s="191" t="s">
        <v>888</v>
      </c>
      <c r="B1026" s="191" t="s">
        <v>936</v>
      </c>
      <c r="C1026" s="192" t="s">
        <v>845</v>
      </c>
      <c r="D1026" s="201" t="s">
        <v>846</v>
      </c>
      <c r="E1026" s="192">
        <v>127.2</v>
      </c>
      <c r="F1026" s="192">
        <v>61.1</v>
      </c>
      <c r="G1026" s="192">
        <v>101.1</v>
      </c>
    </row>
    <row r="1027" spans="1:7" x14ac:dyDescent="0.3">
      <c r="A1027" s="191" t="s">
        <v>888</v>
      </c>
      <c r="B1027" s="191" t="s">
        <v>936</v>
      </c>
      <c r="C1027" s="192" t="s">
        <v>847</v>
      </c>
      <c r="D1027" s="201" t="s">
        <v>848</v>
      </c>
      <c r="E1027" s="192">
        <v>129.69999999999999</v>
      </c>
      <c r="F1027" s="192">
        <v>61.3</v>
      </c>
      <c r="G1027" s="192">
        <v>96.4</v>
      </c>
    </row>
    <row r="1028" spans="1:7" x14ac:dyDescent="0.3">
      <c r="A1028" s="191" t="s">
        <v>888</v>
      </c>
      <c r="B1028" s="191" t="s">
        <v>936</v>
      </c>
      <c r="C1028" s="192" t="s">
        <v>849</v>
      </c>
      <c r="D1028" s="201" t="s">
        <v>850</v>
      </c>
      <c r="E1028" s="192">
        <v>162.9</v>
      </c>
      <c r="F1028" s="192">
        <v>64.7</v>
      </c>
      <c r="G1028" s="192">
        <v>102.3</v>
      </c>
    </row>
    <row r="1029" spans="1:7" x14ac:dyDescent="0.3">
      <c r="A1029" s="191" t="s">
        <v>888</v>
      </c>
      <c r="B1029" s="191" t="s">
        <v>936</v>
      </c>
      <c r="C1029" s="192" t="s">
        <v>851</v>
      </c>
      <c r="D1029" s="201" t="s">
        <v>852</v>
      </c>
      <c r="E1029" s="192">
        <v>106.6</v>
      </c>
      <c r="F1029" s="192">
        <v>71.8</v>
      </c>
      <c r="G1029" s="192">
        <v>95.5</v>
      </c>
    </row>
    <row r="1030" spans="1:7" x14ac:dyDescent="0.3">
      <c r="A1030" s="191" t="s">
        <v>888</v>
      </c>
      <c r="B1030" s="191" t="s">
        <v>936</v>
      </c>
      <c r="C1030" s="192" t="s">
        <v>853</v>
      </c>
      <c r="D1030" s="201" t="s">
        <v>854</v>
      </c>
      <c r="E1030" s="192">
        <v>99.3</v>
      </c>
      <c r="F1030" s="192">
        <v>61.8</v>
      </c>
      <c r="G1030" s="192">
        <v>78.400000000000006</v>
      </c>
    </row>
    <row r="1031" spans="1:7" x14ac:dyDescent="0.3">
      <c r="A1031" s="191" t="s">
        <v>888</v>
      </c>
      <c r="B1031" s="191" t="s">
        <v>936</v>
      </c>
      <c r="C1031" s="192" t="s">
        <v>855</v>
      </c>
      <c r="D1031" s="201" t="s">
        <v>856</v>
      </c>
      <c r="E1031" s="192">
        <v>113.7</v>
      </c>
      <c r="F1031" s="192">
        <v>60.9</v>
      </c>
      <c r="G1031" s="192">
        <v>91.6</v>
      </c>
    </row>
    <row r="1032" spans="1:7" x14ac:dyDescent="0.3">
      <c r="A1032" s="191" t="s">
        <v>888</v>
      </c>
      <c r="B1032" s="191" t="s">
        <v>936</v>
      </c>
      <c r="C1032" s="192" t="s">
        <v>857</v>
      </c>
      <c r="D1032" s="201" t="s">
        <v>858</v>
      </c>
      <c r="E1032" s="192">
        <v>90.4</v>
      </c>
      <c r="F1032" s="192">
        <v>54.3</v>
      </c>
      <c r="G1032" s="192">
        <v>82</v>
      </c>
    </row>
    <row r="1033" spans="1:7" x14ac:dyDescent="0.3">
      <c r="A1033" s="191" t="s">
        <v>888</v>
      </c>
      <c r="B1033" s="191" t="s">
        <v>936</v>
      </c>
      <c r="C1033" s="192" t="s">
        <v>859</v>
      </c>
      <c r="D1033" s="201" t="s">
        <v>860</v>
      </c>
      <c r="E1033" s="192">
        <v>129.80000000000001</v>
      </c>
      <c r="F1033" s="192">
        <v>60.6</v>
      </c>
      <c r="G1033" s="192">
        <v>83.6</v>
      </c>
    </row>
    <row r="1034" spans="1:7" x14ac:dyDescent="0.3">
      <c r="A1034" s="191" t="s">
        <v>888</v>
      </c>
      <c r="B1034" s="191" t="s">
        <v>936</v>
      </c>
      <c r="C1034" s="192" t="s">
        <v>861</v>
      </c>
      <c r="D1034" s="201" t="s">
        <v>862</v>
      </c>
      <c r="E1034" s="192">
        <v>102.1</v>
      </c>
      <c r="F1034" s="192">
        <v>60.6</v>
      </c>
      <c r="G1034" s="192">
        <v>74.599999999999994</v>
      </c>
    </row>
    <row r="1035" spans="1:7" x14ac:dyDescent="0.3">
      <c r="A1035" s="191" t="s">
        <v>888</v>
      </c>
      <c r="B1035" s="191" t="s">
        <v>936</v>
      </c>
      <c r="C1035" s="192" t="s">
        <v>863</v>
      </c>
      <c r="D1035" s="201" t="s">
        <v>864</v>
      </c>
      <c r="E1035" s="192">
        <v>109.5</v>
      </c>
      <c r="F1035" s="192">
        <v>69.3</v>
      </c>
      <c r="G1035" s="192">
        <v>98</v>
      </c>
    </row>
    <row r="1036" spans="1:7" x14ac:dyDescent="0.3">
      <c r="A1036" s="191" t="s">
        <v>888</v>
      </c>
      <c r="B1036" s="191" t="s">
        <v>936</v>
      </c>
      <c r="C1036" s="192" t="s">
        <v>865</v>
      </c>
      <c r="D1036" s="201" t="s">
        <v>866</v>
      </c>
      <c r="E1036" s="192">
        <v>115.5</v>
      </c>
      <c r="F1036" s="192">
        <v>51.6</v>
      </c>
      <c r="G1036" s="192">
        <v>78.3</v>
      </c>
    </row>
    <row r="1037" spans="1:7" x14ac:dyDescent="0.3">
      <c r="A1037" s="191" t="s">
        <v>888</v>
      </c>
      <c r="B1037" s="191" t="s">
        <v>936</v>
      </c>
      <c r="C1037" s="192" t="s">
        <v>867</v>
      </c>
      <c r="D1037" s="201" t="s">
        <v>868</v>
      </c>
      <c r="E1037" s="192">
        <v>111.6</v>
      </c>
      <c r="F1037" s="192">
        <v>62.6</v>
      </c>
      <c r="G1037" s="192">
        <v>84.5</v>
      </c>
    </row>
    <row r="1038" spans="1:7" x14ac:dyDescent="0.3">
      <c r="A1038" s="191" t="s">
        <v>888</v>
      </c>
      <c r="B1038" s="191" t="s">
        <v>936</v>
      </c>
      <c r="C1038" s="192" t="s">
        <v>869</v>
      </c>
      <c r="D1038" s="201" t="s">
        <v>870</v>
      </c>
      <c r="E1038" s="192">
        <v>131.1</v>
      </c>
      <c r="F1038" s="192">
        <v>63.4</v>
      </c>
      <c r="G1038" s="192">
        <v>116.5</v>
      </c>
    </row>
    <row r="1039" spans="1:7" x14ac:dyDescent="0.3">
      <c r="A1039" s="191" t="s">
        <v>888</v>
      </c>
      <c r="B1039" s="191" t="s">
        <v>936</v>
      </c>
      <c r="C1039" s="192" t="s">
        <v>871</v>
      </c>
      <c r="D1039" s="201" t="s">
        <v>872</v>
      </c>
      <c r="E1039" s="192">
        <v>103.6</v>
      </c>
      <c r="F1039" s="192">
        <v>69</v>
      </c>
      <c r="G1039" s="192">
        <v>89</v>
      </c>
    </row>
    <row r="1040" spans="1:7" x14ac:dyDescent="0.3">
      <c r="A1040" s="191" t="s">
        <v>888</v>
      </c>
      <c r="B1040" s="191" t="s">
        <v>936</v>
      </c>
      <c r="C1040" s="192" t="s">
        <v>873</v>
      </c>
      <c r="D1040" s="201" t="s">
        <v>874</v>
      </c>
      <c r="E1040" s="192">
        <v>111.4</v>
      </c>
      <c r="F1040" s="192">
        <v>58</v>
      </c>
      <c r="G1040" s="192">
        <v>84.4</v>
      </c>
    </row>
    <row r="1041" spans="1:7" x14ac:dyDescent="0.3">
      <c r="A1041" s="191" t="s">
        <v>888</v>
      </c>
      <c r="B1041" s="191" t="s">
        <v>936</v>
      </c>
      <c r="C1041" s="192" t="s">
        <v>875</v>
      </c>
      <c r="D1041" s="201" t="s">
        <v>876</v>
      </c>
      <c r="E1041" s="192">
        <v>112.6</v>
      </c>
      <c r="F1041" s="192">
        <v>66.5</v>
      </c>
      <c r="G1041" s="192">
        <v>92.3</v>
      </c>
    </row>
    <row r="1042" spans="1:7" x14ac:dyDescent="0.3">
      <c r="A1042" s="191" t="s">
        <v>884</v>
      </c>
      <c r="B1042" s="191" t="s">
        <v>937</v>
      </c>
      <c r="C1042" s="192" t="s">
        <v>1301</v>
      </c>
      <c r="D1042" s="202" t="s">
        <v>1599</v>
      </c>
      <c r="E1042" s="192">
        <v>0</v>
      </c>
      <c r="F1042" s="192">
        <v>102.2</v>
      </c>
      <c r="G1042" s="192">
        <v>102.2</v>
      </c>
    </row>
    <row r="1043" spans="1:7" x14ac:dyDescent="0.3">
      <c r="A1043" s="191" t="s">
        <v>884</v>
      </c>
      <c r="B1043" s="191" t="s">
        <v>937</v>
      </c>
      <c r="C1043" s="192" t="s">
        <v>839</v>
      </c>
      <c r="D1043" s="201" t="s">
        <v>840</v>
      </c>
      <c r="E1043" s="192">
        <v>99.7</v>
      </c>
      <c r="F1043" s="192">
        <v>99.1</v>
      </c>
      <c r="G1043" s="192">
        <v>99.3</v>
      </c>
    </row>
    <row r="1044" spans="1:7" x14ac:dyDescent="0.3">
      <c r="A1044" s="191" t="s">
        <v>884</v>
      </c>
      <c r="B1044" s="191" t="s">
        <v>937</v>
      </c>
      <c r="C1044" s="192" t="s">
        <v>841</v>
      </c>
      <c r="D1044" s="201" t="s">
        <v>842</v>
      </c>
      <c r="E1044" s="192">
        <v>130</v>
      </c>
      <c r="F1044" s="192">
        <v>85.2</v>
      </c>
      <c r="G1044" s="192">
        <v>91.3</v>
      </c>
    </row>
    <row r="1045" spans="1:7" x14ac:dyDescent="0.3">
      <c r="A1045" s="191" t="s">
        <v>884</v>
      </c>
      <c r="B1045" s="191" t="s">
        <v>937</v>
      </c>
      <c r="C1045" s="192" t="s">
        <v>843</v>
      </c>
      <c r="D1045" s="201" t="s">
        <v>844</v>
      </c>
      <c r="E1045" s="192">
        <v>144.6</v>
      </c>
      <c r="F1045" s="192">
        <v>77.900000000000006</v>
      </c>
      <c r="G1045" s="192">
        <v>110</v>
      </c>
    </row>
    <row r="1046" spans="1:7" x14ac:dyDescent="0.3">
      <c r="A1046" s="191" t="s">
        <v>884</v>
      </c>
      <c r="B1046" s="191" t="s">
        <v>937</v>
      </c>
      <c r="C1046" s="192" t="s">
        <v>845</v>
      </c>
      <c r="D1046" s="201" t="s">
        <v>846</v>
      </c>
      <c r="E1046" s="192">
        <v>123.4</v>
      </c>
      <c r="F1046" s="192">
        <v>96.6</v>
      </c>
      <c r="G1046" s="192">
        <v>112.8</v>
      </c>
    </row>
    <row r="1047" spans="1:7" x14ac:dyDescent="0.3">
      <c r="A1047" s="191" t="s">
        <v>884</v>
      </c>
      <c r="B1047" s="191" t="s">
        <v>937</v>
      </c>
      <c r="C1047" s="192" t="s">
        <v>847</v>
      </c>
      <c r="D1047" s="201" t="s">
        <v>848</v>
      </c>
      <c r="E1047" s="192">
        <v>124.3</v>
      </c>
      <c r="F1047" s="192">
        <v>88</v>
      </c>
      <c r="G1047" s="192">
        <v>106.6</v>
      </c>
    </row>
    <row r="1048" spans="1:7" x14ac:dyDescent="0.3">
      <c r="A1048" s="191" t="s">
        <v>884</v>
      </c>
      <c r="B1048" s="191" t="s">
        <v>937</v>
      </c>
      <c r="C1048" s="192" t="s">
        <v>849</v>
      </c>
      <c r="D1048" s="201" t="s">
        <v>850</v>
      </c>
      <c r="E1048" s="192">
        <v>165.7</v>
      </c>
      <c r="F1048" s="192">
        <v>86.7</v>
      </c>
      <c r="G1048" s="192">
        <v>117</v>
      </c>
    </row>
    <row r="1049" spans="1:7" x14ac:dyDescent="0.3">
      <c r="A1049" s="191" t="s">
        <v>884</v>
      </c>
      <c r="B1049" s="191" t="s">
        <v>937</v>
      </c>
      <c r="C1049" s="192" t="s">
        <v>851</v>
      </c>
      <c r="D1049" s="201" t="s">
        <v>852</v>
      </c>
      <c r="E1049" s="192">
        <v>108.6</v>
      </c>
      <c r="F1049" s="192">
        <v>86.8</v>
      </c>
      <c r="G1049" s="192">
        <v>101.6</v>
      </c>
    </row>
    <row r="1050" spans="1:7" x14ac:dyDescent="0.3">
      <c r="A1050" s="191" t="s">
        <v>884</v>
      </c>
      <c r="B1050" s="191" t="s">
        <v>937</v>
      </c>
      <c r="C1050" s="192" t="s">
        <v>853</v>
      </c>
      <c r="D1050" s="201" t="s">
        <v>854</v>
      </c>
      <c r="E1050" s="192">
        <v>132.5</v>
      </c>
      <c r="F1050" s="192">
        <v>85</v>
      </c>
      <c r="G1050" s="192">
        <v>106</v>
      </c>
    </row>
    <row r="1051" spans="1:7" x14ac:dyDescent="0.3">
      <c r="A1051" s="191" t="s">
        <v>884</v>
      </c>
      <c r="B1051" s="191" t="s">
        <v>937</v>
      </c>
      <c r="C1051" s="192" t="s">
        <v>855</v>
      </c>
      <c r="D1051" s="201" t="s">
        <v>856</v>
      </c>
      <c r="E1051" s="192">
        <v>110.6</v>
      </c>
      <c r="F1051" s="192">
        <v>86.4</v>
      </c>
      <c r="G1051" s="192">
        <v>100.5</v>
      </c>
    </row>
    <row r="1052" spans="1:7" x14ac:dyDescent="0.3">
      <c r="A1052" s="191" t="s">
        <v>884</v>
      </c>
      <c r="B1052" s="191" t="s">
        <v>937</v>
      </c>
      <c r="C1052" s="192" t="s">
        <v>857</v>
      </c>
      <c r="D1052" s="201" t="s">
        <v>858</v>
      </c>
      <c r="E1052" s="192">
        <v>94.8</v>
      </c>
      <c r="F1052" s="192">
        <v>74.099999999999994</v>
      </c>
      <c r="G1052" s="192">
        <v>90</v>
      </c>
    </row>
    <row r="1053" spans="1:7" x14ac:dyDescent="0.3">
      <c r="A1053" s="191" t="s">
        <v>884</v>
      </c>
      <c r="B1053" s="191" t="s">
        <v>937</v>
      </c>
      <c r="C1053" s="192" t="s">
        <v>859</v>
      </c>
      <c r="D1053" s="201" t="s">
        <v>860</v>
      </c>
      <c r="E1053" s="192">
        <v>115.9</v>
      </c>
      <c r="F1053" s="192">
        <v>84.4</v>
      </c>
      <c r="G1053" s="192">
        <v>94.8</v>
      </c>
    </row>
    <row r="1054" spans="1:7" x14ac:dyDescent="0.3">
      <c r="A1054" s="191" t="s">
        <v>884</v>
      </c>
      <c r="B1054" s="191" t="s">
        <v>937</v>
      </c>
      <c r="C1054" s="192" t="s">
        <v>861</v>
      </c>
      <c r="D1054" s="201" t="s">
        <v>862</v>
      </c>
      <c r="E1054" s="192">
        <v>98.9</v>
      </c>
      <c r="F1054" s="192">
        <v>84.4</v>
      </c>
      <c r="G1054" s="192">
        <v>89.3</v>
      </c>
    </row>
    <row r="1055" spans="1:7" x14ac:dyDescent="0.3">
      <c r="A1055" s="191" t="s">
        <v>884</v>
      </c>
      <c r="B1055" s="191" t="s">
        <v>937</v>
      </c>
      <c r="C1055" s="192" t="s">
        <v>863</v>
      </c>
      <c r="D1055" s="201" t="s">
        <v>864</v>
      </c>
      <c r="E1055" s="192">
        <v>122.5</v>
      </c>
      <c r="F1055" s="192">
        <v>95.7</v>
      </c>
      <c r="G1055" s="192">
        <v>114.8</v>
      </c>
    </row>
    <row r="1056" spans="1:7" x14ac:dyDescent="0.3">
      <c r="A1056" s="191" t="s">
        <v>884</v>
      </c>
      <c r="B1056" s="191" t="s">
        <v>937</v>
      </c>
      <c r="C1056" s="192" t="s">
        <v>865</v>
      </c>
      <c r="D1056" s="201" t="s">
        <v>866</v>
      </c>
      <c r="E1056" s="192">
        <v>112.3</v>
      </c>
      <c r="F1056" s="192">
        <v>91.7</v>
      </c>
      <c r="G1056" s="192">
        <v>100.3</v>
      </c>
    </row>
    <row r="1057" spans="1:7" x14ac:dyDescent="0.3">
      <c r="A1057" s="191" t="s">
        <v>884</v>
      </c>
      <c r="B1057" s="191" t="s">
        <v>937</v>
      </c>
      <c r="C1057" s="192" t="s">
        <v>867</v>
      </c>
      <c r="D1057" s="201" t="s">
        <v>868</v>
      </c>
      <c r="E1057" s="192">
        <v>111.3</v>
      </c>
      <c r="F1057" s="192">
        <v>88.2</v>
      </c>
      <c r="G1057" s="192">
        <v>98.5</v>
      </c>
    </row>
    <row r="1058" spans="1:7" x14ac:dyDescent="0.3">
      <c r="A1058" s="191" t="s">
        <v>884</v>
      </c>
      <c r="B1058" s="191" t="s">
        <v>937</v>
      </c>
      <c r="C1058" s="192" t="s">
        <v>869</v>
      </c>
      <c r="D1058" s="201" t="s">
        <v>870</v>
      </c>
      <c r="E1058" s="192">
        <v>131.1</v>
      </c>
      <c r="F1058" s="192">
        <v>82.8</v>
      </c>
      <c r="G1058" s="192">
        <v>120.7</v>
      </c>
    </row>
    <row r="1059" spans="1:7" x14ac:dyDescent="0.3">
      <c r="A1059" s="191" t="s">
        <v>884</v>
      </c>
      <c r="B1059" s="191" t="s">
        <v>937</v>
      </c>
      <c r="C1059" s="192" t="s">
        <v>871</v>
      </c>
      <c r="D1059" s="201" t="s">
        <v>872</v>
      </c>
      <c r="E1059" s="192">
        <v>103.6</v>
      </c>
      <c r="F1059" s="192">
        <v>90</v>
      </c>
      <c r="G1059" s="192">
        <v>97.8</v>
      </c>
    </row>
    <row r="1060" spans="1:7" x14ac:dyDescent="0.3">
      <c r="A1060" s="191" t="s">
        <v>884</v>
      </c>
      <c r="B1060" s="191" t="s">
        <v>937</v>
      </c>
      <c r="C1060" s="192" t="s">
        <v>873</v>
      </c>
      <c r="D1060" s="201" t="s">
        <v>874</v>
      </c>
      <c r="E1060" s="192">
        <v>108.9</v>
      </c>
      <c r="F1060" s="192">
        <v>72.099999999999994</v>
      </c>
      <c r="G1060" s="192">
        <v>90.3</v>
      </c>
    </row>
    <row r="1061" spans="1:7" x14ac:dyDescent="0.3">
      <c r="A1061" s="191" t="s">
        <v>884</v>
      </c>
      <c r="B1061" s="191" t="s">
        <v>937</v>
      </c>
      <c r="C1061" s="192" t="s">
        <v>875</v>
      </c>
      <c r="D1061" s="201" t="s">
        <v>876</v>
      </c>
      <c r="E1061" s="192">
        <v>112.7</v>
      </c>
      <c r="F1061" s="192">
        <v>86.1</v>
      </c>
      <c r="G1061" s="192">
        <v>101</v>
      </c>
    </row>
    <row r="1062" spans="1:7" x14ac:dyDescent="0.3">
      <c r="A1062" s="191" t="s">
        <v>837</v>
      </c>
      <c r="B1062" s="191" t="s">
        <v>938</v>
      </c>
      <c r="C1062" s="192" t="s">
        <v>1301</v>
      </c>
      <c r="D1062" s="202" t="s">
        <v>1599</v>
      </c>
      <c r="E1062" s="192">
        <v>0</v>
      </c>
      <c r="F1062" s="192">
        <v>104.1</v>
      </c>
      <c r="G1062" s="192">
        <v>104.1</v>
      </c>
    </row>
    <row r="1063" spans="1:7" x14ac:dyDescent="0.3">
      <c r="A1063" s="191" t="s">
        <v>837</v>
      </c>
      <c r="B1063" s="191" t="s">
        <v>938</v>
      </c>
      <c r="C1063" s="192" t="s">
        <v>839</v>
      </c>
      <c r="D1063" s="201" t="s">
        <v>840</v>
      </c>
      <c r="E1063" s="192">
        <v>117.2</v>
      </c>
      <c r="F1063" s="192">
        <v>103.6</v>
      </c>
      <c r="G1063" s="192">
        <v>107.6</v>
      </c>
    </row>
    <row r="1064" spans="1:7" x14ac:dyDescent="0.3">
      <c r="A1064" s="191" t="s">
        <v>837</v>
      </c>
      <c r="B1064" s="191" t="s">
        <v>938</v>
      </c>
      <c r="C1064" s="192" t="s">
        <v>841</v>
      </c>
      <c r="D1064" s="201" t="s">
        <v>842</v>
      </c>
      <c r="E1064" s="192">
        <v>122</v>
      </c>
      <c r="F1064" s="192">
        <v>87.1</v>
      </c>
      <c r="G1064" s="192">
        <v>91.8</v>
      </c>
    </row>
    <row r="1065" spans="1:7" x14ac:dyDescent="0.3">
      <c r="A1065" s="191" t="s">
        <v>837</v>
      </c>
      <c r="B1065" s="191" t="s">
        <v>938</v>
      </c>
      <c r="C1065" s="192" t="s">
        <v>843</v>
      </c>
      <c r="D1065" s="201" t="s">
        <v>844</v>
      </c>
      <c r="E1065" s="192">
        <v>160.69999999999999</v>
      </c>
      <c r="F1065" s="192">
        <v>81.3</v>
      </c>
      <c r="G1065" s="192">
        <v>119.6</v>
      </c>
    </row>
    <row r="1066" spans="1:7" x14ac:dyDescent="0.3">
      <c r="A1066" s="191" t="s">
        <v>837</v>
      </c>
      <c r="B1066" s="191" t="s">
        <v>938</v>
      </c>
      <c r="C1066" s="192" t="s">
        <v>845</v>
      </c>
      <c r="D1066" s="201" t="s">
        <v>846</v>
      </c>
      <c r="E1066" s="192">
        <v>134.9</v>
      </c>
      <c r="F1066" s="192">
        <v>99.5</v>
      </c>
      <c r="G1066" s="192">
        <v>121</v>
      </c>
    </row>
    <row r="1067" spans="1:7" x14ac:dyDescent="0.3">
      <c r="A1067" s="191" t="s">
        <v>837</v>
      </c>
      <c r="B1067" s="191" t="s">
        <v>938</v>
      </c>
      <c r="C1067" s="192" t="s">
        <v>847</v>
      </c>
      <c r="D1067" s="201" t="s">
        <v>848</v>
      </c>
      <c r="E1067" s="192">
        <v>133.6</v>
      </c>
      <c r="F1067" s="192">
        <v>90.4</v>
      </c>
      <c r="G1067" s="192">
        <v>112.6</v>
      </c>
    </row>
    <row r="1068" spans="1:7" x14ac:dyDescent="0.3">
      <c r="A1068" s="191" t="s">
        <v>837</v>
      </c>
      <c r="B1068" s="191" t="s">
        <v>938</v>
      </c>
      <c r="C1068" s="192" t="s">
        <v>849</v>
      </c>
      <c r="D1068" s="201" t="s">
        <v>850</v>
      </c>
      <c r="E1068" s="192">
        <v>175.3</v>
      </c>
      <c r="F1068" s="192">
        <v>93.6</v>
      </c>
      <c r="G1068" s="192">
        <v>125</v>
      </c>
    </row>
    <row r="1069" spans="1:7" x14ac:dyDescent="0.3">
      <c r="A1069" s="191" t="s">
        <v>837</v>
      </c>
      <c r="B1069" s="191" t="s">
        <v>938</v>
      </c>
      <c r="C1069" s="192" t="s">
        <v>851</v>
      </c>
      <c r="D1069" s="201" t="s">
        <v>852</v>
      </c>
      <c r="E1069" s="192">
        <v>111.8</v>
      </c>
      <c r="F1069" s="192">
        <v>89</v>
      </c>
      <c r="G1069" s="192">
        <v>104.5</v>
      </c>
    </row>
    <row r="1070" spans="1:7" x14ac:dyDescent="0.3">
      <c r="A1070" s="191" t="s">
        <v>837</v>
      </c>
      <c r="B1070" s="191" t="s">
        <v>938</v>
      </c>
      <c r="C1070" s="192" t="s">
        <v>853</v>
      </c>
      <c r="D1070" s="201" t="s">
        <v>854</v>
      </c>
      <c r="E1070" s="192">
        <v>120</v>
      </c>
      <c r="F1070" s="192">
        <v>86.2</v>
      </c>
      <c r="G1070" s="192">
        <v>101.2</v>
      </c>
    </row>
    <row r="1071" spans="1:7" x14ac:dyDescent="0.3">
      <c r="A1071" s="191" t="s">
        <v>837</v>
      </c>
      <c r="B1071" s="191" t="s">
        <v>938</v>
      </c>
      <c r="C1071" s="192" t="s">
        <v>855</v>
      </c>
      <c r="D1071" s="201" t="s">
        <v>856</v>
      </c>
      <c r="E1071" s="192">
        <v>117</v>
      </c>
      <c r="F1071" s="192">
        <v>88.4</v>
      </c>
      <c r="G1071" s="192">
        <v>105</v>
      </c>
    </row>
    <row r="1072" spans="1:7" x14ac:dyDescent="0.3">
      <c r="A1072" s="191" t="s">
        <v>837</v>
      </c>
      <c r="B1072" s="191" t="s">
        <v>938</v>
      </c>
      <c r="C1072" s="192" t="s">
        <v>857</v>
      </c>
      <c r="D1072" s="201" t="s">
        <v>858</v>
      </c>
      <c r="E1072" s="192">
        <v>94.8</v>
      </c>
      <c r="F1072" s="192">
        <v>83.4</v>
      </c>
      <c r="G1072" s="192">
        <v>92.2</v>
      </c>
    </row>
    <row r="1073" spans="1:7" x14ac:dyDescent="0.3">
      <c r="A1073" s="191" t="s">
        <v>837</v>
      </c>
      <c r="B1073" s="191" t="s">
        <v>938</v>
      </c>
      <c r="C1073" s="192" t="s">
        <v>859</v>
      </c>
      <c r="D1073" s="201" t="s">
        <v>860</v>
      </c>
      <c r="E1073" s="192">
        <v>173.8</v>
      </c>
      <c r="F1073" s="192">
        <v>85.7</v>
      </c>
      <c r="G1073" s="192">
        <v>114.9</v>
      </c>
    </row>
    <row r="1074" spans="1:7" x14ac:dyDescent="0.3">
      <c r="A1074" s="191" t="s">
        <v>837</v>
      </c>
      <c r="B1074" s="191" t="s">
        <v>938</v>
      </c>
      <c r="C1074" s="192" t="s">
        <v>861</v>
      </c>
      <c r="D1074" s="201" t="s">
        <v>862</v>
      </c>
      <c r="E1074" s="192">
        <v>114.6</v>
      </c>
      <c r="F1074" s="192">
        <v>85.7</v>
      </c>
      <c r="G1074" s="192">
        <v>95.5</v>
      </c>
    </row>
    <row r="1075" spans="1:7" x14ac:dyDescent="0.3">
      <c r="A1075" s="191" t="s">
        <v>837</v>
      </c>
      <c r="B1075" s="191" t="s">
        <v>938</v>
      </c>
      <c r="C1075" s="192" t="s">
        <v>863</v>
      </c>
      <c r="D1075" s="201" t="s">
        <v>864</v>
      </c>
      <c r="E1075" s="192">
        <v>122.5</v>
      </c>
      <c r="F1075" s="192">
        <v>93.7</v>
      </c>
      <c r="G1075" s="192">
        <v>114.2</v>
      </c>
    </row>
    <row r="1076" spans="1:7" x14ac:dyDescent="0.3">
      <c r="A1076" s="191" t="s">
        <v>837</v>
      </c>
      <c r="B1076" s="191" t="s">
        <v>938</v>
      </c>
      <c r="C1076" s="192" t="s">
        <v>865</v>
      </c>
      <c r="D1076" s="201" t="s">
        <v>866</v>
      </c>
      <c r="E1076" s="192">
        <v>112.3</v>
      </c>
      <c r="F1076" s="192">
        <v>84.9</v>
      </c>
      <c r="G1076" s="192">
        <v>96.4</v>
      </c>
    </row>
    <row r="1077" spans="1:7" x14ac:dyDescent="0.3">
      <c r="A1077" s="191" t="s">
        <v>837</v>
      </c>
      <c r="B1077" s="191" t="s">
        <v>938</v>
      </c>
      <c r="C1077" s="192" t="s">
        <v>867</v>
      </c>
      <c r="D1077" s="201" t="s">
        <v>868</v>
      </c>
      <c r="E1077" s="192">
        <v>123.7</v>
      </c>
      <c r="F1077" s="192">
        <v>88.3</v>
      </c>
      <c r="G1077" s="192">
        <v>104.1</v>
      </c>
    </row>
    <row r="1078" spans="1:7" x14ac:dyDescent="0.3">
      <c r="A1078" s="191" t="s">
        <v>837</v>
      </c>
      <c r="B1078" s="191" t="s">
        <v>938</v>
      </c>
      <c r="C1078" s="192" t="s">
        <v>869</v>
      </c>
      <c r="D1078" s="201" t="s">
        <v>870</v>
      </c>
      <c r="E1078" s="192">
        <v>131.1</v>
      </c>
      <c r="F1078" s="192">
        <v>71.900000000000006</v>
      </c>
      <c r="G1078" s="192">
        <v>118.3</v>
      </c>
    </row>
    <row r="1079" spans="1:7" x14ac:dyDescent="0.3">
      <c r="A1079" s="191" t="s">
        <v>837</v>
      </c>
      <c r="B1079" s="191" t="s">
        <v>938</v>
      </c>
      <c r="C1079" s="192" t="s">
        <v>871</v>
      </c>
      <c r="D1079" s="201" t="s">
        <v>872</v>
      </c>
      <c r="E1079" s="192">
        <v>103.9</v>
      </c>
      <c r="F1079" s="192">
        <v>99.2</v>
      </c>
      <c r="G1079" s="192">
        <v>101.9</v>
      </c>
    </row>
    <row r="1080" spans="1:7" x14ac:dyDescent="0.3">
      <c r="A1080" s="191" t="s">
        <v>837</v>
      </c>
      <c r="B1080" s="191" t="s">
        <v>938</v>
      </c>
      <c r="C1080" s="192" t="s">
        <v>873</v>
      </c>
      <c r="D1080" s="201" t="s">
        <v>874</v>
      </c>
      <c r="E1080" s="192">
        <v>109.5</v>
      </c>
      <c r="F1080" s="192">
        <v>88.9</v>
      </c>
      <c r="G1080" s="192">
        <v>99.1</v>
      </c>
    </row>
    <row r="1081" spans="1:7" x14ac:dyDescent="0.3">
      <c r="A1081" s="191" t="s">
        <v>837</v>
      </c>
      <c r="B1081" s="191" t="s">
        <v>938</v>
      </c>
      <c r="C1081" s="192" t="s">
        <v>875</v>
      </c>
      <c r="D1081" s="201" t="s">
        <v>876</v>
      </c>
      <c r="E1081" s="192">
        <v>116.5</v>
      </c>
      <c r="F1081" s="192">
        <v>92.1</v>
      </c>
      <c r="G1081" s="192">
        <v>105.7</v>
      </c>
    </row>
    <row r="1082" spans="1:7" x14ac:dyDescent="0.3">
      <c r="A1082" s="191" t="s">
        <v>881</v>
      </c>
      <c r="B1082" s="191" t="s">
        <v>939</v>
      </c>
      <c r="C1082" s="192" t="s">
        <v>1301</v>
      </c>
      <c r="D1082" s="202" t="s">
        <v>1599</v>
      </c>
      <c r="E1082" s="192">
        <v>0</v>
      </c>
      <c r="F1082" s="192">
        <v>104.2</v>
      </c>
      <c r="G1082" s="192">
        <v>104.2</v>
      </c>
    </row>
    <row r="1083" spans="1:7" x14ac:dyDescent="0.3">
      <c r="A1083" s="191" t="s">
        <v>881</v>
      </c>
      <c r="B1083" s="191" t="s">
        <v>939</v>
      </c>
      <c r="C1083" s="192" t="s">
        <v>839</v>
      </c>
      <c r="D1083" s="201" t="s">
        <v>840</v>
      </c>
      <c r="E1083" s="192">
        <v>115.2</v>
      </c>
      <c r="F1083" s="192">
        <v>101</v>
      </c>
      <c r="G1083" s="192">
        <v>105.2</v>
      </c>
    </row>
    <row r="1084" spans="1:7" x14ac:dyDescent="0.3">
      <c r="A1084" s="191" t="s">
        <v>881</v>
      </c>
      <c r="B1084" s="191" t="s">
        <v>939</v>
      </c>
      <c r="C1084" s="192" t="s">
        <v>841</v>
      </c>
      <c r="D1084" s="201" t="s">
        <v>842</v>
      </c>
      <c r="E1084" s="192">
        <v>123.3</v>
      </c>
      <c r="F1084" s="192">
        <v>80.3</v>
      </c>
      <c r="G1084" s="192">
        <v>86.1</v>
      </c>
    </row>
    <row r="1085" spans="1:7" x14ac:dyDescent="0.3">
      <c r="A1085" s="191" t="s">
        <v>881</v>
      </c>
      <c r="B1085" s="191" t="s">
        <v>939</v>
      </c>
      <c r="C1085" s="192" t="s">
        <v>843</v>
      </c>
      <c r="D1085" s="201" t="s">
        <v>844</v>
      </c>
      <c r="E1085" s="192">
        <v>148.69999999999999</v>
      </c>
      <c r="F1085" s="192">
        <v>73.400000000000006</v>
      </c>
      <c r="G1085" s="192">
        <v>109.7</v>
      </c>
    </row>
    <row r="1086" spans="1:7" x14ac:dyDescent="0.3">
      <c r="A1086" s="191" t="s">
        <v>881</v>
      </c>
      <c r="B1086" s="191" t="s">
        <v>939</v>
      </c>
      <c r="C1086" s="192" t="s">
        <v>845</v>
      </c>
      <c r="D1086" s="201" t="s">
        <v>846</v>
      </c>
      <c r="E1086" s="192">
        <v>138.6</v>
      </c>
      <c r="F1086" s="192">
        <v>100.5</v>
      </c>
      <c r="G1086" s="192">
        <v>123.6</v>
      </c>
    </row>
    <row r="1087" spans="1:7" x14ac:dyDescent="0.3">
      <c r="A1087" s="191" t="s">
        <v>881</v>
      </c>
      <c r="B1087" s="191" t="s">
        <v>939</v>
      </c>
      <c r="C1087" s="192" t="s">
        <v>847</v>
      </c>
      <c r="D1087" s="201" t="s">
        <v>848</v>
      </c>
      <c r="E1087" s="192">
        <v>131.9</v>
      </c>
      <c r="F1087" s="192">
        <v>86.4</v>
      </c>
      <c r="G1087" s="192">
        <v>109.8</v>
      </c>
    </row>
    <row r="1088" spans="1:7" x14ac:dyDescent="0.3">
      <c r="A1088" s="191" t="s">
        <v>881</v>
      </c>
      <c r="B1088" s="191" t="s">
        <v>939</v>
      </c>
      <c r="C1088" s="192" t="s">
        <v>849</v>
      </c>
      <c r="D1088" s="201" t="s">
        <v>850</v>
      </c>
      <c r="E1088" s="192">
        <v>165</v>
      </c>
      <c r="F1088" s="192">
        <v>82.1</v>
      </c>
      <c r="G1088" s="192">
        <v>113.9</v>
      </c>
    </row>
    <row r="1089" spans="1:7" x14ac:dyDescent="0.3">
      <c r="A1089" s="191" t="s">
        <v>881</v>
      </c>
      <c r="B1089" s="191" t="s">
        <v>939</v>
      </c>
      <c r="C1089" s="192" t="s">
        <v>851</v>
      </c>
      <c r="D1089" s="201" t="s">
        <v>852</v>
      </c>
      <c r="E1089" s="192">
        <v>111</v>
      </c>
      <c r="F1089" s="192">
        <v>88.5</v>
      </c>
      <c r="G1089" s="192">
        <v>103.8</v>
      </c>
    </row>
    <row r="1090" spans="1:7" x14ac:dyDescent="0.3">
      <c r="A1090" s="191" t="s">
        <v>881</v>
      </c>
      <c r="B1090" s="191" t="s">
        <v>939</v>
      </c>
      <c r="C1090" s="192" t="s">
        <v>853</v>
      </c>
      <c r="D1090" s="201" t="s">
        <v>854</v>
      </c>
      <c r="E1090" s="192">
        <v>119.3</v>
      </c>
      <c r="F1090" s="192">
        <v>79.3</v>
      </c>
      <c r="G1090" s="192">
        <v>97</v>
      </c>
    </row>
    <row r="1091" spans="1:7" x14ac:dyDescent="0.3">
      <c r="A1091" s="191" t="s">
        <v>881</v>
      </c>
      <c r="B1091" s="191" t="s">
        <v>939</v>
      </c>
      <c r="C1091" s="192" t="s">
        <v>855</v>
      </c>
      <c r="D1091" s="201" t="s">
        <v>856</v>
      </c>
      <c r="E1091" s="192">
        <v>125.9</v>
      </c>
      <c r="F1091" s="192">
        <v>85.7</v>
      </c>
      <c r="G1091" s="192">
        <v>109.1</v>
      </c>
    </row>
    <row r="1092" spans="1:7" x14ac:dyDescent="0.3">
      <c r="A1092" s="191" t="s">
        <v>881</v>
      </c>
      <c r="B1092" s="191" t="s">
        <v>939</v>
      </c>
      <c r="C1092" s="192" t="s">
        <v>857</v>
      </c>
      <c r="D1092" s="201" t="s">
        <v>858</v>
      </c>
      <c r="E1092" s="192">
        <v>94.8</v>
      </c>
      <c r="F1092" s="192">
        <v>76</v>
      </c>
      <c r="G1092" s="192">
        <v>90.5</v>
      </c>
    </row>
    <row r="1093" spans="1:7" x14ac:dyDescent="0.3">
      <c r="A1093" s="191" t="s">
        <v>881</v>
      </c>
      <c r="B1093" s="191" t="s">
        <v>939</v>
      </c>
      <c r="C1093" s="192" t="s">
        <v>859</v>
      </c>
      <c r="D1093" s="201" t="s">
        <v>860</v>
      </c>
      <c r="E1093" s="192">
        <v>105.9</v>
      </c>
      <c r="F1093" s="192">
        <v>78.3</v>
      </c>
      <c r="G1093" s="192">
        <v>87.4</v>
      </c>
    </row>
    <row r="1094" spans="1:7" x14ac:dyDescent="0.3">
      <c r="A1094" s="191" t="s">
        <v>881</v>
      </c>
      <c r="B1094" s="191" t="s">
        <v>939</v>
      </c>
      <c r="C1094" s="192" t="s">
        <v>861</v>
      </c>
      <c r="D1094" s="201" t="s">
        <v>862</v>
      </c>
      <c r="E1094" s="192">
        <v>98.9</v>
      </c>
      <c r="F1094" s="192">
        <v>78.3</v>
      </c>
      <c r="G1094" s="192">
        <v>85.2</v>
      </c>
    </row>
    <row r="1095" spans="1:7" x14ac:dyDescent="0.3">
      <c r="A1095" s="191" t="s">
        <v>881</v>
      </c>
      <c r="B1095" s="191" t="s">
        <v>939</v>
      </c>
      <c r="C1095" s="192" t="s">
        <v>863</v>
      </c>
      <c r="D1095" s="201" t="s">
        <v>864</v>
      </c>
      <c r="E1095" s="192">
        <v>122.5</v>
      </c>
      <c r="F1095" s="192">
        <v>91.2</v>
      </c>
      <c r="G1095" s="192">
        <v>113.5</v>
      </c>
    </row>
    <row r="1096" spans="1:7" x14ac:dyDescent="0.3">
      <c r="A1096" s="191" t="s">
        <v>881</v>
      </c>
      <c r="B1096" s="191" t="s">
        <v>939</v>
      </c>
      <c r="C1096" s="192" t="s">
        <v>865</v>
      </c>
      <c r="D1096" s="201" t="s">
        <v>866</v>
      </c>
      <c r="E1096" s="192">
        <v>112.2</v>
      </c>
      <c r="F1096" s="192">
        <v>81.2</v>
      </c>
      <c r="G1096" s="192">
        <v>94.2</v>
      </c>
    </row>
    <row r="1097" spans="1:7" x14ac:dyDescent="0.3">
      <c r="A1097" s="191" t="s">
        <v>881</v>
      </c>
      <c r="B1097" s="191" t="s">
        <v>939</v>
      </c>
      <c r="C1097" s="192" t="s">
        <v>867</v>
      </c>
      <c r="D1097" s="201" t="s">
        <v>868</v>
      </c>
      <c r="E1097" s="192">
        <v>110.9</v>
      </c>
      <c r="F1097" s="192">
        <v>82</v>
      </c>
      <c r="G1097" s="192">
        <v>94.9</v>
      </c>
    </row>
    <row r="1098" spans="1:7" x14ac:dyDescent="0.3">
      <c r="A1098" s="191" t="s">
        <v>881</v>
      </c>
      <c r="B1098" s="191" t="s">
        <v>939</v>
      </c>
      <c r="C1098" s="192" t="s">
        <v>869</v>
      </c>
      <c r="D1098" s="201" t="s">
        <v>870</v>
      </c>
      <c r="E1098" s="192">
        <v>131.1</v>
      </c>
      <c r="F1098" s="192">
        <v>91.4</v>
      </c>
      <c r="G1098" s="192">
        <v>122.5</v>
      </c>
    </row>
    <row r="1099" spans="1:7" x14ac:dyDescent="0.3">
      <c r="A1099" s="191" t="s">
        <v>881</v>
      </c>
      <c r="B1099" s="191" t="s">
        <v>939</v>
      </c>
      <c r="C1099" s="192" t="s">
        <v>871</v>
      </c>
      <c r="D1099" s="201" t="s">
        <v>872</v>
      </c>
      <c r="E1099" s="192">
        <v>103.6</v>
      </c>
      <c r="F1099" s="192">
        <v>91.3</v>
      </c>
      <c r="G1099" s="192">
        <v>98.4</v>
      </c>
    </row>
    <row r="1100" spans="1:7" x14ac:dyDescent="0.3">
      <c r="A1100" s="191" t="s">
        <v>881</v>
      </c>
      <c r="B1100" s="191" t="s">
        <v>939</v>
      </c>
      <c r="C1100" s="192" t="s">
        <v>873</v>
      </c>
      <c r="D1100" s="201" t="s">
        <v>874</v>
      </c>
      <c r="E1100" s="192">
        <v>102.9</v>
      </c>
      <c r="F1100" s="192">
        <v>84.8</v>
      </c>
      <c r="G1100" s="192">
        <v>93.8</v>
      </c>
    </row>
    <row r="1101" spans="1:7" x14ac:dyDescent="0.3">
      <c r="A1101" s="191" t="s">
        <v>881</v>
      </c>
      <c r="B1101" s="191" t="s">
        <v>939</v>
      </c>
      <c r="C1101" s="192" t="s">
        <v>875</v>
      </c>
      <c r="D1101" s="201" t="s">
        <v>876</v>
      </c>
      <c r="E1101" s="192">
        <v>114.1</v>
      </c>
      <c r="F1101" s="192">
        <v>87.2</v>
      </c>
      <c r="G1101" s="192">
        <v>102.2</v>
      </c>
    </row>
    <row r="1102" spans="1:7" x14ac:dyDescent="0.3">
      <c r="A1102" s="191" t="s">
        <v>837</v>
      </c>
      <c r="B1102" s="191" t="s">
        <v>940</v>
      </c>
      <c r="C1102" s="192" t="s">
        <v>1301</v>
      </c>
      <c r="D1102" s="202" t="s">
        <v>1599</v>
      </c>
      <c r="E1102" s="192">
        <v>0</v>
      </c>
      <c r="F1102" s="192">
        <v>101.8</v>
      </c>
      <c r="G1102" s="192">
        <v>101.8</v>
      </c>
    </row>
    <row r="1103" spans="1:7" x14ac:dyDescent="0.3">
      <c r="A1103" s="191" t="s">
        <v>837</v>
      </c>
      <c r="B1103" s="191" t="s">
        <v>940</v>
      </c>
      <c r="C1103" s="192" t="s">
        <v>839</v>
      </c>
      <c r="D1103" s="201" t="s">
        <v>840</v>
      </c>
      <c r="E1103" s="192">
        <v>138.80000000000001</v>
      </c>
      <c r="F1103" s="192">
        <v>99.3</v>
      </c>
      <c r="G1103" s="192">
        <v>110.9</v>
      </c>
    </row>
    <row r="1104" spans="1:7" x14ac:dyDescent="0.3">
      <c r="A1104" s="191" t="s">
        <v>837</v>
      </c>
      <c r="B1104" s="191" t="s">
        <v>940</v>
      </c>
      <c r="C1104" s="192" t="s">
        <v>841</v>
      </c>
      <c r="D1104" s="201" t="s">
        <v>842</v>
      </c>
      <c r="E1104" s="192">
        <v>147.6</v>
      </c>
      <c r="F1104" s="192">
        <v>84.5</v>
      </c>
      <c r="G1104" s="192">
        <v>93</v>
      </c>
    </row>
    <row r="1105" spans="1:7" x14ac:dyDescent="0.3">
      <c r="A1105" s="191" t="s">
        <v>837</v>
      </c>
      <c r="B1105" s="191" t="s">
        <v>940</v>
      </c>
      <c r="C1105" s="192" t="s">
        <v>843</v>
      </c>
      <c r="D1105" s="201" t="s">
        <v>844</v>
      </c>
      <c r="E1105" s="192">
        <v>188.3</v>
      </c>
      <c r="F1105" s="192">
        <v>80.900000000000006</v>
      </c>
      <c r="G1105" s="192">
        <v>132.6</v>
      </c>
    </row>
    <row r="1106" spans="1:7" x14ac:dyDescent="0.3">
      <c r="A1106" s="191" t="s">
        <v>837</v>
      </c>
      <c r="B1106" s="191" t="s">
        <v>940</v>
      </c>
      <c r="C1106" s="192" t="s">
        <v>845</v>
      </c>
      <c r="D1106" s="201" t="s">
        <v>846</v>
      </c>
      <c r="E1106" s="192">
        <v>142.30000000000001</v>
      </c>
      <c r="F1106" s="192">
        <v>86.1</v>
      </c>
      <c r="G1106" s="192">
        <v>120.1</v>
      </c>
    </row>
    <row r="1107" spans="1:7" x14ac:dyDescent="0.3">
      <c r="A1107" s="191" t="s">
        <v>837</v>
      </c>
      <c r="B1107" s="191" t="s">
        <v>940</v>
      </c>
      <c r="C1107" s="192" t="s">
        <v>847</v>
      </c>
      <c r="D1107" s="201" t="s">
        <v>848</v>
      </c>
      <c r="E1107" s="192">
        <v>162.1</v>
      </c>
      <c r="F1107" s="192">
        <v>84.7</v>
      </c>
      <c r="G1107" s="192">
        <v>124.5</v>
      </c>
    </row>
    <row r="1108" spans="1:7" x14ac:dyDescent="0.3">
      <c r="A1108" s="191" t="s">
        <v>837</v>
      </c>
      <c r="B1108" s="191" t="s">
        <v>940</v>
      </c>
      <c r="C1108" s="192" t="s">
        <v>849</v>
      </c>
      <c r="D1108" s="201" t="s">
        <v>850</v>
      </c>
      <c r="E1108" s="192">
        <v>244.1</v>
      </c>
      <c r="F1108" s="192">
        <v>89.5</v>
      </c>
      <c r="G1108" s="192">
        <v>148.80000000000001</v>
      </c>
    </row>
    <row r="1109" spans="1:7" x14ac:dyDescent="0.3">
      <c r="A1109" s="191" t="s">
        <v>837</v>
      </c>
      <c r="B1109" s="191" t="s">
        <v>940</v>
      </c>
      <c r="C1109" s="192" t="s">
        <v>851</v>
      </c>
      <c r="D1109" s="201" t="s">
        <v>852</v>
      </c>
      <c r="E1109" s="192">
        <v>124.5</v>
      </c>
      <c r="F1109" s="192">
        <v>88.7</v>
      </c>
      <c r="G1109" s="192">
        <v>113.1</v>
      </c>
    </row>
    <row r="1110" spans="1:7" x14ac:dyDescent="0.3">
      <c r="A1110" s="191" t="s">
        <v>837</v>
      </c>
      <c r="B1110" s="191" t="s">
        <v>940</v>
      </c>
      <c r="C1110" s="192" t="s">
        <v>853</v>
      </c>
      <c r="D1110" s="201" t="s">
        <v>854</v>
      </c>
      <c r="E1110" s="192">
        <v>153.9</v>
      </c>
      <c r="F1110" s="192">
        <v>84.7</v>
      </c>
      <c r="G1110" s="192">
        <v>115.3</v>
      </c>
    </row>
    <row r="1111" spans="1:7" x14ac:dyDescent="0.3">
      <c r="A1111" s="191" t="s">
        <v>837</v>
      </c>
      <c r="B1111" s="191" t="s">
        <v>940</v>
      </c>
      <c r="C1111" s="192" t="s">
        <v>855</v>
      </c>
      <c r="D1111" s="201" t="s">
        <v>856</v>
      </c>
      <c r="E1111" s="192">
        <v>150.4</v>
      </c>
      <c r="F1111" s="192">
        <v>83.7</v>
      </c>
      <c r="G1111" s="192">
        <v>122.5</v>
      </c>
    </row>
    <row r="1112" spans="1:7" x14ac:dyDescent="0.3">
      <c r="A1112" s="191" t="s">
        <v>837</v>
      </c>
      <c r="B1112" s="191" t="s">
        <v>940</v>
      </c>
      <c r="C1112" s="192" t="s">
        <v>857</v>
      </c>
      <c r="D1112" s="201" t="s">
        <v>858</v>
      </c>
      <c r="E1112" s="192">
        <v>103.9</v>
      </c>
      <c r="F1112" s="192">
        <v>81.3</v>
      </c>
      <c r="G1112" s="192">
        <v>98.6</v>
      </c>
    </row>
    <row r="1113" spans="1:7" x14ac:dyDescent="0.3">
      <c r="A1113" s="191" t="s">
        <v>837</v>
      </c>
      <c r="B1113" s="191" t="s">
        <v>940</v>
      </c>
      <c r="C1113" s="192" t="s">
        <v>859</v>
      </c>
      <c r="D1113" s="201" t="s">
        <v>860</v>
      </c>
      <c r="E1113" s="192">
        <v>130.30000000000001</v>
      </c>
      <c r="F1113" s="192">
        <v>84.1</v>
      </c>
      <c r="G1113" s="192">
        <v>99.5</v>
      </c>
    </row>
    <row r="1114" spans="1:7" x14ac:dyDescent="0.3">
      <c r="A1114" s="191" t="s">
        <v>837</v>
      </c>
      <c r="B1114" s="191" t="s">
        <v>940</v>
      </c>
      <c r="C1114" s="192" t="s">
        <v>861</v>
      </c>
      <c r="D1114" s="201" t="s">
        <v>862</v>
      </c>
      <c r="E1114" s="192">
        <v>108.2</v>
      </c>
      <c r="F1114" s="192">
        <v>84.1</v>
      </c>
      <c r="G1114" s="192">
        <v>92.3</v>
      </c>
    </row>
    <row r="1115" spans="1:7" x14ac:dyDescent="0.3">
      <c r="A1115" s="191" t="s">
        <v>837</v>
      </c>
      <c r="B1115" s="191" t="s">
        <v>940</v>
      </c>
      <c r="C1115" s="192" t="s">
        <v>863</v>
      </c>
      <c r="D1115" s="201" t="s">
        <v>864</v>
      </c>
      <c r="E1115" s="192">
        <v>143.1</v>
      </c>
      <c r="F1115" s="192">
        <v>93.7</v>
      </c>
      <c r="G1115" s="192">
        <v>128.9</v>
      </c>
    </row>
    <row r="1116" spans="1:7" x14ac:dyDescent="0.3">
      <c r="A1116" s="191" t="s">
        <v>837</v>
      </c>
      <c r="B1116" s="191" t="s">
        <v>940</v>
      </c>
      <c r="C1116" s="192" t="s">
        <v>865</v>
      </c>
      <c r="D1116" s="201" t="s">
        <v>866</v>
      </c>
      <c r="E1116" s="192">
        <v>120.1</v>
      </c>
      <c r="F1116" s="192">
        <v>91.2</v>
      </c>
      <c r="G1116" s="192">
        <v>103.3</v>
      </c>
    </row>
    <row r="1117" spans="1:7" x14ac:dyDescent="0.3">
      <c r="A1117" s="191" t="s">
        <v>837</v>
      </c>
      <c r="B1117" s="191" t="s">
        <v>940</v>
      </c>
      <c r="C1117" s="192" t="s">
        <v>867</v>
      </c>
      <c r="D1117" s="201" t="s">
        <v>868</v>
      </c>
      <c r="E1117" s="192">
        <v>125.9</v>
      </c>
      <c r="F1117" s="192">
        <v>87.3</v>
      </c>
      <c r="G1117" s="192">
        <v>104.5</v>
      </c>
    </row>
    <row r="1118" spans="1:7" x14ac:dyDescent="0.3">
      <c r="A1118" s="191" t="s">
        <v>837</v>
      </c>
      <c r="B1118" s="191" t="s">
        <v>940</v>
      </c>
      <c r="C1118" s="192" t="s">
        <v>869</v>
      </c>
      <c r="D1118" s="201" t="s">
        <v>870</v>
      </c>
      <c r="E1118" s="192">
        <v>131.1</v>
      </c>
      <c r="F1118" s="192">
        <v>70.7</v>
      </c>
      <c r="G1118" s="192">
        <v>118</v>
      </c>
    </row>
    <row r="1119" spans="1:7" x14ac:dyDescent="0.3">
      <c r="A1119" s="191" t="s">
        <v>837</v>
      </c>
      <c r="B1119" s="191" t="s">
        <v>940</v>
      </c>
      <c r="C1119" s="192" t="s">
        <v>871</v>
      </c>
      <c r="D1119" s="201" t="s">
        <v>872</v>
      </c>
      <c r="E1119" s="192">
        <v>103.7</v>
      </c>
      <c r="F1119" s="192">
        <v>97.1</v>
      </c>
      <c r="G1119" s="192">
        <v>100.9</v>
      </c>
    </row>
    <row r="1120" spans="1:7" x14ac:dyDescent="0.3">
      <c r="A1120" s="191" t="s">
        <v>837</v>
      </c>
      <c r="B1120" s="191" t="s">
        <v>940</v>
      </c>
      <c r="C1120" s="192" t="s">
        <v>873</v>
      </c>
      <c r="D1120" s="201" t="s">
        <v>874</v>
      </c>
      <c r="E1120" s="192">
        <v>114.4</v>
      </c>
      <c r="F1120" s="192">
        <v>90.1</v>
      </c>
      <c r="G1120" s="192">
        <v>102.1</v>
      </c>
    </row>
    <row r="1121" spans="1:7" x14ac:dyDescent="0.3">
      <c r="A1121" s="191" t="s">
        <v>837</v>
      </c>
      <c r="B1121" s="191" t="s">
        <v>940</v>
      </c>
      <c r="C1121" s="192" t="s">
        <v>875</v>
      </c>
      <c r="D1121" s="201" t="s">
        <v>876</v>
      </c>
      <c r="E1121" s="192">
        <v>128.6</v>
      </c>
      <c r="F1121" s="192">
        <v>89.8</v>
      </c>
      <c r="G1121" s="192">
        <v>111.5</v>
      </c>
    </row>
    <row r="1122" spans="1:7" x14ac:dyDescent="0.3">
      <c r="A1122" s="191" t="s">
        <v>900</v>
      </c>
      <c r="B1122" s="191" t="s">
        <v>941</v>
      </c>
      <c r="C1122" s="192" t="s">
        <v>1301</v>
      </c>
      <c r="D1122" s="202" t="s">
        <v>1599</v>
      </c>
      <c r="E1122" s="192">
        <v>0</v>
      </c>
      <c r="F1122" s="192">
        <v>100.3</v>
      </c>
      <c r="G1122" s="192">
        <v>100.3</v>
      </c>
    </row>
    <row r="1123" spans="1:7" x14ac:dyDescent="0.3">
      <c r="A1123" s="191" t="s">
        <v>900</v>
      </c>
      <c r="B1123" s="191" t="s">
        <v>941</v>
      </c>
      <c r="C1123" s="192" t="s">
        <v>839</v>
      </c>
      <c r="D1123" s="201" t="s">
        <v>840</v>
      </c>
      <c r="E1123" s="192">
        <v>112.1</v>
      </c>
      <c r="F1123" s="192">
        <v>95.5</v>
      </c>
      <c r="G1123" s="192">
        <v>100.4</v>
      </c>
    </row>
    <row r="1124" spans="1:7" x14ac:dyDescent="0.3">
      <c r="A1124" s="191" t="s">
        <v>900</v>
      </c>
      <c r="B1124" s="191" t="s">
        <v>941</v>
      </c>
      <c r="C1124" s="192" t="s">
        <v>841</v>
      </c>
      <c r="D1124" s="201" t="s">
        <v>842</v>
      </c>
      <c r="E1124" s="192">
        <v>106.5</v>
      </c>
      <c r="F1124" s="192">
        <v>58.5</v>
      </c>
      <c r="G1124" s="192">
        <v>65</v>
      </c>
    </row>
    <row r="1125" spans="1:7" x14ac:dyDescent="0.3">
      <c r="A1125" s="191" t="s">
        <v>900</v>
      </c>
      <c r="B1125" s="191" t="s">
        <v>941</v>
      </c>
      <c r="C1125" s="192" t="s">
        <v>843</v>
      </c>
      <c r="D1125" s="201" t="s">
        <v>844</v>
      </c>
      <c r="E1125" s="192">
        <v>109.6</v>
      </c>
      <c r="F1125" s="192">
        <v>61.1</v>
      </c>
      <c r="G1125" s="192">
        <v>84.5</v>
      </c>
    </row>
    <row r="1126" spans="1:7" x14ac:dyDescent="0.3">
      <c r="A1126" s="191" t="s">
        <v>900</v>
      </c>
      <c r="B1126" s="191" t="s">
        <v>941</v>
      </c>
      <c r="C1126" s="192" t="s">
        <v>845</v>
      </c>
      <c r="D1126" s="201" t="s">
        <v>846</v>
      </c>
      <c r="E1126" s="192">
        <v>121.9</v>
      </c>
      <c r="F1126" s="192">
        <v>70.099999999999994</v>
      </c>
      <c r="G1126" s="192">
        <v>101.5</v>
      </c>
    </row>
    <row r="1127" spans="1:7" x14ac:dyDescent="0.3">
      <c r="A1127" s="191" t="s">
        <v>900</v>
      </c>
      <c r="B1127" s="191" t="s">
        <v>941</v>
      </c>
      <c r="C1127" s="192" t="s">
        <v>847</v>
      </c>
      <c r="D1127" s="201" t="s">
        <v>848</v>
      </c>
      <c r="E1127" s="192">
        <v>110.8</v>
      </c>
      <c r="F1127" s="192">
        <v>63.8</v>
      </c>
      <c r="G1127" s="192">
        <v>87.9</v>
      </c>
    </row>
    <row r="1128" spans="1:7" x14ac:dyDescent="0.3">
      <c r="A1128" s="191" t="s">
        <v>900</v>
      </c>
      <c r="B1128" s="191" t="s">
        <v>941</v>
      </c>
      <c r="C1128" s="192" t="s">
        <v>849</v>
      </c>
      <c r="D1128" s="201" t="s">
        <v>850</v>
      </c>
      <c r="E1128" s="192">
        <v>162.69999999999999</v>
      </c>
      <c r="F1128" s="192">
        <v>64.099999999999994</v>
      </c>
      <c r="G1128" s="192">
        <v>101.9</v>
      </c>
    </row>
    <row r="1129" spans="1:7" x14ac:dyDescent="0.3">
      <c r="A1129" s="191" t="s">
        <v>900</v>
      </c>
      <c r="B1129" s="191" t="s">
        <v>941</v>
      </c>
      <c r="C1129" s="192" t="s">
        <v>851</v>
      </c>
      <c r="D1129" s="201" t="s">
        <v>852</v>
      </c>
      <c r="E1129" s="192">
        <v>107.5</v>
      </c>
      <c r="F1129" s="192">
        <v>73.8</v>
      </c>
      <c r="G1129" s="192">
        <v>96.8</v>
      </c>
    </row>
    <row r="1130" spans="1:7" x14ac:dyDescent="0.3">
      <c r="A1130" s="191" t="s">
        <v>900</v>
      </c>
      <c r="B1130" s="191" t="s">
        <v>941</v>
      </c>
      <c r="C1130" s="192" t="s">
        <v>853</v>
      </c>
      <c r="D1130" s="201" t="s">
        <v>854</v>
      </c>
      <c r="E1130" s="192">
        <v>101.7</v>
      </c>
      <c r="F1130" s="192">
        <v>57.1</v>
      </c>
      <c r="G1130" s="192">
        <v>76.900000000000006</v>
      </c>
    </row>
    <row r="1131" spans="1:7" x14ac:dyDescent="0.3">
      <c r="A1131" s="191" t="s">
        <v>900</v>
      </c>
      <c r="B1131" s="191" t="s">
        <v>941</v>
      </c>
      <c r="C1131" s="192" t="s">
        <v>855</v>
      </c>
      <c r="D1131" s="201" t="s">
        <v>856</v>
      </c>
      <c r="E1131" s="192">
        <v>109.9</v>
      </c>
      <c r="F1131" s="192">
        <v>61.7</v>
      </c>
      <c r="G1131" s="192">
        <v>89.7</v>
      </c>
    </row>
    <row r="1132" spans="1:7" x14ac:dyDescent="0.3">
      <c r="A1132" s="191" t="s">
        <v>900</v>
      </c>
      <c r="B1132" s="191" t="s">
        <v>941</v>
      </c>
      <c r="C1132" s="192" t="s">
        <v>857</v>
      </c>
      <c r="D1132" s="201" t="s">
        <v>858</v>
      </c>
      <c r="E1132" s="192">
        <v>89.6</v>
      </c>
      <c r="F1132" s="192">
        <v>55.1</v>
      </c>
      <c r="G1132" s="192">
        <v>81.5</v>
      </c>
    </row>
    <row r="1133" spans="1:7" x14ac:dyDescent="0.3">
      <c r="A1133" s="191" t="s">
        <v>900</v>
      </c>
      <c r="B1133" s="191" t="s">
        <v>941</v>
      </c>
      <c r="C1133" s="192" t="s">
        <v>859</v>
      </c>
      <c r="D1133" s="201" t="s">
        <v>860</v>
      </c>
      <c r="E1133" s="192">
        <v>100.5</v>
      </c>
      <c r="F1133" s="192">
        <v>55.8</v>
      </c>
      <c r="G1133" s="192">
        <v>70.599999999999994</v>
      </c>
    </row>
    <row r="1134" spans="1:7" x14ac:dyDescent="0.3">
      <c r="A1134" s="191" t="s">
        <v>900</v>
      </c>
      <c r="B1134" s="191" t="s">
        <v>941</v>
      </c>
      <c r="C1134" s="192" t="s">
        <v>861</v>
      </c>
      <c r="D1134" s="201" t="s">
        <v>862</v>
      </c>
      <c r="E1134" s="192">
        <v>98.9</v>
      </c>
      <c r="F1134" s="192">
        <v>55.8</v>
      </c>
      <c r="G1134" s="192">
        <v>70.400000000000006</v>
      </c>
    </row>
    <row r="1135" spans="1:7" x14ac:dyDescent="0.3">
      <c r="A1135" s="191" t="s">
        <v>900</v>
      </c>
      <c r="B1135" s="191" t="s">
        <v>941</v>
      </c>
      <c r="C1135" s="192" t="s">
        <v>863</v>
      </c>
      <c r="D1135" s="201" t="s">
        <v>864</v>
      </c>
      <c r="E1135" s="192">
        <v>111.9</v>
      </c>
      <c r="F1135" s="192">
        <v>60.8</v>
      </c>
      <c r="G1135" s="192">
        <v>97.2</v>
      </c>
    </row>
    <row r="1136" spans="1:7" x14ac:dyDescent="0.3">
      <c r="A1136" s="191" t="s">
        <v>900</v>
      </c>
      <c r="B1136" s="191" t="s">
        <v>941</v>
      </c>
      <c r="C1136" s="192" t="s">
        <v>865</v>
      </c>
      <c r="D1136" s="201" t="s">
        <v>866</v>
      </c>
      <c r="E1136" s="192">
        <v>112.3</v>
      </c>
      <c r="F1136" s="192">
        <v>57</v>
      </c>
      <c r="G1136" s="192">
        <v>80.099999999999994</v>
      </c>
    </row>
    <row r="1137" spans="1:7" x14ac:dyDescent="0.3">
      <c r="A1137" s="191" t="s">
        <v>900</v>
      </c>
      <c r="B1137" s="191" t="s">
        <v>941</v>
      </c>
      <c r="C1137" s="192" t="s">
        <v>867</v>
      </c>
      <c r="D1137" s="201" t="s">
        <v>868</v>
      </c>
      <c r="E1137" s="192">
        <v>107</v>
      </c>
      <c r="F1137" s="192">
        <v>58.6</v>
      </c>
      <c r="G1137" s="192">
        <v>80.2</v>
      </c>
    </row>
    <row r="1138" spans="1:7" x14ac:dyDescent="0.3">
      <c r="A1138" s="191" t="s">
        <v>900</v>
      </c>
      <c r="B1138" s="191" t="s">
        <v>941</v>
      </c>
      <c r="C1138" s="192" t="s">
        <v>869</v>
      </c>
      <c r="D1138" s="201" t="s">
        <v>870</v>
      </c>
      <c r="E1138" s="192">
        <v>131.1</v>
      </c>
      <c r="F1138" s="192">
        <v>62.7</v>
      </c>
      <c r="G1138" s="192">
        <v>116.3</v>
      </c>
    </row>
    <row r="1139" spans="1:7" x14ac:dyDescent="0.3">
      <c r="A1139" s="191" t="s">
        <v>900</v>
      </c>
      <c r="B1139" s="191" t="s">
        <v>941</v>
      </c>
      <c r="C1139" s="192" t="s">
        <v>871</v>
      </c>
      <c r="D1139" s="201" t="s">
        <v>872</v>
      </c>
      <c r="E1139" s="192">
        <v>103.9</v>
      </c>
      <c r="F1139" s="192">
        <v>67.8</v>
      </c>
      <c r="G1139" s="192">
        <v>88.7</v>
      </c>
    </row>
    <row r="1140" spans="1:7" x14ac:dyDescent="0.3">
      <c r="A1140" s="191" t="s">
        <v>900</v>
      </c>
      <c r="B1140" s="191" t="s">
        <v>941</v>
      </c>
      <c r="C1140" s="192" t="s">
        <v>873</v>
      </c>
      <c r="D1140" s="201" t="s">
        <v>874</v>
      </c>
      <c r="E1140" s="192">
        <v>110.9</v>
      </c>
      <c r="F1140" s="192">
        <v>62.3</v>
      </c>
      <c r="G1140" s="192">
        <v>86.3</v>
      </c>
    </row>
    <row r="1141" spans="1:7" x14ac:dyDescent="0.3">
      <c r="A1141" s="191" t="s">
        <v>900</v>
      </c>
      <c r="B1141" s="191" t="s">
        <v>941</v>
      </c>
      <c r="C1141" s="192" t="s">
        <v>875</v>
      </c>
      <c r="D1141" s="201" t="s">
        <v>876</v>
      </c>
      <c r="E1141" s="192">
        <v>110.3</v>
      </c>
      <c r="F1141" s="192">
        <v>66.8</v>
      </c>
      <c r="G1141" s="192">
        <v>91.1</v>
      </c>
    </row>
    <row r="1142" spans="1:7" x14ac:dyDescent="0.3">
      <c r="A1142" s="191" t="s">
        <v>884</v>
      </c>
      <c r="B1142" s="191" t="s">
        <v>942</v>
      </c>
      <c r="C1142" s="192" t="s">
        <v>1301</v>
      </c>
      <c r="D1142" s="202" t="s">
        <v>1599</v>
      </c>
      <c r="E1142" s="192">
        <v>0</v>
      </c>
      <c r="F1142" s="192">
        <v>102.2</v>
      </c>
      <c r="G1142" s="192">
        <v>102.2</v>
      </c>
    </row>
    <row r="1143" spans="1:7" x14ac:dyDescent="0.3">
      <c r="A1143" s="191" t="s">
        <v>884</v>
      </c>
      <c r="B1143" s="191" t="s">
        <v>942</v>
      </c>
      <c r="C1143" s="192" t="s">
        <v>839</v>
      </c>
      <c r="D1143" s="201" t="s">
        <v>840</v>
      </c>
      <c r="E1143" s="192">
        <v>99.2</v>
      </c>
      <c r="F1143" s="192">
        <v>99.1</v>
      </c>
      <c r="G1143" s="192">
        <v>99.1</v>
      </c>
    </row>
    <row r="1144" spans="1:7" x14ac:dyDescent="0.3">
      <c r="A1144" s="191" t="s">
        <v>884</v>
      </c>
      <c r="B1144" s="191" t="s">
        <v>942</v>
      </c>
      <c r="C1144" s="192" t="s">
        <v>841</v>
      </c>
      <c r="D1144" s="201" t="s">
        <v>842</v>
      </c>
      <c r="E1144" s="192">
        <v>130</v>
      </c>
      <c r="F1144" s="192">
        <v>85.3</v>
      </c>
      <c r="G1144" s="192">
        <v>91.3</v>
      </c>
    </row>
    <row r="1145" spans="1:7" x14ac:dyDescent="0.3">
      <c r="A1145" s="191" t="s">
        <v>884</v>
      </c>
      <c r="B1145" s="191" t="s">
        <v>942</v>
      </c>
      <c r="C1145" s="192" t="s">
        <v>843</v>
      </c>
      <c r="D1145" s="201" t="s">
        <v>844</v>
      </c>
      <c r="E1145" s="192">
        <v>144.6</v>
      </c>
      <c r="F1145" s="192">
        <v>77.900000000000006</v>
      </c>
      <c r="G1145" s="192">
        <v>110.1</v>
      </c>
    </row>
    <row r="1146" spans="1:7" x14ac:dyDescent="0.3">
      <c r="A1146" s="191" t="s">
        <v>884</v>
      </c>
      <c r="B1146" s="191" t="s">
        <v>942</v>
      </c>
      <c r="C1146" s="192" t="s">
        <v>845</v>
      </c>
      <c r="D1146" s="201" t="s">
        <v>846</v>
      </c>
      <c r="E1146" s="192">
        <v>119.4</v>
      </c>
      <c r="F1146" s="192">
        <v>96.6</v>
      </c>
      <c r="G1146" s="192">
        <v>110.4</v>
      </c>
    </row>
    <row r="1147" spans="1:7" x14ac:dyDescent="0.3">
      <c r="A1147" s="191" t="s">
        <v>884</v>
      </c>
      <c r="B1147" s="191" t="s">
        <v>942</v>
      </c>
      <c r="C1147" s="192" t="s">
        <v>847</v>
      </c>
      <c r="D1147" s="201" t="s">
        <v>848</v>
      </c>
      <c r="E1147" s="192">
        <v>122.3</v>
      </c>
      <c r="F1147" s="192">
        <v>88</v>
      </c>
      <c r="G1147" s="192">
        <v>105.7</v>
      </c>
    </row>
    <row r="1148" spans="1:7" x14ac:dyDescent="0.3">
      <c r="A1148" s="191" t="s">
        <v>884</v>
      </c>
      <c r="B1148" s="191" t="s">
        <v>942</v>
      </c>
      <c r="C1148" s="192" t="s">
        <v>849</v>
      </c>
      <c r="D1148" s="201" t="s">
        <v>850</v>
      </c>
      <c r="E1148" s="192">
        <v>165.4</v>
      </c>
      <c r="F1148" s="192">
        <v>86.7</v>
      </c>
      <c r="G1148" s="192">
        <v>116.9</v>
      </c>
    </row>
    <row r="1149" spans="1:7" x14ac:dyDescent="0.3">
      <c r="A1149" s="191" t="s">
        <v>884</v>
      </c>
      <c r="B1149" s="191" t="s">
        <v>942</v>
      </c>
      <c r="C1149" s="192" t="s">
        <v>851</v>
      </c>
      <c r="D1149" s="201" t="s">
        <v>852</v>
      </c>
      <c r="E1149" s="192">
        <v>108.6</v>
      </c>
      <c r="F1149" s="192">
        <v>86.8</v>
      </c>
      <c r="G1149" s="192">
        <v>101.7</v>
      </c>
    </row>
    <row r="1150" spans="1:7" x14ac:dyDescent="0.3">
      <c r="A1150" s="191" t="s">
        <v>884</v>
      </c>
      <c r="B1150" s="191" t="s">
        <v>942</v>
      </c>
      <c r="C1150" s="192" t="s">
        <v>853</v>
      </c>
      <c r="D1150" s="201" t="s">
        <v>854</v>
      </c>
      <c r="E1150" s="192">
        <v>132.5</v>
      </c>
      <c r="F1150" s="192">
        <v>85</v>
      </c>
      <c r="G1150" s="192">
        <v>106</v>
      </c>
    </row>
    <row r="1151" spans="1:7" x14ac:dyDescent="0.3">
      <c r="A1151" s="191" t="s">
        <v>884</v>
      </c>
      <c r="B1151" s="191" t="s">
        <v>942</v>
      </c>
      <c r="C1151" s="192" t="s">
        <v>855</v>
      </c>
      <c r="D1151" s="201" t="s">
        <v>856</v>
      </c>
      <c r="E1151" s="192">
        <v>110.6</v>
      </c>
      <c r="F1151" s="192">
        <v>87.9</v>
      </c>
      <c r="G1151" s="192">
        <v>101.1</v>
      </c>
    </row>
    <row r="1152" spans="1:7" x14ac:dyDescent="0.3">
      <c r="A1152" s="191" t="s">
        <v>884</v>
      </c>
      <c r="B1152" s="191" t="s">
        <v>942</v>
      </c>
      <c r="C1152" s="192" t="s">
        <v>857</v>
      </c>
      <c r="D1152" s="201" t="s">
        <v>858</v>
      </c>
      <c r="E1152" s="192">
        <v>94.8</v>
      </c>
      <c r="F1152" s="192">
        <v>74.099999999999994</v>
      </c>
      <c r="G1152" s="192">
        <v>90</v>
      </c>
    </row>
    <row r="1153" spans="1:7" x14ac:dyDescent="0.3">
      <c r="A1153" s="191" t="s">
        <v>884</v>
      </c>
      <c r="B1153" s="191" t="s">
        <v>942</v>
      </c>
      <c r="C1153" s="192" t="s">
        <v>859</v>
      </c>
      <c r="D1153" s="201" t="s">
        <v>860</v>
      </c>
      <c r="E1153" s="192">
        <v>115.7</v>
      </c>
      <c r="F1153" s="192">
        <v>84.4</v>
      </c>
      <c r="G1153" s="192">
        <v>94.8</v>
      </c>
    </row>
    <row r="1154" spans="1:7" x14ac:dyDescent="0.3">
      <c r="A1154" s="191" t="s">
        <v>884</v>
      </c>
      <c r="B1154" s="191" t="s">
        <v>942</v>
      </c>
      <c r="C1154" s="192" t="s">
        <v>861</v>
      </c>
      <c r="D1154" s="201" t="s">
        <v>862</v>
      </c>
      <c r="E1154" s="192">
        <v>98.1</v>
      </c>
      <c r="F1154" s="192">
        <v>84.4</v>
      </c>
      <c r="G1154" s="192">
        <v>89</v>
      </c>
    </row>
    <row r="1155" spans="1:7" x14ac:dyDescent="0.3">
      <c r="A1155" s="191" t="s">
        <v>884</v>
      </c>
      <c r="B1155" s="191" t="s">
        <v>942</v>
      </c>
      <c r="C1155" s="192" t="s">
        <v>863</v>
      </c>
      <c r="D1155" s="201" t="s">
        <v>864</v>
      </c>
      <c r="E1155" s="192">
        <v>122.5</v>
      </c>
      <c r="F1155" s="192">
        <v>95.7</v>
      </c>
      <c r="G1155" s="192">
        <v>114.8</v>
      </c>
    </row>
    <row r="1156" spans="1:7" x14ac:dyDescent="0.3">
      <c r="A1156" s="191" t="s">
        <v>884</v>
      </c>
      <c r="B1156" s="191" t="s">
        <v>942</v>
      </c>
      <c r="C1156" s="192" t="s">
        <v>865</v>
      </c>
      <c r="D1156" s="201" t="s">
        <v>866</v>
      </c>
      <c r="E1156" s="192">
        <v>112.3</v>
      </c>
      <c r="F1156" s="192">
        <v>91.7</v>
      </c>
      <c r="G1156" s="192">
        <v>100.3</v>
      </c>
    </row>
    <row r="1157" spans="1:7" x14ac:dyDescent="0.3">
      <c r="A1157" s="191" t="s">
        <v>884</v>
      </c>
      <c r="B1157" s="191" t="s">
        <v>942</v>
      </c>
      <c r="C1157" s="192" t="s">
        <v>867</v>
      </c>
      <c r="D1157" s="201" t="s">
        <v>868</v>
      </c>
      <c r="E1157" s="192">
        <v>111.1</v>
      </c>
      <c r="F1157" s="192">
        <v>88.2</v>
      </c>
      <c r="G1157" s="192">
        <v>98.4</v>
      </c>
    </row>
    <row r="1158" spans="1:7" x14ac:dyDescent="0.3">
      <c r="A1158" s="191" t="s">
        <v>884</v>
      </c>
      <c r="B1158" s="191" t="s">
        <v>942</v>
      </c>
      <c r="C1158" s="192" t="s">
        <v>869</v>
      </c>
      <c r="D1158" s="201" t="s">
        <v>870</v>
      </c>
      <c r="E1158" s="192">
        <v>131.1</v>
      </c>
      <c r="F1158" s="192">
        <v>82.8</v>
      </c>
      <c r="G1158" s="192">
        <v>120.7</v>
      </c>
    </row>
    <row r="1159" spans="1:7" x14ac:dyDescent="0.3">
      <c r="A1159" s="191" t="s">
        <v>884</v>
      </c>
      <c r="B1159" s="191" t="s">
        <v>942</v>
      </c>
      <c r="C1159" s="192" t="s">
        <v>871</v>
      </c>
      <c r="D1159" s="201" t="s">
        <v>872</v>
      </c>
      <c r="E1159" s="192">
        <v>103.6</v>
      </c>
      <c r="F1159" s="192">
        <v>90</v>
      </c>
      <c r="G1159" s="192">
        <v>97.8</v>
      </c>
    </row>
    <row r="1160" spans="1:7" x14ac:dyDescent="0.3">
      <c r="A1160" s="191" t="s">
        <v>884</v>
      </c>
      <c r="B1160" s="191" t="s">
        <v>942</v>
      </c>
      <c r="C1160" s="192" t="s">
        <v>873</v>
      </c>
      <c r="D1160" s="201" t="s">
        <v>874</v>
      </c>
      <c r="E1160" s="192">
        <v>108.9</v>
      </c>
      <c r="F1160" s="192">
        <v>72.099999999999994</v>
      </c>
      <c r="G1160" s="192">
        <v>90.3</v>
      </c>
    </row>
    <row r="1161" spans="1:7" x14ac:dyDescent="0.3">
      <c r="A1161" s="191" t="s">
        <v>884</v>
      </c>
      <c r="B1161" s="191" t="s">
        <v>942</v>
      </c>
      <c r="C1161" s="192" t="s">
        <v>875</v>
      </c>
      <c r="D1161" s="201" t="s">
        <v>876</v>
      </c>
      <c r="E1161" s="192">
        <v>112.5</v>
      </c>
      <c r="F1161" s="192">
        <v>86.1</v>
      </c>
      <c r="G1161" s="192">
        <v>100.9</v>
      </c>
    </row>
    <row r="1162" spans="1:7" x14ac:dyDescent="0.3">
      <c r="A1162" s="191" t="s">
        <v>884</v>
      </c>
      <c r="B1162" s="191" t="s">
        <v>943</v>
      </c>
      <c r="C1162" s="192" t="s">
        <v>1301</v>
      </c>
      <c r="D1162" s="202" t="s">
        <v>1599</v>
      </c>
      <c r="E1162" s="192">
        <v>0</v>
      </c>
      <c r="F1162" s="192">
        <v>102.2</v>
      </c>
      <c r="G1162" s="192">
        <v>102.2</v>
      </c>
    </row>
    <row r="1163" spans="1:7" x14ac:dyDescent="0.3">
      <c r="A1163" s="191" t="s">
        <v>884</v>
      </c>
      <c r="B1163" s="191" t="s">
        <v>943</v>
      </c>
      <c r="C1163" s="192" t="s">
        <v>839</v>
      </c>
      <c r="D1163" s="201" t="s">
        <v>840</v>
      </c>
      <c r="E1163" s="192">
        <v>99.7</v>
      </c>
      <c r="F1163" s="192">
        <v>99.1</v>
      </c>
      <c r="G1163" s="192">
        <v>99.3</v>
      </c>
    </row>
    <row r="1164" spans="1:7" x14ac:dyDescent="0.3">
      <c r="A1164" s="191" t="s">
        <v>884</v>
      </c>
      <c r="B1164" s="191" t="s">
        <v>943</v>
      </c>
      <c r="C1164" s="192" t="s">
        <v>841</v>
      </c>
      <c r="D1164" s="201" t="s">
        <v>842</v>
      </c>
      <c r="E1164" s="192">
        <v>130</v>
      </c>
      <c r="F1164" s="192">
        <v>85.3</v>
      </c>
      <c r="G1164" s="192">
        <v>91.3</v>
      </c>
    </row>
    <row r="1165" spans="1:7" x14ac:dyDescent="0.3">
      <c r="A1165" s="191" t="s">
        <v>884</v>
      </c>
      <c r="B1165" s="191" t="s">
        <v>943</v>
      </c>
      <c r="C1165" s="192" t="s">
        <v>843</v>
      </c>
      <c r="D1165" s="201" t="s">
        <v>844</v>
      </c>
      <c r="E1165" s="192">
        <v>144.6</v>
      </c>
      <c r="F1165" s="192">
        <v>77.900000000000006</v>
      </c>
      <c r="G1165" s="192">
        <v>110.1</v>
      </c>
    </row>
    <row r="1166" spans="1:7" x14ac:dyDescent="0.3">
      <c r="A1166" s="191" t="s">
        <v>884</v>
      </c>
      <c r="B1166" s="191" t="s">
        <v>943</v>
      </c>
      <c r="C1166" s="192" t="s">
        <v>845</v>
      </c>
      <c r="D1166" s="201" t="s">
        <v>846</v>
      </c>
      <c r="E1166" s="192">
        <v>123.4</v>
      </c>
      <c r="F1166" s="192">
        <v>96.6</v>
      </c>
      <c r="G1166" s="192">
        <v>112.8</v>
      </c>
    </row>
    <row r="1167" spans="1:7" x14ac:dyDescent="0.3">
      <c r="A1167" s="191" t="s">
        <v>884</v>
      </c>
      <c r="B1167" s="191" t="s">
        <v>943</v>
      </c>
      <c r="C1167" s="192" t="s">
        <v>847</v>
      </c>
      <c r="D1167" s="201" t="s">
        <v>848</v>
      </c>
      <c r="E1167" s="192">
        <v>124.3</v>
      </c>
      <c r="F1167" s="192">
        <v>88</v>
      </c>
      <c r="G1167" s="192">
        <v>106.7</v>
      </c>
    </row>
    <row r="1168" spans="1:7" x14ac:dyDescent="0.3">
      <c r="A1168" s="191" t="s">
        <v>884</v>
      </c>
      <c r="B1168" s="191" t="s">
        <v>943</v>
      </c>
      <c r="C1168" s="192" t="s">
        <v>849</v>
      </c>
      <c r="D1168" s="201" t="s">
        <v>850</v>
      </c>
      <c r="E1168" s="192">
        <v>165.7</v>
      </c>
      <c r="F1168" s="192">
        <v>86.7</v>
      </c>
      <c r="G1168" s="192">
        <v>117</v>
      </c>
    </row>
    <row r="1169" spans="1:7" x14ac:dyDescent="0.3">
      <c r="A1169" s="191" t="s">
        <v>884</v>
      </c>
      <c r="B1169" s="191" t="s">
        <v>943</v>
      </c>
      <c r="C1169" s="192" t="s">
        <v>851</v>
      </c>
      <c r="D1169" s="201" t="s">
        <v>852</v>
      </c>
      <c r="E1169" s="192">
        <v>108.6</v>
      </c>
      <c r="F1169" s="192">
        <v>86.8</v>
      </c>
      <c r="G1169" s="192">
        <v>101.7</v>
      </c>
    </row>
    <row r="1170" spans="1:7" x14ac:dyDescent="0.3">
      <c r="A1170" s="191" t="s">
        <v>884</v>
      </c>
      <c r="B1170" s="191" t="s">
        <v>943</v>
      </c>
      <c r="C1170" s="192" t="s">
        <v>853</v>
      </c>
      <c r="D1170" s="201" t="s">
        <v>854</v>
      </c>
      <c r="E1170" s="192">
        <v>132.5</v>
      </c>
      <c r="F1170" s="192">
        <v>85</v>
      </c>
      <c r="G1170" s="192">
        <v>106</v>
      </c>
    </row>
    <row r="1171" spans="1:7" x14ac:dyDescent="0.3">
      <c r="A1171" s="191" t="s">
        <v>884</v>
      </c>
      <c r="B1171" s="191" t="s">
        <v>943</v>
      </c>
      <c r="C1171" s="192" t="s">
        <v>855</v>
      </c>
      <c r="D1171" s="201" t="s">
        <v>856</v>
      </c>
      <c r="E1171" s="192">
        <v>110.6</v>
      </c>
      <c r="F1171" s="192">
        <v>87.9</v>
      </c>
      <c r="G1171" s="192">
        <v>101.1</v>
      </c>
    </row>
    <row r="1172" spans="1:7" x14ac:dyDescent="0.3">
      <c r="A1172" s="191" t="s">
        <v>884</v>
      </c>
      <c r="B1172" s="191" t="s">
        <v>943</v>
      </c>
      <c r="C1172" s="192" t="s">
        <v>857</v>
      </c>
      <c r="D1172" s="201" t="s">
        <v>858</v>
      </c>
      <c r="E1172" s="192">
        <v>94.8</v>
      </c>
      <c r="F1172" s="192">
        <v>74.099999999999994</v>
      </c>
      <c r="G1172" s="192">
        <v>90</v>
      </c>
    </row>
    <row r="1173" spans="1:7" x14ac:dyDescent="0.3">
      <c r="A1173" s="191" t="s">
        <v>884</v>
      </c>
      <c r="B1173" s="191" t="s">
        <v>943</v>
      </c>
      <c r="C1173" s="192" t="s">
        <v>859</v>
      </c>
      <c r="D1173" s="201" t="s">
        <v>860</v>
      </c>
      <c r="E1173" s="192">
        <v>115.7</v>
      </c>
      <c r="F1173" s="192">
        <v>84.4</v>
      </c>
      <c r="G1173" s="192">
        <v>94.8</v>
      </c>
    </row>
    <row r="1174" spans="1:7" x14ac:dyDescent="0.3">
      <c r="A1174" s="191" t="s">
        <v>884</v>
      </c>
      <c r="B1174" s="191" t="s">
        <v>943</v>
      </c>
      <c r="C1174" s="192" t="s">
        <v>861</v>
      </c>
      <c r="D1174" s="201" t="s">
        <v>862</v>
      </c>
      <c r="E1174" s="192">
        <v>98.1</v>
      </c>
      <c r="F1174" s="192">
        <v>84.4</v>
      </c>
      <c r="G1174" s="192">
        <v>89</v>
      </c>
    </row>
    <row r="1175" spans="1:7" x14ac:dyDescent="0.3">
      <c r="A1175" s="191" t="s">
        <v>884</v>
      </c>
      <c r="B1175" s="191" t="s">
        <v>943</v>
      </c>
      <c r="C1175" s="192" t="s">
        <v>863</v>
      </c>
      <c r="D1175" s="201" t="s">
        <v>864</v>
      </c>
      <c r="E1175" s="192">
        <v>122.5</v>
      </c>
      <c r="F1175" s="192">
        <v>95.7</v>
      </c>
      <c r="G1175" s="192">
        <v>114.8</v>
      </c>
    </row>
    <row r="1176" spans="1:7" x14ac:dyDescent="0.3">
      <c r="A1176" s="191" t="s">
        <v>884</v>
      </c>
      <c r="B1176" s="191" t="s">
        <v>943</v>
      </c>
      <c r="C1176" s="192" t="s">
        <v>865</v>
      </c>
      <c r="D1176" s="201" t="s">
        <v>866</v>
      </c>
      <c r="E1176" s="192">
        <v>112.3</v>
      </c>
      <c r="F1176" s="192">
        <v>91.7</v>
      </c>
      <c r="G1176" s="192">
        <v>100.3</v>
      </c>
    </row>
    <row r="1177" spans="1:7" x14ac:dyDescent="0.3">
      <c r="A1177" s="191" t="s">
        <v>884</v>
      </c>
      <c r="B1177" s="191" t="s">
        <v>943</v>
      </c>
      <c r="C1177" s="192" t="s">
        <v>867</v>
      </c>
      <c r="D1177" s="201" t="s">
        <v>868</v>
      </c>
      <c r="E1177" s="192">
        <v>111.1</v>
      </c>
      <c r="F1177" s="192">
        <v>88.2</v>
      </c>
      <c r="G1177" s="192">
        <v>98.4</v>
      </c>
    </row>
    <row r="1178" spans="1:7" x14ac:dyDescent="0.3">
      <c r="A1178" s="191" t="s">
        <v>884</v>
      </c>
      <c r="B1178" s="191" t="s">
        <v>943</v>
      </c>
      <c r="C1178" s="192" t="s">
        <v>869</v>
      </c>
      <c r="D1178" s="201" t="s">
        <v>870</v>
      </c>
      <c r="E1178" s="192">
        <v>131.1</v>
      </c>
      <c r="F1178" s="192">
        <v>82.8</v>
      </c>
      <c r="G1178" s="192">
        <v>120.7</v>
      </c>
    </row>
    <row r="1179" spans="1:7" x14ac:dyDescent="0.3">
      <c r="A1179" s="191" t="s">
        <v>884</v>
      </c>
      <c r="B1179" s="191" t="s">
        <v>943</v>
      </c>
      <c r="C1179" s="192" t="s">
        <v>871</v>
      </c>
      <c r="D1179" s="201" t="s">
        <v>872</v>
      </c>
      <c r="E1179" s="192">
        <v>103.9</v>
      </c>
      <c r="F1179" s="192">
        <v>90</v>
      </c>
      <c r="G1179" s="192">
        <v>98.1</v>
      </c>
    </row>
    <row r="1180" spans="1:7" x14ac:dyDescent="0.3">
      <c r="A1180" s="191" t="s">
        <v>884</v>
      </c>
      <c r="B1180" s="191" t="s">
        <v>943</v>
      </c>
      <c r="C1180" s="192" t="s">
        <v>873</v>
      </c>
      <c r="D1180" s="201" t="s">
        <v>874</v>
      </c>
      <c r="E1180" s="192">
        <v>108.9</v>
      </c>
      <c r="F1180" s="192">
        <v>72.099999999999994</v>
      </c>
      <c r="G1180" s="192">
        <v>90.3</v>
      </c>
    </row>
    <row r="1181" spans="1:7" x14ac:dyDescent="0.3">
      <c r="A1181" s="191" t="s">
        <v>884</v>
      </c>
      <c r="B1181" s="191" t="s">
        <v>943</v>
      </c>
      <c r="C1181" s="192" t="s">
        <v>875</v>
      </c>
      <c r="D1181" s="201" t="s">
        <v>876</v>
      </c>
      <c r="E1181" s="192">
        <v>112.8</v>
      </c>
      <c r="F1181" s="192">
        <v>86.1</v>
      </c>
      <c r="G1181" s="192">
        <v>101.1</v>
      </c>
    </row>
    <row r="1182" spans="1:7" x14ac:dyDescent="0.3">
      <c r="A1182" s="191" t="s">
        <v>879</v>
      </c>
      <c r="B1182" s="191" t="s">
        <v>944</v>
      </c>
      <c r="C1182" s="192" t="s">
        <v>1301</v>
      </c>
      <c r="D1182" s="202" t="s">
        <v>1599</v>
      </c>
      <c r="E1182" s="192">
        <v>0</v>
      </c>
      <c r="F1182" s="192">
        <v>101.3</v>
      </c>
      <c r="G1182" s="192">
        <v>101.3</v>
      </c>
    </row>
    <row r="1183" spans="1:7" x14ac:dyDescent="0.3">
      <c r="A1183" s="191" t="s">
        <v>879</v>
      </c>
      <c r="B1183" s="191" t="s">
        <v>944</v>
      </c>
      <c r="C1183" s="192" t="s">
        <v>839</v>
      </c>
      <c r="D1183" s="201" t="s">
        <v>840</v>
      </c>
      <c r="E1183" s="192">
        <v>134.1</v>
      </c>
      <c r="F1183" s="192">
        <v>95</v>
      </c>
      <c r="G1183" s="192">
        <v>106.5</v>
      </c>
    </row>
    <row r="1184" spans="1:7" x14ac:dyDescent="0.3">
      <c r="A1184" s="191" t="s">
        <v>879</v>
      </c>
      <c r="B1184" s="191" t="s">
        <v>944</v>
      </c>
      <c r="C1184" s="192" t="s">
        <v>841</v>
      </c>
      <c r="D1184" s="201" t="s">
        <v>842</v>
      </c>
      <c r="E1184" s="192">
        <v>113.5</v>
      </c>
      <c r="F1184" s="192">
        <v>56.6</v>
      </c>
      <c r="G1184" s="192">
        <v>64.2</v>
      </c>
    </row>
    <row r="1185" spans="1:7" x14ac:dyDescent="0.3">
      <c r="A1185" s="191" t="s">
        <v>879</v>
      </c>
      <c r="B1185" s="191" t="s">
        <v>944</v>
      </c>
      <c r="C1185" s="192" t="s">
        <v>843</v>
      </c>
      <c r="D1185" s="201" t="s">
        <v>844</v>
      </c>
      <c r="E1185" s="192">
        <v>157.19999999999999</v>
      </c>
      <c r="F1185" s="192">
        <v>46.2</v>
      </c>
      <c r="G1185" s="192">
        <v>99.7</v>
      </c>
    </row>
    <row r="1186" spans="1:7" x14ac:dyDescent="0.3">
      <c r="A1186" s="191" t="s">
        <v>879</v>
      </c>
      <c r="B1186" s="191" t="s">
        <v>944</v>
      </c>
      <c r="C1186" s="192" t="s">
        <v>845</v>
      </c>
      <c r="D1186" s="201" t="s">
        <v>846</v>
      </c>
      <c r="E1186" s="192">
        <v>140.19999999999999</v>
      </c>
      <c r="F1186" s="192">
        <v>60.3</v>
      </c>
      <c r="G1186" s="192">
        <v>108.7</v>
      </c>
    </row>
    <row r="1187" spans="1:7" x14ac:dyDescent="0.3">
      <c r="A1187" s="191" t="s">
        <v>879</v>
      </c>
      <c r="B1187" s="191" t="s">
        <v>944</v>
      </c>
      <c r="C1187" s="192" t="s">
        <v>847</v>
      </c>
      <c r="D1187" s="201" t="s">
        <v>848</v>
      </c>
      <c r="E1187" s="192">
        <v>170.1</v>
      </c>
      <c r="F1187" s="192">
        <v>56.8</v>
      </c>
      <c r="G1187" s="192">
        <v>115.1</v>
      </c>
    </row>
    <row r="1188" spans="1:7" x14ac:dyDescent="0.3">
      <c r="A1188" s="191" t="s">
        <v>879</v>
      </c>
      <c r="B1188" s="191" t="s">
        <v>944</v>
      </c>
      <c r="C1188" s="192" t="s">
        <v>849</v>
      </c>
      <c r="D1188" s="201" t="s">
        <v>850</v>
      </c>
      <c r="E1188" s="192">
        <v>236.7</v>
      </c>
      <c r="F1188" s="192">
        <v>62.3</v>
      </c>
      <c r="G1188" s="192">
        <v>129.19999999999999</v>
      </c>
    </row>
    <row r="1189" spans="1:7" x14ac:dyDescent="0.3">
      <c r="A1189" s="191" t="s">
        <v>879</v>
      </c>
      <c r="B1189" s="191" t="s">
        <v>944</v>
      </c>
      <c r="C1189" s="192" t="s">
        <v>851</v>
      </c>
      <c r="D1189" s="201" t="s">
        <v>852</v>
      </c>
      <c r="E1189" s="192">
        <v>123.6</v>
      </c>
      <c r="F1189" s="192">
        <v>67.8</v>
      </c>
      <c r="G1189" s="192">
        <v>105.9</v>
      </c>
    </row>
    <row r="1190" spans="1:7" x14ac:dyDescent="0.3">
      <c r="A1190" s="191" t="s">
        <v>879</v>
      </c>
      <c r="B1190" s="191" t="s">
        <v>944</v>
      </c>
      <c r="C1190" s="192" t="s">
        <v>853</v>
      </c>
      <c r="D1190" s="201" t="s">
        <v>854</v>
      </c>
      <c r="E1190" s="192">
        <v>118.2</v>
      </c>
      <c r="F1190" s="192">
        <v>55.8</v>
      </c>
      <c r="G1190" s="192">
        <v>83.5</v>
      </c>
    </row>
    <row r="1191" spans="1:7" x14ac:dyDescent="0.3">
      <c r="A1191" s="191" t="s">
        <v>879</v>
      </c>
      <c r="B1191" s="191" t="s">
        <v>944</v>
      </c>
      <c r="C1191" s="192" t="s">
        <v>855</v>
      </c>
      <c r="D1191" s="201" t="s">
        <v>856</v>
      </c>
      <c r="E1191" s="192">
        <v>142.6</v>
      </c>
      <c r="F1191" s="192">
        <v>59.9</v>
      </c>
      <c r="G1191" s="192">
        <v>108</v>
      </c>
    </row>
    <row r="1192" spans="1:7" x14ac:dyDescent="0.3">
      <c r="A1192" s="191" t="s">
        <v>879</v>
      </c>
      <c r="B1192" s="191" t="s">
        <v>944</v>
      </c>
      <c r="C1192" s="192" t="s">
        <v>857</v>
      </c>
      <c r="D1192" s="201" t="s">
        <v>858</v>
      </c>
      <c r="E1192" s="192">
        <v>107.9</v>
      </c>
      <c r="F1192" s="192">
        <v>48.5</v>
      </c>
      <c r="G1192" s="192">
        <v>94</v>
      </c>
    </row>
    <row r="1193" spans="1:7" x14ac:dyDescent="0.3">
      <c r="A1193" s="191" t="s">
        <v>879</v>
      </c>
      <c r="B1193" s="191" t="s">
        <v>944</v>
      </c>
      <c r="C1193" s="192" t="s">
        <v>859</v>
      </c>
      <c r="D1193" s="201" t="s">
        <v>860</v>
      </c>
      <c r="E1193" s="192">
        <v>136</v>
      </c>
      <c r="F1193" s="192">
        <v>54.4</v>
      </c>
      <c r="G1193" s="192">
        <v>81.5</v>
      </c>
    </row>
    <row r="1194" spans="1:7" x14ac:dyDescent="0.3">
      <c r="A1194" s="191" t="s">
        <v>879</v>
      </c>
      <c r="B1194" s="191" t="s">
        <v>944</v>
      </c>
      <c r="C1194" s="192" t="s">
        <v>861</v>
      </c>
      <c r="D1194" s="201" t="s">
        <v>862</v>
      </c>
      <c r="E1194" s="192">
        <v>108.2</v>
      </c>
      <c r="F1194" s="192">
        <v>54.4</v>
      </c>
      <c r="G1194" s="192">
        <v>72.599999999999994</v>
      </c>
    </row>
    <row r="1195" spans="1:7" x14ac:dyDescent="0.3">
      <c r="A1195" s="191" t="s">
        <v>879</v>
      </c>
      <c r="B1195" s="191" t="s">
        <v>944</v>
      </c>
      <c r="C1195" s="192" t="s">
        <v>863</v>
      </c>
      <c r="D1195" s="201" t="s">
        <v>864</v>
      </c>
      <c r="E1195" s="192">
        <v>118.1</v>
      </c>
      <c r="F1195" s="192">
        <v>60.5</v>
      </c>
      <c r="G1195" s="192">
        <v>101.5</v>
      </c>
    </row>
    <row r="1196" spans="1:7" x14ac:dyDescent="0.3">
      <c r="A1196" s="191" t="s">
        <v>879</v>
      </c>
      <c r="B1196" s="191" t="s">
        <v>944</v>
      </c>
      <c r="C1196" s="192" t="s">
        <v>865</v>
      </c>
      <c r="D1196" s="201" t="s">
        <v>866</v>
      </c>
      <c r="E1196" s="192">
        <v>120.1</v>
      </c>
      <c r="F1196" s="192">
        <v>43</v>
      </c>
      <c r="G1196" s="192">
        <v>75.2</v>
      </c>
    </row>
    <row r="1197" spans="1:7" x14ac:dyDescent="0.3">
      <c r="A1197" s="191" t="s">
        <v>879</v>
      </c>
      <c r="B1197" s="191" t="s">
        <v>944</v>
      </c>
      <c r="C1197" s="192" t="s">
        <v>867</v>
      </c>
      <c r="D1197" s="201" t="s">
        <v>868</v>
      </c>
      <c r="E1197" s="192">
        <v>119.6</v>
      </c>
      <c r="F1197" s="192">
        <v>56.1</v>
      </c>
      <c r="G1197" s="192">
        <v>84.5</v>
      </c>
    </row>
    <row r="1198" spans="1:7" x14ac:dyDescent="0.3">
      <c r="A1198" s="191" t="s">
        <v>879</v>
      </c>
      <c r="B1198" s="191" t="s">
        <v>944</v>
      </c>
      <c r="C1198" s="192" t="s">
        <v>869</v>
      </c>
      <c r="D1198" s="201" t="s">
        <v>870</v>
      </c>
      <c r="E1198" s="192">
        <v>131.1</v>
      </c>
      <c r="F1198" s="192">
        <v>62.9</v>
      </c>
      <c r="G1198" s="192">
        <v>116.4</v>
      </c>
    </row>
    <row r="1199" spans="1:7" x14ac:dyDescent="0.3">
      <c r="A1199" s="191" t="s">
        <v>879</v>
      </c>
      <c r="B1199" s="191" t="s">
        <v>944</v>
      </c>
      <c r="C1199" s="192" t="s">
        <v>871</v>
      </c>
      <c r="D1199" s="201" t="s">
        <v>872</v>
      </c>
      <c r="E1199" s="192">
        <v>103.7</v>
      </c>
      <c r="F1199" s="192">
        <v>63.1</v>
      </c>
      <c r="G1199" s="192">
        <v>86.5</v>
      </c>
    </row>
    <row r="1200" spans="1:7" x14ac:dyDescent="0.3">
      <c r="A1200" s="191" t="s">
        <v>879</v>
      </c>
      <c r="B1200" s="191" t="s">
        <v>944</v>
      </c>
      <c r="C1200" s="192" t="s">
        <v>873</v>
      </c>
      <c r="D1200" s="201" t="s">
        <v>874</v>
      </c>
      <c r="E1200" s="192">
        <v>113.3</v>
      </c>
      <c r="F1200" s="192">
        <v>51.9</v>
      </c>
      <c r="G1200" s="192">
        <v>82.2</v>
      </c>
    </row>
    <row r="1201" spans="1:7" x14ac:dyDescent="0.3">
      <c r="A1201" s="191" t="s">
        <v>879</v>
      </c>
      <c r="B1201" s="191" t="s">
        <v>944</v>
      </c>
      <c r="C1201" s="192" t="s">
        <v>875</v>
      </c>
      <c r="D1201" s="201" t="s">
        <v>876</v>
      </c>
      <c r="E1201" s="192">
        <v>128.1</v>
      </c>
      <c r="F1201" s="192">
        <v>62</v>
      </c>
      <c r="G1201" s="192">
        <v>99</v>
      </c>
    </row>
    <row r="1202" spans="1:7" x14ac:dyDescent="0.3">
      <c r="A1202" s="191" t="s">
        <v>909</v>
      </c>
      <c r="B1202" s="191" t="s">
        <v>945</v>
      </c>
      <c r="C1202" s="192" t="s">
        <v>1301</v>
      </c>
      <c r="D1202" s="202" t="s">
        <v>1599</v>
      </c>
      <c r="E1202" s="192">
        <v>0</v>
      </c>
      <c r="F1202" s="192">
        <v>101.4</v>
      </c>
      <c r="G1202" s="192">
        <v>101.4</v>
      </c>
    </row>
    <row r="1203" spans="1:7" x14ac:dyDescent="0.3">
      <c r="A1203" s="191" t="s">
        <v>909</v>
      </c>
      <c r="B1203" s="191" t="s">
        <v>945</v>
      </c>
      <c r="C1203" s="192" t="s">
        <v>839</v>
      </c>
      <c r="D1203" s="201" t="s">
        <v>840</v>
      </c>
      <c r="E1203" s="192">
        <v>104.2</v>
      </c>
      <c r="F1203" s="192">
        <v>97.5</v>
      </c>
      <c r="G1203" s="192">
        <v>99.4</v>
      </c>
    </row>
    <row r="1204" spans="1:7" x14ac:dyDescent="0.3">
      <c r="A1204" s="191" t="s">
        <v>909</v>
      </c>
      <c r="B1204" s="191" t="s">
        <v>945</v>
      </c>
      <c r="C1204" s="192" t="s">
        <v>841</v>
      </c>
      <c r="D1204" s="201" t="s">
        <v>842</v>
      </c>
      <c r="E1204" s="192">
        <v>96.7</v>
      </c>
      <c r="F1204" s="192">
        <v>69.5</v>
      </c>
      <c r="G1204" s="192">
        <v>73.2</v>
      </c>
    </row>
    <row r="1205" spans="1:7" x14ac:dyDescent="0.3">
      <c r="A1205" s="191" t="s">
        <v>909</v>
      </c>
      <c r="B1205" s="191" t="s">
        <v>945</v>
      </c>
      <c r="C1205" s="192" t="s">
        <v>843</v>
      </c>
      <c r="D1205" s="201" t="s">
        <v>844</v>
      </c>
      <c r="E1205" s="192">
        <v>136.69999999999999</v>
      </c>
      <c r="F1205" s="192">
        <v>46.2</v>
      </c>
      <c r="G1205" s="192">
        <v>89.8</v>
      </c>
    </row>
    <row r="1206" spans="1:7" x14ac:dyDescent="0.3">
      <c r="A1206" s="191" t="s">
        <v>909</v>
      </c>
      <c r="B1206" s="191" t="s">
        <v>945</v>
      </c>
      <c r="C1206" s="192" t="s">
        <v>845</v>
      </c>
      <c r="D1206" s="201" t="s">
        <v>846</v>
      </c>
      <c r="E1206" s="192">
        <v>155.80000000000001</v>
      </c>
      <c r="F1206" s="192">
        <v>71.3</v>
      </c>
      <c r="G1206" s="192">
        <v>122.4</v>
      </c>
    </row>
    <row r="1207" spans="1:7" x14ac:dyDescent="0.3">
      <c r="A1207" s="191" t="s">
        <v>909</v>
      </c>
      <c r="B1207" s="191" t="s">
        <v>945</v>
      </c>
      <c r="C1207" s="192" t="s">
        <v>847</v>
      </c>
      <c r="D1207" s="201" t="s">
        <v>848</v>
      </c>
      <c r="E1207" s="192">
        <v>138.19999999999999</v>
      </c>
      <c r="F1207" s="192">
        <v>66.599999999999994</v>
      </c>
      <c r="G1207" s="192">
        <v>103.4</v>
      </c>
    </row>
    <row r="1208" spans="1:7" x14ac:dyDescent="0.3">
      <c r="A1208" s="191" t="s">
        <v>909</v>
      </c>
      <c r="B1208" s="191" t="s">
        <v>945</v>
      </c>
      <c r="C1208" s="192" t="s">
        <v>849</v>
      </c>
      <c r="D1208" s="201" t="s">
        <v>850</v>
      </c>
      <c r="E1208" s="192">
        <v>165.2</v>
      </c>
      <c r="F1208" s="192">
        <v>71.599999999999994</v>
      </c>
      <c r="G1208" s="192">
        <v>107.5</v>
      </c>
    </row>
    <row r="1209" spans="1:7" x14ac:dyDescent="0.3">
      <c r="A1209" s="191" t="s">
        <v>909</v>
      </c>
      <c r="B1209" s="191" t="s">
        <v>945</v>
      </c>
      <c r="C1209" s="192" t="s">
        <v>851</v>
      </c>
      <c r="D1209" s="201" t="s">
        <v>852</v>
      </c>
      <c r="E1209" s="192">
        <v>109.3</v>
      </c>
      <c r="F1209" s="192">
        <v>74.2</v>
      </c>
      <c r="G1209" s="192">
        <v>98.2</v>
      </c>
    </row>
    <row r="1210" spans="1:7" x14ac:dyDescent="0.3">
      <c r="A1210" s="191" t="s">
        <v>909</v>
      </c>
      <c r="B1210" s="191" t="s">
        <v>945</v>
      </c>
      <c r="C1210" s="192" t="s">
        <v>853</v>
      </c>
      <c r="D1210" s="201" t="s">
        <v>854</v>
      </c>
      <c r="E1210" s="192">
        <v>92.3</v>
      </c>
      <c r="F1210" s="192">
        <v>68.599999999999994</v>
      </c>
      <c r="G1210" s="192">
        <v>79.099999999999994</v>
      </c>
    </row>
    <row r="1211" spans="1:7" x14ac:dyDescent="0.3">
      <c r="A1211" s="191" t="s">
        <v>909</v>
      </c>
      <c r="B1211" s="191" t="s">
        <v>945</v>
      </c>
      <c r="C1211" s="192" t="s">
        <v>855</v>
      </c>
      <c r="D1211" s="201" t="s">
        <v>856</v>
      </c>
      <c r="E1211" s="192">
        <v>111.8</v>
      </c>
      <c r="F1211" s="192">
        <v>68.5</v>
      </c>
      <c r="G1211" s="192">
        <v>93.7</v>
      </c>
    </row>
    <row r="1212" spans="1:7" x14ac:dyDescent="0.3">
      <c r="A1212" s="191" t="s">
        <v>909</v>
      </c>
      <c r="B1212" s="191" t="s">
        <v>945</v>
      </c>
      <c r="C1212" s="192" t="s">
        <v>857</v>
      </c>
      <c r="D1212" s="201" t="s">
        <v>858</v>
      </c>
      <c r="E1212" s="192">
        <v>87.5</v>
      </c>
      <c r="F1212" s="192">
        <v>63</v>
      </c>
      <c r="G1212" s="192">
        <v>81.8</v>
      </c>
    </row>
    <row r="1213" spans="1:7" x14ac:dyDescent="0.3">
      <c r="A1213" s="191" t="s">
        <v>909</v>
      </c>
      <c r="B1213" s="191" t="s">
        <v>945</v>
      </c>
      <c r="C1213" s="192" t="s">
        <v>859</v>
      </c>
      <c r="D1213" s="201" t="s">
        <v>860</v>
      </c>
      <c r="E1213" s="192">
        <v>119.5</v>
      </c>
      <c r="F1213" s="192">
        <v>67.599999999999994</v>
      </c>
      <c r="G1213" s="192">
        <v>84.8</v>
      </c>
    </row>
    <row r="1214" spans="1:7" x14ac:dyDescent="0.3">
      <c r="A1214" s="191" t="s">
        <v>909</v>
      </c>
      <c r="B1214" s="191" t="s">
        <v>945</v>
      </c>
      <c r="C1214" s="192" t="s">
        <v>861</v>
      </c>
      <c r="D1214" s="201" t="s">
        <v>862</v>
      </c>
      <c r="E1214" s="192">
        <v>98.9</v>
      </c>
      <c r="F1214" s="192">
        <v>67.599999999999994</v>
      </c>
      <c r="G1214" s="192">
        <v>78.2</v>
      </c>
    </row>
    <row r="1215" spans="1:7" x14ac:dyDescent="0.3">
      <c r="A1215" s="191" t="s">
        <v>909</v>
      </c>
      <c r="B1215" s="191" t="s">
        <v>945</v>
      </c>
      <c r="C1215" s="192" t="s">
        <v>863</v>
      </c>
      <c r="D1215" s="201" t="s">
        <v>864</v>
      </c>
      <c r="E1215" s="192">
        <v>103.5</v>
      </c>
      <c r="F1215" s="192">
        <v>64.599999999999994</v>
      </c>
      <c r="G1215" s="192">
        <v>92.3</v>
      </c>
    </row>
    <row r="1216" spans="1:7" x14ac:dyDescent="0.3">
      <c r="A1216" s="191" t="s">
        <v>909</v>
      </c>
      <c r="B1216" s="191" t="s">
        <v>945</v>
      </c>
      <c r="C1216" s="192" t="s">
        <v>865</v>
      </c>
      <c r="D1216" s="201" t="s">
        <v>866</v>
      </c>
      <c r="E1216" s="192">
        <v>112.3</v>
      </c>
      <c r="F1216" s="192">
        <v>64.099999999999994</v>
      </c>
      <c r="G1216" s="192">
        <v>84.2</v>
      </c>
    </row>
    <row r="1217" spans="1:7" x14ac:dyDescent="0.3">
      <c r="A1217" s="191" t="s">
        <v>909</v>
      </c>
      <c r="B1217" s="191" t="s">
        <v>945</v>
      </c>
      <c r="C1217" s="192" t="s">
        <v>867</v>
      </c>
      <c r="D1217" s="201" t="s">
        <v>868</v>
      </c>
      <c r="E1217" s="192">
        <v>106.3</v>
      </c>
      <c r="F1217" s="192">
        <v>68.2</v>
      </c>
      <c r="G1217" s="192">
        <v>85.2</v>
      </c>
    </row>
    <row r="1218" spans="1:7" x14ac:dyDescent="0.3">
      <c r="A1218" s="191" t="s">
        <v>909</v>
      </c>
      <c r="B1218" s="191" t="s">
        <v>945</v>
      </c>
      <c r="C1218" s="192" t="s">
        <v>869</v>
      </c>
      <c r="D1218" s="201" t="s">
        <v>870</v>
      </c>
      <c r="E1218" s="192">
        <v>131.1</v>
      </c>
      <c r="F1218" s="192">
        <v>64.599999999999994</v>
      </c>
      <c r="G1218" s="192">
        <v>116.7</v>
      </c>
    </row>
    <row r="1219" spans="1:7" x14ac:dyDescent="0.3">
      <c r="A1219" s="191" t="s">
        <v>909</v>
      </c>
      <c r="B1219" s="191" t="s">
        <v>945</v>
      </c>
      <c r="C1219" s="192" t="s">
        <v>871</v>
      </c>
      <c r="D1219" s="201" t="s">
        <v>872</v>
      </c>
      <c r="E1219" s="192">
        <v>103.6</v>
      </c>
      <c r="F1219" s="192">
        <v>83.5</v>
      </c>
      <c r="G1219" s="192">
        <v>95.1</v>
      </c>
    </row>
    <row r="1220" spans="1:7" x14ac:dyDescent="0.3">
      <c r="A1220" s="191" t="s">
        <v>909</v>
      </c>
      <c r="B1220" s="191" t="s">
        <v>945</v>
      </c>
      <c r="C1220" s="192" t="s">
        <v>873</v>
      </c>
      <c r="D1220" s="201" t="s">
        <v>874</v>
      </c>
      <c r="E1220" s="192">
        <v>108.7</v>
      </c>
      <c r="F1220" s="192">
        <v>63.9</v>
      </c>
      <c r="G1220" s="192">
        <v>86</v>
      </c>
    </row>
    <row r="1221" spans="1:7" x14ac:dyDescent="0.3">
      <c r="A1221" s="191" t="s">
        <v>909</v>
      </c>
      <c r="B1221" s="191" t="s">
        <v>945</v>
      </c>
      <c r="C1221" s="192" t="s">
        <v>875</v>
      </c>
      <c r="D1221" s="201" t="s">
        <v>876</v>
      </c>
      <c r="E1221" s="192">
        <v>113</v>
      </c>
      <c r="F1221" s="192">
        <v>73.599999999999994</v>
      </c>
      <c r="G1221" s="192">
        <v>95.6</v>
      </c>
    </row>
    <row r="1222" spans="1:7" x14ac:dyDescent="0.3">
      <c r="A1222" s="191" t="s">
        <v>909</v>
      </c>
      <c r="B1222" s="191" t="s">
        <v>946</v>
      </c>
      <c r="C1222" s="192" t="s">
        <v>1301</v>
      </c>
      <c r="D1222" s="202" t="s">
        <v>1599</v>
      </c>
      <c r="E1222" s="192">
        <v>0</v>
      </c>
      <c r="F1222" s="192">
        <v>101.4</v>
      </c>
      <c r="G1222" s="192">
        <v>101.4</v>
      </c>
    </row>
    <row r="1223" spans="1:7" x14ac:dyDescent="0.3">
      <c r="A1223" s="191" t="s">
        <v>909</v>
      </c>
      <c r="B1223" s="191" t="s">
        <v>946</v>
      </c>
      <c r="C1223" s="192" t="s">
        <v>839</v>
      </c>
      <c r="D1223" s="201" t="s">
        <v>840</v>
      </c>
      <c r="E1223" s="192">
        <v>123.1</v>
      </c>
      <c r="F1223" s="192">
        <v>97.5</v>
      </c>
      <c r="G1223" s="192">
        <v>105</v>
      </c>
    </row>
    <row r="1224" spans="1:7" x14ac:dyDescent="0.3">
      <c r="A1224" s="191" t="s">
        <v>909</v>
      </c>
      <c r="B1224" s="191" t="s">
        <v>946</v>
      </c>
      <c r="C1224" s="192" t="s">
        <v>841</v>
      </c>
      <c r="D1224" s="201" t="s">
        <v>842</v>
      </c>
      <c r="E1224" s="192">
        <v>113.2</v>
      </c>
      <c r="F1224" s="192">
        <v>69.5</v>
      </c>
      <c r="G1224" s="192">
        <v>75.400000000000006</v>
      </c>
    </row>
    <row r="1225" spans="1:7" x14ac:dyDescent="0.3">
      <c r="A1225" s="191" t="s">
        <v>909</v>
      </c>
      <c r="B1225" s="191" t="s">
        <v>946</v>
      </c>
      <c r="C1225" s="192" t="s">
        <v>843</v>
      </c>
      <c r="D1225" s="201" t="s">
        <v>844</v>
      </c>
      <c r="E1225" s="192">
        <v>159.4</v>
      </c>
      <c r="F1225" s="192">
        <v>46.2</v>
      </c>
      <c r="G1225" s="192">
        <v>100.8</v>
      </c>
    </row>
    <row r="1226" spans="1:7" x14ac:dyDescent="0.3">
      <c r="A1226" s="191" t="s">
        <v>909</v>
      </c>
      <c r="B1226" s="191" t="s">
        <v>946</v>
      </c>
      <c r="C1226" s="192" t="s">
        <v>845</v>
      </c>
      <c r="D1226" s="201" t="s">
        <v>846</v>
      </c>
      <c r="E1226" s="192">
        <v>146.19999999999999</v>
      </c>
      <c r="F1226" s="192">
        <v>71.3</v>
      </c>
      <c r="G1226" s="192">
        <v>116.6</v>
      </c>
    </row>
    <row r="1227" spans="1:7" x14ac:dyDescent="0.3">
      <c r="A1227" s="191" t="s">
        <v>909</v>
      </c>
      <c r="B1227" s="191" t="s">
        <v>946</v>
      </c>
      <c r="C1227" s="192" t="s">
        <v>847</v>
      </c>
      <c r="D1227" s="201" t="s">
        <v>848</v>
      </c>
      <c r="E1227" s="192">
        <v>159.80000000000001</v>
      </c>
      <c r="F1227" s="192">
        <v>66.599999999999994</v>
      </c>
      <c r="G1227" s="192">
        <v>114.5</v>
      </c>
    </row>
    <row r="1228" spans="1:7" x14ac:dyDescent="0.3">
      <c r="A1228" s="191" t="s">
        <v>909</v>
      </c>
      <c r="B1228" s="191" t="s">
        <v>946</v>
      </c>
      <c r="C1228" s="192" t="s">
        <v>849</v>
      </c>
      <c r="D1228" s="201" t="s">
        <v>850</v>
      </c>
      <c r="E1228" s="192">
        <v>237.4</v>
      </c>
      <c r="F1228" s="192">
        <v>71.599999999999994</v>
      </c>
      <c r="G1228" s="192">
        <v>135.19999999999999</v>
      </c>
    </row>
    <row r="1229" spans="1:7" x14ac:dyDescent="0.3">
      <c r="A1229" s="191" t="s">
        <v>909</v>
      </c>
      <c r="B1229" s="191" t="s">
        <v>946</v>
      </c>
      <c r="C1229" s="192" t="s">
        <v>851</v>
      </c>
      <c r="D1229" s="201" t="s">
        <v>852</v>
      </c>
      <c r="E1229" s="192">
        <v>123.6</v>
      </c>
      <c r="F1229" s="192">
        <v>74.099999999999994</v>
      </c>
      <c r="G1229" s="192">
        <v>107.9</v>
      </c>
    </row>
    <row r="1230" spans="1:7" x14ac:dyDescent="0.3">
      <c r="A1230" s="191" t="s">
        <v>909</v>
      </c>
      <c r="B1230" s="191" t="s">
        <v>946</v>
      </c>
      <c r="C1230" s="192" t="s">
        <v>853</v>
      </c>
      <c r="D1230" s="201" t="s">
        <v>854</v>
      </c>
      <c r="E1230" s="192">
        <v>117.9</v>
      </c>
      <c r="F1230" s="192">
        <v>68.599999999999994</v>
      </c>
      <c r="G1230" s="192">
        <v>90.5</v>
      </c>
    </row>
    <row r="1231" spans="1:7" x14ac:dyDescent="0.3">
      <c r="A1231" s="191" t="s">
        <v>909</v>
      </c>
      <c r="B1231" s="191" t="s">
        <v>946</v>
      </c>
      <c r="C1231" s="192" t="s">
        <v>855</v>
      </c>
      <c r="D1231" s="201" t="s">
        <v>856</v>
      </c>
      <c r="E1231" s="192">
        <v>143.4</v>
      </c>
      <c r="F1231" s="192">
        <v>68.5</v>
      </c>
      <c r="G1231" s="192">
        <v>112</v>
      </c>
    </row>
    <row r="1232" spans="1:7" x14ac:dyDescent="0.3">
      <c r="A1232" s="191" t="s">
        <v>909</v>
      </c>
      <c r="B1232" s="191" t="s">
        <v>946</v>
      </c>
      <c r="C1232" s="192" t="s">
        <v>857</v>
      </c>
      <c r="D1232" s="201" t="s">
        <v>858</v>
      </c>
      <c r="E1232" s="192">
        <v>95.6</v>
      </c>
      <c r="F1232" s="192">
        <v>63</v>
      </c>
      <c r="G1232" s="192">
        <v>88</v>
      </c>
    </row>
    <row r="1233" spans="1:7" x14ac:dyDescent="0.3">
      <c r="A1233" s="191" t="s">
        <v>909</v>
      </c>
      <c r="B1233" s="191" t="s">
        <v>946</v>
      </c>
      <c r="C1233" s="192" t="s">
        <v>859</v>
      </c>
      <c r="D1233" s="201" t="s">
        <v>860</v>
      </c>
      <c r="E1233" s="192">
        <v>135.69999999999999</v>
      </c>
      <c r="F1233" s="192">
        <v>67.599999999999994</v>
      </c>
      <c r="G1233" s="192">
        <v>90.2</v>
      </c>
    </row>
    <row r="1234" spans="1:7" x14ac:dyDescent="0.3">
      <c r="A1234" s="191" t="s">
        <v>909</v>
      </c>
      <c r="B1234" s="191" t="s">
        <v>946</v>
      </c>
      <c r="C1234" s="192" t="s">
        <v>861</v>
      </c>
      <c r="D1234" s="201" t="s">
        <v>862</v>
      </c>
      <c r="E1234" s="192">
        <v>108.2</v>
      </c>
      <c r="F1234" s="192">
        <v>67.599999999999994</v>
      </c>
      <c r="G1234" s="192">
        <v>81.3</v>
      </c>
    </row>
    <row r="1235" spans="1:7" x14ac:dyDescent="0.3">
      <c r="A1235" s="191" t="s">
        <v>909</v>
      </c>
      <c r="B1235" s="191" t="s">
        <v>946</v>
      </c>
      <c r="C1235" s="192" t="s">
        <v>863</v>
      </c>
      <c r="D1235" s="201" t="s">
        <v>864</v>
      </c>
      <c r="E1235" s="192">
        <v>118</v>
      </c>
      <c r="F1235" s="192">
        <v>64.599999999999994</v>
      </c>
      <c r="G1235" s="192">
        <v>102.7</v>
      </c>
    </row>
    <row r="1236" spans="1:7" x14ac:dyDescent="0.3">
      <c r="A1236" s="191" t="s">
        <v>909</v>
      </c>
      <c r="B1236" s="191" t="s">
        <v>946</v>
      </c>
      <c r="C1236" s="192" t="s">
        <v>865</v>
      </c>
      <c r="D1236" s="201" t="s">
        <v>866</v>
      </c>
      <c r="E1236" s="192">
        <v>120.1</v>
      </c>
      <c r="F1236" s="192">
        <v>64.099999999999994</v>
      </c>
      <c r="G1236" s="192">
        <v>87.5</v>
      </c>
    </row>
    <row r="1237" spans="1:7" x14ac:dyDescent="0.3">
      <c r="A1237" s="191" t="s">
        <v>909</v>
      </c>
      <c r="B1237" s="191" t="s">
        <v>946</v>
      </c>
      <c r="C1237" s="192" t="s">
        <v>867</v>
      </c>
      <c r="D1237" s="201" t="s">
        <v>868</v>
      </c>
      <c r="E1237" s="192">
        <v>118.5</v>
      </c>
      <c r="F1237" s="192">
        <v>68.2</v>
      </c>
      <c r="G1237" s="192">
        <v>90.7</v>
      </c>
    </row>
    <row r="1238" spans="1:7" x14ac:dyDescent="0.3">
      <c r="A1238" s="191" t="s">
        <v>909</v>
      </c>
      <c r="B1238" s="191" t="s">
        <v>946</v>
      </c>
      <c r="C1238" s="192" t="s">
        <v>869</v>
      </c>
      <c r="D1238" s="201" t="s">
        <v>870</v>
      </c>
      <c r="E1238" s="192">
        <v>131.1</v>
      </c>
      <c r="F1238" s="192">
        <v>64.599999999999994</v>
      </c>
      <c r="G1238" s="192">
        <v>116.7</v>
      </c>
    </row>
    <row r="1239" spans="1:7" x14ac:dyDescent="0.3">
      <c r="A1239" s="191" t="s">
        <v>909</v>
      </c>
      <c r="B1239" s="191" t="s">
        <v>946</v>
      </c>
      <c r="C1239" s="192" t="s">
        <v>871</v>
      </c>
      <c r="D1239" s="201" t="s">
        <v>872</v>
      </c>
      <c r="E1239" s="192">
        <v>103.7</v>
      </c>
      <c r="F1239" s="192">
        <v>83.5</v>
      </c>
      <c r="G1239" s="192">
        <v>95.1</v>
      </c>
    </row>
    <row r="1240" spans="1:7" x14ac:dyDescent="0.3">
      <c r="A1240" s="191" t="s">
        <v>909</v>
      </c>
      <c r="B1240" s="191" t="s">
        <v>946</v>
      </c>
      <c r="C1240" s="192" t="s">
        <v>873</v>
      </c>
      <c r="D1240" s="201" t="s">
        <v>874</v>
      </c>
      <c r="E1240" s="192">
        <v>114.1</v>
      </c>
      <c r="F1240" s="192">
        <v>63.9</v>
      </c>
      <c r="G1240" s="192">
        <v>88.7</v>
      </c>
    </row>
    <row r="1241" spans="1:7" x14ac:dyDescent="0.3">
      <c r="A1241" s="191" t="s">
        <v>909</v>
      </c>
      <c r="B1241" s="191" t="s">
        <v>946</v>
      </c>
      <c r="C1241" s="192" t="s">
        <v>875</v>
      </c>
      <c r="D1241" s="201" t="s">
        <v>876</v>
      </c>
      <c r="E1241" s="192">
        <v>125.4</v>
      </c>
      <c r="F1241" s="192">
        <v>73.599999999999994</v>
      </c>
      <c r="G1241" s="192">
        <v>102.6</v>
      </c>
    </row>
    <row r="1242" spans="1:7" x14ac:dyDescent="0.3">
      <c r="A1242" s="191" t="s">
        <v>884</v>
      </c>
      <c r="B1242" s="191" t="s">
        <v>947</v>
      </c>
      <c r="C1242" s="192" t="s">
        <v>1301</v>
      </c>
      <c r="D1242" s="202" t="s">
        <v>1599</v>
      </c>
      <c r="E1242" s="192">
        <v>0</v>
      </c>
      <c r="F1242" s="192">
        <v>102.2</v>
      </c>
      <c r="G1242" s="192">
        <v>102.2</v>
      </c>
    </row>
    <row r="1243" spans="1:7" x14ac:dyDescent="0.3">
      <c r="A1243" s="191" t="s">
        <v>884</v>
      </c>
      <c r="B1243" s="191" t="s">
        <v>947</v>
      </c>
      <c r="C1243" s="192" t="s">
        <v>839</v>
      </c>
      <c r="D1243" s="201" t="s">
        <v>840</v>
      </c>
      <c r="E1243" s="192">
        <v>99.4</v>
      </c>
      <c r="F1243" s="192">
        <v>99.1</v>
      </c>
      <c r="G1243" s="192">
        <v>99.2</v>
      </c>
    </row>
    <row r="1244" spans="1:7" x14ac:dyDescent="0.3">
      <c r="A1244" s="191" t="s">
        <v>884</v>
      </c>
      <c r="B1244" s="191" t="s">
        <v>947</v>
      </c>
      <c r="C1244" s="192" t="s">
        <v>841</v>
      </c>
      <c r="D1244" s="201" t="s">
        <v>842</v>
      </c>
      <c r="E1244" s="192">
        <v>130</v>
      </c>
      <c r="F1244" s="192">
        <v>85.4</v>
      </c>
      <c r="G1244" s="192">
        <v>91.4</v>
      </c>
    </row>
    <row r="1245" spans="1:7" x14ac:dyDescent="0.3">
      <c r="A1245" s="191" t="s">
        <v>884</v>
      </c>
      <c r="B1245" s="191" t="s">
        <v>947</v>
      </c>
      <c r="C1245" s="192" t="s">
        <v>843</v>
      </c>
      <c r="D1245" s="201" t="s">
        <v>844</v>
      </c>
      <c r="E1245" s="192">
        <v>136.69999999999999</v>
      </c>
      <c r="F1245" s="192">
        <v>77.900000000000006</v>
      </c>
      <c r="G1245" s="192">
        <v>106.3</v>
      </c>
    </row>
    <row r="1246" spans="1:7" x14ac:dyDescent="0.3">
      <c r="A1246" s="191" t="s">
        <v>884</v>
      </c>
      <c r="B1246" s="191" t="s">
        <v>947</v>
      </c>
      <c r="C1246" s="192" t="s">
        <v>845</v>
      </c>
      <c r="D1246" s="201" t="s">
        <v>846</v>
      </c>
      <c r="E1246" s="192">
        <v>121.1</v>
      </c>
      <c r="F1246" s="192">
        <v>96.7</v>
      </c>
      <c r="G1246" s="192">
        <v>111.4</v>
      </c>
    </row>
    <row r="1247" spans="1:7" x14ac:dyDescent="0.3">
      <c r="A1247" s="191" t="s">
        <v>884</v>
      </c>
      <c r="B1247" s="191" t="s">
        <v>947</v>
      </c>
      <c r="C1247" s="192" t="s">
        <v>847</v>
      </c>
      <c r="D1247" s="201" t="s">
        <v>848</v>
      </c>
      <c r="E1247" s="192">
        <v>122</v>
      </c>
      <c r="F1247" s="192">
        <v>88.1</v>
      </c>
      <c r="G1247" s="192">
        <v>105.5</v>
      </c>
    </row>
    <row r="1248" spans="1:7" x14ac:dyDescent="0.3">
      <c r="A1248" s="191" t="s">
        <v>884</v>
      </c>
      <c r="B1248" s="191" t="s">
        <v>947</v>
      </c>
      <c r="C1248" s="192" t="s">
        <v>849</v>
      </c>
      <c r="D1248" s="201" t="s">
        <v>850</v>
      </c>
      <c r="E1248" s="192">
        <v>165.5</v>
      </c>
      <c r="F1248" s="192">
        <v>86.7</v>
      </c>
      <c r="G1248" s="192">
        <v>116.9</v>
      </c>
    </row>
    <row r="1249" spans="1:7" x14ac:dyDescent="0.3">
      <c r="A1249" s="191" t="s">
        <v>884</v>
      </c>
      <c r="B1249" s="191" t="s">
        <v>947</v>
      </c>
      <c r="C1249" s="192" t="s">
        <v>851</v>
      </c>
      <c r="D1249" s="201" t="s">
        <v>852</v>
      </c>
      <c r="E1249" s="192">
        <v>108.6</v>
      </c>
      <c r="F1249" s="192">
        <v>86.9</v>
      </c>
      <c r="G1249" s="192">
        <v>101.7</v>
      </c>
    </row>
    <row r="1250" spans="1:7" x14ac:dyDescent="0.3">
      <c r="A1250" s="191" t="s">
        <v>884</v>
      </c>
      <c r="B1250" s="191" t="s">
        <v>947</v>
      </c>
      <c r="C1250" s="192" t="s">
        <v>853</v>
      </c>
      <c r="D1250" s="201" t="s">
        <v>854</v>
      </c>
      <c r="E1250" s="192">
        <v>132.5</v>
      </c>
      <c r="F1250" s="192">
        <v>85</v>
      </c>
      <c r="G1250" s="192">
        <v>106</v>
      </c>
    </row>
    <row r="1251" spans="1:7" x14ac:dyDescent="0.3">
      <c r="A1251" s="191" t="s">
        <v>884</v>
      </c>
      <c r="B1251" s="191" t="s">
        <v>947</v>
      </c>
      <c r="C1251" s="192" t="s">
        <v>855</v>
      </c>
      <c r="D1251" s="201" t="s">
        <v>856</v>
      </c>
      <c r="E1251" s="192">
        <v>110.6</v>
      </c>
      <c r="F1251" s="192">
        <v>87.9</v>
      </c>
      <c r="G1251" s="192">
        <v>101.1</v>
      </c>
    </row>
    <row r="1252" spans="1:7" x14ac:dyDescent="0.3">
      <c r="A1252" s="191" t="s">
        <v>884</v>
      </c>
      <c r="B1252" s="191" t="s">
        <v>947</v>
      </c>
      <c r="C1252" s="192" t="s">
        <v>857</v>
      </c>
      <c r="D1252" s="201" t="s">
        <v>858</v>
      </c>
      <c r="E1252" s="192">
        <v>94.8</v>
      </c>
      <c r="F1252" s="192">
        <v>78.7</v>
      </c>
      <c r="G1252" s="192">
        <v>91.1</v>
      </c>
    </row>
    <row r="1253" spans="1:7" x14ac:dyDescent="0.3">
      <c r="A1253" s="191" t="s">
        <v>884</v>
      </c>
      <c r="B1253" s="191" t="s">
        <v>947</v>
      </c>
      <c r="C1253" s="192" t="s">
        <v>859</v>
      </c>
      <c r="D1253" s="201" t="s">
        <v>860</v>
      </c>
      <c r="E1253" s="192">
        <v>142</v>
      </c>
      <c r="F1253" s="192">
        <v>84.4</v>
      </c>
      <c r="G1253" s="192">
        <v>103.5</v>
      </c>
    </row>
    <row r="1254" spans="1:7" x14ac:dyDescent="0.3">
      <c r="A1254" s="191" t="s">
        <v>884</v>
      </c>
      <c r="B1254" s="191" t="s">
        <v>947</v>
      </c>
      <c r="C1254" s="192" t="s">
        <v>861</v>
      </c>
      <c r="D1254" s="201" t="s">
        <v>862</v>
      </c>
      <c r="E1254" s="192">
        <v>98.9</v>
      </c>
      <c r="F1254" s="192">
        <v>84.4</v>
      </c>
      <c r="G1254" s="192">
        <v>89.3</v>
      </c>
    </row>
    <row r="1255" spans="1:7" x14ac:dyDescent="0.3">
      <c r="A1255" s="191" t="s">
        <v>884</v>
      </c>
      <c r="B1255" s="191" t="s">
        <v>947</v>
      </c>
      <c r="C1255" s="192" t="s">
        <v>863</v>
      </c>
      <c r="D1255" s="201" t="s">
        <v>864</v>
      </c>
      <c r="E1255" s="192">
        <v>122.5</v>
      </c>
      <c r="F1255" s="192">
        <v>95.7</v>
      </c>
      <c r="G1255" s="192">
        <v>114.8</v>
      </c>
    </row>
    <row r="1256" spans="1:7" x14ac:dyDescent="0.3">
      <c r="A1256" s="191" t="s">
        <v>884</v>
      </c>
      <c r="B1256" s="191" t="s">
        <v>947</v>
      </c>
      <c r="C1256" s="192" t="s">
        <v>865</v>
      </c>
      <c r="D1256" s="201" t="s">
        <v>866</v>
      </c>
      <c r="E1256" s="192">
        <v>112.3</v>
      </c>
      <c r="F1256" s="192">
        <v>91.7</v>
      </c>
      <c r="G1256" s="192">
        <v>100.3</v>
      </c>
    </row>
    <row r="1257" spans="1:7" x14ac:dyDescent="0.3">
      <c r="A1257" s="191" t="s">
        <v>884</v>
      </c>
      <c r="B1257" s="191" t="s">
        <v>947</v>
      </c>
      <c r="C1257" s="192" t="s">
        <v>867</v>
      </c>
      <c r="D1257" s="201" t="s">
        <v>868</v>
      </c>
      <c r="E1257" s="192">
        <v>115.1</v>
      </c>
      <c r="F1257" s="192">
        <v>88.2</v>
      </c>
      <c r="G1257" s="192">
        <v>100.2</v>
      </c>
    </row>
    <row r="1258" spans="1:7" x14ac:dyDescent="0.3">
      <c r="A1258" s="191" t="s">
        <v>884</v>
      </c>
      <c r="B1258" s="191" t="s">
        <v>947</v>
      </c>
      <c r="C1258" s="192" t="s">
        <v>869</v>
      </c>
      <c r="D1258" s="201" t="s">
        <v>870</v>
      </c>
      <c r="E1258" s="192">
        <v>131.1</v>
      </c>
      <c r="F1258" s="192">
        <v>82.8</v>
      </c>
      <c r="G1258" s="192">
        <v>120.7</v>
      </c>
    </row>
    <row r="1259" spans="1:7" x14ac:dyDescent="0.3">
      <c r="A1259" s="191" t="s">
        <v>884</v>
      </c>
      <c r="B1259" s="191" t="s">
        <v>947</v>
      </c>
      <c r="C1259" s="192" t="s">
        <v>871</v>
      </c>
      <c r="D1259" s="201" t="s">
        <v>872</v>
      </c>
      <c r="E1259" s="192">
        <v>103.9</v>
      </c>
      <c r="F1259" s="192">
        <v>90</v>
      </c>
      <c r="G1259" s="192">
        <v>98.1</v>
      </c>
    </row>
    <row r="1260" spans="1:7" x14ac:dyDescent="0.3">
      <c r="A1260" s="191" t="s">
        <v>884</v>
      </c>
      <c r="B1260" s="191" t="s">
        <v>947</v>
      </c>
      <c r="C1260" s="192" t="s">
        <v>873</v>
      </c>
      <c r="D1260" s="201" t="s">
        <v>874</v>
      </c>
      <c r="E1260" s="192">
        <v>108.4</v>
      </c>
      <c r="F1260" s="192">
        <v>72.099999999999994</v>
      </c>
      <c r="G1260" s="192">
        <v>90</v>
      </c>
    </row>
    <row r="1261" spans="1:7" x14ac:dyDescent="0.3">
      <c r="A1261" s="191" t="s">
        <v>884</v>
      </c>
      <c r="B1261" s="191" t="s">
        <v>947</v>
      </c>
      <c r="C1261" s="192" t="s">
        <v>875</v>
      </c>
      <c r="D1261" s="201" t="s">
        <v>876</v>
      </c>
      <c r="E1261" s="192">
        <v>112.8</v>
      </c>
      <c r="F1261" s="192">
        <v>86.4</v>
      </c>
      <c r="G1261" s="192">
        <v>101.1</v>
      </c>
    </row>
    <row r="1262" spans="1:7" x14ac:dyDescent="0.3">
      <c r="A1262" s="191" t="s">
        <v>909</v>
      </c>
      <c r="B1262" s="191" t="s">
        <v>948</v>
      </c>
      <c r="C1262" s="192" t="s">
        <v>1301</v>
      </c>
      <c r="D1262" s="202" t="s">
        <v>1599</v>
      </c>
      <c r="E1262" s="192">
        <v>0</v>
      </c>
      <c r="F1262" s="192">
        <v>101.4</v>
      </c>
      <c r="G1262" s="192">
        <v>101.4</v>
      </c>
    </row>
    <row r="1263" spans="1:7" x14ac:dyDescent="0.3">
      <c r="A1263" s="191" t="s">
        <v>909</v>
      </c>
      <c r="B1263" s="191" t="s">
        <v>948</v>
      </c>
      <c r="C1263" s="192" t="s">
        <v>839</v>
      </c>
      <c r="D1263" s="201" t="s">
        <v>840</v>
      </c>
      <c r="E1263" s="192">
        <v>129.5</v>
      </c>
      <c r="F1263" s="192">
        <v>97.5</v>
      </c>
      <c r="G1263" s="192">
        <v>106.9</v>
      </c>
    </row>
    <row r="1264" spans="1:7" x14ac:dyDescent="0.3">
      <c r="A1264" s="191" t="s">
        <v>909</v>
      </c>
      <c r="B1264" s="191" t="s">
        <v>948</v>
      </c>
      <c r="C1264" s="192" t="s">
        <v>841</v>
      </c>
      <c r="D1264" s="201" t="s">
        <v>842</v>
      </c>
      <c r="E1264" s="192">
        <v>113.2</v>
      </c>
      <c r="F1264" s="192">
        <v>69.5</v>
      </c>
      <c r="G1264" s="192">
        <v>75.400000000000006</v>
      </c>
    </row>
    <row r="1265" spans="1:7" x14ac:dyDescent="0.3">
      <c r="A1265" s="191" t="s">
        <v>909</v>
      </c>
      <c r="B1265" s="191" t="s">
        <v>948</v>
      </c>
      <c r="C1265" s="192" t="s">
        <v>843</v>
      </c>
      <c r="D1265" s="201" t="s">
        <v>844</v>
      </c>
      <c r="E1265" s="192">
        <v>166.6</v>
      </c>
      <c r="F1265" s="192">
        <v>46.2</v>
      </c>
      <c r="G1265" s="192">
        <v>104.2</v>
      </c>
    </row>
    <row r="1266" spans="1:7" x14ac:dyDescent="0.3">
      <c r="A1266" s="191" t="s">
        <v>909</v>
      </c>
      <c r="B1266" s="191" t="s">
        <v>948</v>
      </c>
      <c r="C1266" s="192" t="s">
        <v>845</v>
      </c>
      <c r="D1266" s="201" t="s">
        <v>846</v>
      </c>
      <c r="E1266" s="192">
        <v>147.69999999999999</v>
      </c>
      <c r="F1266" s="192">
        <v>71.3</v>
      </c>
      <c r="G1266" s="192">
        <v>117.6</v>
      </c>
    </row>
    <row r="1267" spans="1:7" x14ac:dyDescent="0.3">
      <c r="A1267" s="191" t="s">
        <v>909</v>
      </c>
      <c r="B1267" s="191" t="s">
        <v>948</v>
      </c>
      <c r="C1267" s="192" t="s">
        <v>847</v>
      </c>
      <c r="D1267" s="201" t="s">
        <v>848</v>
      </c>
      <c r="E1267" s="192">
        <v>161.69999999999999</v>
      </c>
      <c r="F1267" s="192">
        <v>66.599999999999994</v>
      </c>
      <c r="G1267" s="192">
        <v>115.4</v>
      </c>
    </row>
    <row r="1268" spans="1:7" x14ac:dyDescent="0.3">
      <c r="A1268" s="191" t="s">
        <v>909</v>
      </c>
      <c r="B1268" s="191" t="s">
        <v>948</v>
      </c>
      <c r="C1268" s="192" t="s">
        <v>849</v>
      </c>
      <c r="D1268" s="201" t="s">
        <v>850</v>
      </c>
      <c r="E1268" s="192">
        <v>253.5</v>
      </c>
      <c r="F1268" s="192">
        <v>71.599999999999994</v>
      </c>
      <c r="G1268" s="192">
        <v>141.4</v>
      </c>
    </row>
    <row r="1269" spans="1:7" x14ac:dyDescent="0.3">
      <c r="A1269" s="191" t="s">
        <v>909</v>
      </c>
      <c r="B1269" s="191" t="s">
        <v>948</v>
      </c>
      <c r="C1269" s="192" t="s">
        <v>851</v>
      </c>
      <c r="D1269" s="201" t="s">
        <v>852</v>
      </c>
      <c r="E1269" s="192">
        <v>125.9</v>
      </c>
      <c r="F1269" s="192">
        <v>74.099999999999994</v>
      </c>
      <c r="G1269" s="192">
        <v>109.5</v>
      </c>
    </row>
    <row r="1270" spans="1:7" x14ac:dyDescent="0.3">
      <c r="A1270" s="191" t="s">
        <v>909</v>
      </c>
      <c r="B1270" s="191" t="s">
        <v>948</v>
      </c>
      <c r="C1270" s="192" t="s">
        <v>853</v>
      </c>
      <c r="D1270" s="201" t="s">
        <v>854</v>
      </c>
      <c r="E1270" s="192">
        <v>117.9</v>
      </c>
      <c r="F1270" s="192">
        <v>68.599999999999994</v>
      </c>
      <c r="G1270" s="192">
        <v>90.5</v>
      </c>
    </row>
    <row r="1271" spans="1:7" x14ac:dyDescent="0.3">
      <c r="A1271" s="191" t="s">
        <v>909</v>
      </c>
      <c r="B1271" s="191" t="s">
        <v>948</v>
      </c>
      <c r="C1271" s="192" t="s">
        <v>855</v>
      </c>
      <c r="D1271" s="201" t="s">
        <v>856</v>
      </c>
      <c r="E1271" s="192">
        <v>143.4</v>
      </c>
      <c r="F1271" s="192">
        <v>68.5</v>
      </c>
      <c r="G1271" s="192">
        <v>112</v>
      </c>
    </row>
    <row r="1272" spans="1:7" x14ac:dyDescent="0.3">
      <c r="A1272" s="191" t="s">
        <v>909</v>
      </c>
      <c r="B1272" s="191" t="s">
        <v>948</v>
      </c>
      <c r="C1272" s="192" t="s">
        <v>857</v>
      </c>
      <c r="D1272" s="201" t="s">
        <v>858</v>
      </c>
      <c r="E1272" s="192">
        <v>95.6</v>
      </c>
      <c r="F1272" s="192">
        <v>63</v>
      </c>
      <c r="G1272" s="192">
        <v>88</v>
      </c>
    </row>
    <row r="1273" spans="1:7" x14ac:dyDescent="0.3">
      <c r="A1273" s="191" t="s">
        <v>909</v>
      </c>
      <c r="B1273" s="191" t="s">
        <v>948</v>
      </c>
      <c r="C1273" s="192" t="s">
        <v>859</v>
      </c>
      <c r="D1273" s="201" t="s">
        <v>860</v>
      </c>
      <c r="E1273" s="192">
        <v>137.5</v>
      </c>
      <c r="F1273" s="192">
        <v>67.599999999999994</v>
      </c>
      <c r="G1273" s="192">
        <v>90.8</v>
      </c>
    </row>
    <row r="1274" spans="1:7" x14ac:dyDescent="0.3">
      <c r="A1274" s="191" t="s">
        <v>909</v>
      </c>
      <c r="B1274" s="191" t="s">
        <v>948</v>
      </c>
      <c r="C1274" s="192" t="s">
        <v>861</v>
      </c>
      <c r="D1274" s="201" t="s">
        <v>862</v>
      </c>
      <c r="E1274" s="192">
        <v>115.6</v>
      </c>
      <c r="F1274" s="192">
        <v>67.599999999999994</v>
      </c>
      <c r="G1274" s="192">
        <v>83.8</v>
      </c>
    </row>
    <row r="1275" spans="1:7" x14ac:dyDescent="0.3">
      <c r="A1275" s="191" t="s">
        <v>909</v>
      </c>
      <c r="B1275" s="191" t="s">
        <v>948</v>
      </c>
      <c r="C1275" s="192" t="s">
        <v>863</v>
      </c>
      <c r="D1275" s="201" t="s">
        <v>864</v>
      </c>
      <c r="E1275" s="192">
        <v>118</v>
      </c>
      <c r="F1275" s="192">
        <v>64.599999999999994</v>
      </c>
      <c r="G1275" s="192">
        <v>102.7</v>
      </c>
    </row>
    <row r="1276" spans="1:7" x14ac:dyDescent="0.3">
      <c r="A1276" s="191" t="s">
        <v>909</v>
      </c>
      <c r="B1276" s="191" t="s">
        <v>948</v>
      </c>
      <c r="C1276" s="192" t="s">
        <v>865</v>
      </c>
      <c r="D1276" s="201" t="s">
        <v>866</v>
      </c>
      <c r="E1276" s="192">
        <v>120.1</v>
      </c>
      <c r="F1276" s="192">
        <v>64.099999999999994</v>
      </c>
      <c r="G1276" s="192">
        <v>87.5</v>
      </c>
    </row>
    <row r="1277" spans="1:7" x14ac:dyDescent="0.3">
      <c r="A1277" s="191" t="s">
        <v>909</v>
      </c>
      <c r="B1277" s="191" t="s">
        <v>948</v>
      </c>
      <c r="C1277" s="192" t="s">
        <v>867</v>
      </c>
      <c r="D1277" s="201" t="s">
        <v>868</v>
      </c>
      <c r="E1277" s="192">
        <v>120.4</v>
      </c>
      <c r="F1277" s="192">
        <v>68.2</v>
      </c>
      <c r="G1277" s="192">
        <v>91.6</v>
      </c>
    </row>
    <row r="1278" spans="1:7" x14ac:dyDescent="0.3">
      <c r="A1278" s="191" t="s">
        <v>909</v>
      </c>
      <c r="B1278" s="191" t="s">
        <v>948</v>
      </c>
      <c r="C1278" s="192" t="s">
        <v>869</v>
      </c>
      <c r="D1278" s="201" t="s">
        <v>870</v>
      </c>
      <c r="E1278" s="192">
        <v>131.1</v>
      </c>
      <c r="F1278" s="192">
        <v>64.599999999999994</v>
      </c>
      <c r="G1278" s="192">
        <v>116.7</v>
      </c>
    </row>
    <row r="1279" spans="1:7" x14ac:dyDescent="0.3">
      <c r="A1279" s="191" t="s">
        <v>909</v>
      </c>
      <c r="B1279" s="191" t="s">
        <v>948</v>
      </c>
      <c r="C1279" s="192" t="s">
        <v>871</v>
      </c>
      <c r="D1279" s="201" t="s">
        <v>872</v>
      </c>
      <c r="E1279" s="192">
        <v>103.7</v>
      </c>
      <c r="F1279" s="192">
        <v>83.5</v>
      </c>
      <c r="G1279" s="192">
        <v>95.1</v>
      </c>
    </row>
    <row r="1280" spans="1:7" x14ac:dyDescent="0.3">
      <c r="A1280" s="191" t="s">
        <v>909</v>
      </c>
      <c r="B1280" s="191" t="s">
        <v>948</v>
      </c>
      <c r="C1280" s="192" t="s">
        <v>873</v>
      </c>
      <c r="D1280" s="201" t="s">
        <v>874</v>
      </c>
      <c r="E1280" s="192">
        <v>118.3</v>
      </c>
      <c r="F1280" s="192">
        <v>63.9</v>
      </c>
      <c r="G1280" s="192">
        <v>90.8</v>
      </c>
    </row>
    <row r="1281" spans="1:7" x14ac:dyDescent="0.3">
      <c r="A1281" s="191" t="s">
        <v>909</v>
      </c>
      <c r="B1281" s="191" t="s">
        <v>948</v>
      </c>
      <c r="C1281" s="192" t="s">
        <v>875</v>
      </c>
      <c r="D1281" s="201" t="s">
        <v>876</v>
      </c>
      <c r="E1281" s="192">
        <v>127.5</v>
      </c>
      <c r="F1281" s="192">
        <v>73.599999999999994</v>
      </c>
      <c r="G1281" s="192">
        <v>103.7</v>
      </c>
    </row>
    <row r="1282" spans="1:7" x14ac:dyDescent="0.3">
      <c r="A1282" s="191" t="s">
        <v>909</v>
      </c>
      <c r="B1282" s="191" t="s">
        <v>949</v>
      </c>
      <c r="C1282" s="192" t="s">
        <v>1301</v>
      </c>
      <c r="D1282" s="202" t="s">
        <v>1599</v>
      </c>
      <c r="E1282" s="192">
        <v>0</v>
      </c>
      <c r="F1282" s="192">
        <v>101.4</v>
      </c>
      <c r="G1282" s="192">
        <v>101.4</v>
      </c>
    </row>
    <row r="1283" spans="1:7" x14ac:dyDescent="0.3">
      <c r="A1283" s="191" t="s">
        <v>909</v>
      </c>
      <c r="B1283" s="191" t="s">
        <v>949</v>
      </c>
      <c r="C1283" s="192" t="s">
        <v>839</v>
      </c>
      <c r="D1283" s="201" t="s">
        <v>840</v>
      </c>
      <c r="E1283" s="192">
        <v>108.2</v>
      </c>
      <c r="F1283" s="192">
        <v>97.7</v>
      </c>
      <c r="G1283" s="192">
        <v>100.7</v>
      </c>
    </row>
    <row r="1284" spans="1:7" x14ac:dyDescent="0.3">
      <c r="A1284" s="191" t="s">
        <v>909</v>
      </c>
      <c r="B1284" s="191" t="s">
        <v>949</v>
      </c>
      <c r="C1284" s="192" t="s">
        <v>841</v>
      </c>
      <c r="D1284" s="201" t="s">
        <v>842</v>
      </c>
      <c r="E1284" s="192">
        <v>113.2</v>
      </c>
      <c r="F1284" s="192">
        <v>76.599999999999994</v>
      </c>
      <c r="G1284" s="192">
        <v>81.5</v>
      </c>
    </row>
    <row r="1285" spans="1:7" x14ac:dyDescent="0.3">
      <c r="A1285" s="191" t="s">
        <v>909</v>
      </c>
      <c r="B1285" s="191" t="s">
        <v>949</v>
      </c>
      <c r="C1285" s="192" t="s">
        <v>843</v>
      </c>
      <c r="D1285" s="201" t="s">
        <v>844</v>
      </c>
      <c r="E1285" s="192">
        <v>142.30000000000001</v>
      </c>
      <c r="F1285" s="192">
        <v>61.9</v>
      </c>
      <c r="G1285" s="192">
        <v>100.7</v>
      </c>
    </row>
    <row r="1286" spans="1:7" x14ac:dyDescent="0.3">
      <c r="A1286" s="191" t="s">
        <v>909</v>
      </c>
      <c r="B1286" s="191" t="s">
        <v>949</v>
      </c>
      <c r="C1286" s="192" t="s">
        <v>845</v>
      </c>
      <c r="D1286" s="201" t="s">
        <v>846</v>
      </c>
      <c r="E1286" s="192">
        <v>128</v>
      </c>
      <c r="F1286" s="192">
        <v>80.900000000000006</v>
      </c>
      <c r="G1286" s="192">
        <v>109.4</v>
      </c>
    </row>
    <row r="1287" spans="1:7" x14ac:dyDescent="0.3">
      <c r="A1287" s="191" t="s">
        <v>909</v>
      </c>
      <c r="B1287" s="191" t="s">
        <v>949</v>
      </c>
      <c r="C1287" s="192" t="s">
        <v>847</v>
      </c>
      <c r="D1287" s="201" t="s">
        <v>848</v>
      </c>
      <c r="E1287" s="192">
        <v>127.8</v>
      </c>
      <c r="F1287" s="192">
        <v>75.900000000000006</v>
      </c>
      <c r="G1287" s="192">
        <v>102.6</v>
      </c>
    </row>
    <row r="1288" spans="1:7" x14ac:dyDescent="0.3">
      <c r="A1288" s="191" t="s">
        <v>909</v>
      </c>
      <c r="B1288" s="191" t="s">
        <v>949</v>
      </c>
      <c r="C1288" s="192" t="s">
        <v>849</v>
      </c>
      <c r="D1288" s="201" t="s">
        <v>850</v>
      </c>
      <c r="E1288" s="192">
        <v>184.5</v>
      </c>
      <c r="F1288" s="192">
        <v>84.3</v>
      </c>
      <c r="G1288" s="192">
        <v>122.8</v>
      </c>
    </row>
    <row r="1289" spans="1:7" x14ac:dyDescent="0.3">
      <c r="A1289" s="191" t="s">
        <v>909</v>
      </c>
      <c r="B1289" s="191" t="s">
        <v>949</v>
      </c>
      <c r="C1289" s="192" t="s">
        <v>851</v>
      </c>
      <c r="D1289" s="201" t="s">
        <v>852</v>
      </c>
      <c r="E1289" s="192">
        <v>132.4</v>
      </c>
      <c r="F1289" s="192">
        <v>81.400000000000006</v>
      </c>
      <c r="G1289" s="192">
        <v>116.2</v>
      </c>
    </row>
    <row r="1290" spans="1:7" x14ac:dyDescent="0.3">
      <c r="A1290" s="191" t="s">
        <v>909</v>
      </c>
      <c r="B1290" s="191" t="s">
        <v>949</v>
      </c>
      <c r="C1290" s="192" t="s">
        <v>853</v>
      </c>
      <c r="D1290" s="201" t="s">
        <v>854</v>
      </c>
      <c r="E1290" s="192">
        <v>96.3</v>
      </c>
      <c r="F1290" s="192">
        <v>75.2</v>
      </c>
      <c r="G1290" s="192">
        <v>84.5</v>
      </c>
    </row>
    <row r="1291" spans="1:7" x14ac:dyDescent="0.3">
      <c r="A1291" s="191" t="s">
        <v>909</v>
      </c>
      <c r="B1291" s="191" t="s">
        <v>949</v>
      </c>
      <c r="C1291" s="192" t="s">
        <v>855</v>
      </c>
      <c r="D1291" s="201" t="s">
        <v>856</v>
      </c>
      <c r="E1291" s="192">
        <v>120.6</v>
      </c>
      <c r="F1291" s="192">
        <v>77.7</v>
      </c>
      <c r="G1291" s="192">
        <v>102.7</v>
      </c>
    </row>
    <row r="1292" spans="1:7" x14ac:dyDescent="0.3">
      <c r="A1292" s="191" t="s">
        <v>909</v>
      </c>
      <c r="B1292" s="191" t="s">
        <v>949</v>
      </c>
      <c r="C1292" s="192" t="s">
        <v>857</v>
      </c>
      <c r="D1292" s="201" t="s">
        <v>858</v>
      </c>
      <c r="E1292" s="192">
        <v>93.9</v>
      </c>
      <c r="F1292" s="192">
        <v>70.3</v>
      </c>
      <c r="G1292" s="192">
        <v>88.4</v>
      </c>
    </row>
    <row r="1293" spans="1:7" x14ac:dyDescent="0.3">
      <c r="A1293" s="191" t="s">
        <v>909</v>
      </c>
      <c r="B1293" s="191" t="s">
        <v>949</v>
      </c>
      <c r="C1293" s="192" t="s">
        <v>859</v>
      </c>
      <c r="D1293" s="201" t="s">
        <v>860</v>
      </c>
      <c r="E1293" s="192">
        <v>114.9</v>
      </c>
      <c r="F1293" s="192">
        <v>74.3</v>
      </c>
      <c r="G1293" s="192">
        <v>87.8</v>
      </c>
    </row>
    <row r="1294" spans="1:7" x14ac:dyDescent="0.3">
      <c r="A1294" s="191" t="s">
        <v>909</v>
      </c>
      <c r="B1294" s="191" t="s">
        <v>949</v>
      </c>
      <c r="C1294" s="192" t="s">
        <v>861</v>
      </c>
      <c r="D1294" s="201" t="s">
        <v>862</v>
      </c>
      <c r="E1294" s="192">
        <v>120.2</v>
      </c>
      <c r="F1294" s="192">
        <v>74.3</v>
      </c>
      <c r="G1294" s="192">
        <v>89.9</v>
      </c>
    </row>
    <row r="1295" spans="1:7" x14ac:dyDescent="0.3">
      <c r="A1295" s="191" t="s">
        <v>909</v>
      </c>
      <c r="B1295" s="191" t="s">
        <v>949</v>
      </c>
      <c r="C1295" s="192" t="s">
        <v>863</v>
      </c>
      <c r="D1295" s="201" t="s">
        <v>864</v>
      </c>
      <c r="E1295" s="192">
        <v>106.8</v>
      </c>
      <c r="F1295" s="192">
        <v>87</v>
      </c>
      <c r="G1295" s="192">
        <v>101.1</v>
      </c>
    </row>
    <row r="1296" spans="1:7" x14ac:dyDescent="0.3">
      <c r="A1296" s="191" t="s">
        <v>909</v>
      </c>
      <c r="B1296" s="191" t="s">
        <v>949</v>
      </c>
      <c r="C1296" s="192" t="s">
        <v>865</v>
      </c>
      <c r="D1296" s="201" t="s">
        <v>866</v>
      </c>
      <c r="E1296" s="192">
        <v>115.1</v>
      </c>
      <c r="F1296" s="192">
        <v>87.4</v>
      </c>
      <c r="G1296" s="192">
        <v>99</v>
      </c>
    </row>
    <row r="1297" spans="1:7" x14ac:dyDescent="0.3">
      <c r="A1297" s="191" t="s">
        <v>909</v>
      </c>
      <c r="B1297" s="191" t="s">
        <v>949</v>
      </c>
      <c r="C1297" s="192" t="s">
        <v>867</v>
      </c>
      <c r="D1297" s="201" t="s">
        <v>868</v>
      </c>
      <c r="E1297" s="192">
        <v>115.1</v>
      </c>
      <c r="F1297" s="192">
        <v>79.900000000000006</v>
      </c>
      <c r="G1297" s="192">
        <v>95.6</v>
      </c>
    </row>
    <row r="1298" spans="1:7" x14ac:dyDescent="0.3">
      <c r="A1298" s="191" t="s">
        <v>909</v>
      </c>
      <c r="B1298" s="191" t="s">
        <v>949</v>
      </c>
      <c r="C1298" s="192" t="s">
        <v>869</v>
      </c>
      <c r="D1298" s="201" t="s">
        <v>870</v>
      </c>
      <c r="E1298" s="192">
        <v>131.1</v>
      </c>
      <c r="F1298" s="192">
        <v>67.8</v>
      </c>
      <c r="G1298" s="192">
        <v>117.4</v>
      </c>
    </row>
    <row r="1299" spans="1:7" x14ac:dyDescent="0.3">
      <c r="A1299" s="191" t="s">
        <v>909</v>
      </c>
      <c r="B1299" s="191" t="s">
        <v>949</v>
      </c>
      <c r="C1299" s="192" t="s">
        <v>871</v>
      </c>
      <c r="D1299" s="201" t="s">
        <v>872</v>
      </c>
      <c r="E1299" s="192">
        <v>104.9</v>
      </c>
      <c r="F1299" s="192">
        <v>76.8</v>
      </c>
      <c r="G1299" s="192">
        <v>93</v>
      </c>
    </row>
    <row r="1300" spans="1:7" x14ac:dyDescent="0.3">
      <c r="A1300" s="191" t="s">
        <v>909</v>
      </c>
      <c r="B1300" s="191" t="s">
        <v>949</v>
      </c>
      <c r="C1300" s="192" t="s">
        <v>873</v>
      </c>
      <c r="D1300" s="201" t="s">
        <v>874</v>
      </c>
      <c r="E1300" s="192">
        <v>105.2</v>
      </c>
      <c r="F1300" s="192">
        <v>80.599999999999994</v>
      </c>
      <c r="G1300" s="192">
        <v>92.8</v>
      </c>
    </row>
    <row r="1301" spans="1:7" x14ac:dyDescent="0.3">
      <c r="A1301" s="191" t="s">
        <v>909</v>
      </c>
      <c r="B1301" s="191" t="s">
        <v>949</v>
      </c>
      <c r="C1301" s="192" t="s">
        <v>875</v>
      </c>
      <c r="D1301" s="201" t="s">
        <v>876</v>
      </c>
      <c r="E1301" s="192">
        <v>118.2</v>
      </c>
      <c r="F1301" s="192">
        <v>79.900000000000006</v>
      </c>
      <c r="G1301" s="192">
        <v>101.3</v>
      </c>
    </row>
    <row r="1302" spans="1:7" x14ac:dyDescent="0.3">
      <c r="A1302" s="191" t="s">
        <v>837</v>
      </c>
      <c r="B1302" s="191" t="s">
        <v>950</v>
      </c>
      <c r="C1302" s="192" t="s">
        <v>1301</v>
      </c>
      <c r="D1302" s="202" t="s">
        <v>1599</v>
      </c>
      <c r="E1302" s="192">
        <v>0</v>
      </c>
      <c r="F1302" s="192">
        <v>104</v>
      </c>
      <c r="G1302" s="192">
        <v>104</v>
      </c>
    </row>
    <row r="1303" spans="1:7" x14ac:dyDescent="0.3">
      <c r="A1303" s="191" t="s">
        <v>837</v>
      </c>
      <c r="B1303" s="191" t="s">
        <v>950</v>
      </c>
      <c r="C1303" s="192" t="s">
        <v>839</v>
      </c>
      <c r="D1303" s="201" t="s">
        <v>840</v>
      </c>
      <c r="E1303" s="192">
        <v>99.4</v>
      </c>
      <c r="F1303" s="192">
        <v>104.5</v>
      </c>
      <c r="G1303" s="192">
        <v>103</v>
      </c>
    </row>
    <row r="1304" spans="1:7" x14ac:dyDescent="0.3">
      <c r="A1304" s="191" t="s">
        <v>837</v>
      </c>
      <c r="B1304" s="191" t="s">
        <v>950</v>
      </c>
      <c r="C1304" s="192" t="s">
        <v>841</v>
      </c>
      <c r="D1304" s="201" t="s">
        <v>842</v>
      </c>
      <c r="E1304" s="192">
        <v>112.8</v>
      </c>
      <c r="F1304" s="192">
        <v>84.8</v>
      </c>
      <c r="G1304" s="192">
        <v>88.6</v>
      </c>
    </row>
    <row r="1305" spans="1:7" x14ac:dyDescent="0.3">
      <c r="A1305" s="191" t="s">
        <v>837</v>
      </c>
      <c r="B1305" s="191" t="s">
        <v>950</v>
      </c>
      <c r="C1305" s="192" t="s">
        <v>843</v>
      </c>
      <c r="D1305" s="201" t="s">
        <v>844</v>
      </c>
      <c r="E1305" s="192">
        <v>96.8</v>
      </c>
      <c r="F1305" s="192">
        <v>90.9</v>
      </c>
      <c r="G1305" s="192">
        <v>93.7</v>
      </c>
    </row>
    <row r="1306" spans="1:7" x14ac:dyDescent="0.3">
      <c r="A1306" s="191" t="s">
        <v>837</v>
      </c>
      <c r="B1306" s="191" t="s">
        <v>950</v>
      </c>
      <c r="C1306" s="192" t="s">
        <v>845</v>
      </c>
      <c r="D1306" s="201" t="s">
        <v>846</v>
      </c>
      <c r="E1306" s="192">
        <v>126</v>
      </c>
      <c r="F1306" s="192">
        <v>92.6</v>
      </c>
      <c r="G1306" s="192">
        <v>112.9</v>
      </c>
    </row>
    <row r="1307" spans="1:7" x14ac:dyDescent="0.3">
      <c r="A1307" s="191" t="s">
        <v>837</v>
      </c>
      <c r="B1307" s="191" t="s">
        <v>950</v>
      </c>
      <c r="C1307" s="192" t="s">
        <v>847</v>
      </c>
      <c r="D1307" s="201" t="s">
        <v>848</v>
      </c>
      <c r="E1307" s="192">
        <v>108.4</v>
      </c>
      <c r="F1307" s="192">
        <v>88.8</v>
      </c>
      <c r="G1307" s="192">
        <v>98.9</v>
      </c>
    </row>
    <row r="1308" spans="1:7" x14ac:dyDescent="0.3">
      <c r="A1308" s="191" t="s">
        <v>837</v>
      </c>
      <c r="B1308" s="191" t="s">
        <v>950</v>
      </c>
      <c r="C1308" s="192" t="s">
        <v>849</v>
      </c>
      <c r="D1308" s="201" t="s">
        <v>850</v>
      </c>
      <c r="E1308" s="192">
        <v>148.4</v>
      </c>
      <c r="F1308" s="192">
        <v>97.2</v>
      </c>
      <c r="G1308" s="192">
        <v>116.8</v>
      </c>
    </row>
    <row r="1309" spans="1:7" x14ac:dyDescent="0.3">
      <c r="A1309" s="191" t="s">
        <v>837</v>
      </c>
      <c r="B1309" s="191" t="s">
        <v>950</v>
      </c>
      <c r="C1309" s="192" t="s">
        <v>851</v>
      </c>
      <c r="D1309" s="201" t="s">
        <v>852</v>
      </c>
      <c r="E1309" s="192">
        <v>117.4</v>
      </c>
      <c r="F1309" s="192">
        <v>91.8</v>
      </c>
      <c r="G1309" s="192">
        <v>109.2</v>
      </c>
    </row>
    <row r="1310" spans="1:7" x14ac:dyDescent="0.3">
      <c r="A1310" s="191" t="s">
        <v>837</v>
      </c>
      <c r="B1310" s="191" t="s">
        <v>950</v>
      </c>
      <c r="C1310" s="192" t="s">
        <v>853</v>
      </c>
      <c r="D1310" s="201" t="s">
        <v>854</v>
      </c>
      <c r="E1310" s="192">
        <v>109.2</v>
      </c>
      <c r="F1310" s="192">
        <v>82.6</v>
      </c>
      <c r="G1310" s="192">
        <v>94.4</v>
      </c>
    </row>
    <row r="1311" spans="1:7" x14ac:dyDescent="0.3">
      <c r="A1311" s="191" t="s">
        <v>837</v>
      </c>
      <c r="B1311" s="191" t="s">
        <v>950</v>
      </c>
      <c r="C1311" s="192" t="s">
        <v>855</v>
      </c>
      <c r="D1311" s="201" t="s">
        <v>856</v>
      </c>
      <c r="E1311" s="192">
        <v>111.2</v>
      </c>
      <c r="F1311" s="192">
        <v>90.8</v>
      </c>
      <c r="G1311" s="192">
        <v>102.7</v>
      </c>
    </row>
    <row r="1312" spans="1:7" x14ac:dyDescent="0.3">
      <c r="A1312" s="191" t="s">
        <v>837</v>
      </c>
      <c r="B1312" s="191" t="s">
        <v>950</v>
      </c>
      <c r="C1312" s="192" t="s">
        <v>857</v>
      </c>
      <c r="D1312" s="201" t="s">
        <v>858</v>
      </c>
      <c r="E1312" s="192">
        <v>86.4</v>
      </c>
      <c r="F1312" s="192">
        <v>83.3</v>
      </c>
      <c r="G1312" s="192">
        <v>85.7</v>
      </c>
    </row>
    <row r="1313" spans="1:7" x14ac:dyDescent="0.3">
      <c r="A1313" s="191" t="s">
        <v>837</v>
      </c>
      <c r="B1313" s="191" t="s">
        <v>950</v>
      </c>
      <c r="C1313" s="192" t="s">
        <v>859</v>
      </c>
      <c r="D1313" s="201" t="s">
        <v>860</v>
      </c>
      <c r="E1313" s="192">
        <v>106.5</v>
      </c>
      <c r="F1313" s="192">
        <v>82</v>
      </c>
      <c r="G1313" s="192">
        <v>90.2</v>
      </c>
    </row>
    <row r="1314" spans="1:7" x14ac:dyDescent="0.3">
      <c r="A1314" s="191" t="s">
        <v>837</v>
      </c>
      <c r="B1314" s="191" t="s">
        <v>950</v>
      </c>
      <c r="C1314" s="192" t="s">
        <v>861</v>
      </c>
      <c r="D1314" s="201" t="s">
        <v>862</v>
      </c>
      <c r="E1314" s="192">
        <v>101.7</v>
      </c>
      <c r="F1314" s="192">
        <v>82</v>
      </c>
      <c r="G1314" s="192">
        <v>88.7</v>
      </c>
    </row>
    <row r="1315" spans="1:7" x14ac:dyDescent="0.3">
      <c r="A1315" s="191" t="s">
        <v>837</v>
      </c>
      <c r="B1315" s="191" t="s">
        <v>950</v>
      </c>
      <c r="C1315" s="192" t="s">
        <v>863</v>
      </c>
      <c r="D1315" s="201" t="s">
        <v>864</v>
      </c>
      <c r="E1315" s="192">
        <v>109.6</v>
      </c>
      <c r="F1315" s="192">
        <v>100.7</v>
      </c>
      <c r="G1315" s="192">
        <v>107.1</v>
      </c>
    </row>
    <row r="1316" spans="1:7" x14ac:dyDescent="0.3">
      <c r="A1316" s="191" t="s">
        <v>837</v>
      </c>
      <c r="B1316" s="191" t="s">
        <v>950</v>
      </c>
      <c r="C1316" s="192" t="s">
        <v>865</v>
      </c>
      <c r="D1316" s="201" t="s">
        <v>866</v>
      </c>
      <c r="E1316" s="192">
        <v>106.2</v>
      </c>
      <c r="F1316" s="192">
        <v>92.6</v>
      </c>
      <c r="G1316" s="192">
        <v>98.3</v>
      </c>
    </row>
    <row r="1317" spans="1:7" x14ac:dyDescent="0.3">
      <c r="A1317" s="191" t="s">
        <v>837</v>
      </c>
      <c r="B1317" s="191" t="s">
        <v>950</v>
      </c>
      <c r="C1317" s="192" t="s">
        <v>867</v>
      </c>
      <c r="D1317" s="201" t="s">
        <v>868</v>
      </c>
      <c r="E1317" s="192">
        <v>104.8</v>
      </c>
      <c r="F1317" s="192">
        <v>88.1</v>
      </c>
      <c r="G1317" s="192">
        <v>95.6</v>
      </c>
    </row>
    <row r="1318" spans="1:7" x14ac:dyDescent="0.3">
      <c r="A1318" s="191" t="s">
        <v>837</v>
      </c>
      <c r="B1318" s="191" t="s">
        <v>950</v>
      </c>
      <c r="C1318" s="192" t="s">
        <v>869</v>
      </c>
      <c r="D1318" s="201" t="s">
        <v>870</v>
      </c>
      <c r="E1318" s="192">
        <v>131.1</v>
      </c>
      <c r="F1318" s="192">
        <v>96.4</v>
      </c>
      <c r="G1318" s="192">
        <v>123.6</v>
      </c>
    </row>
    <row r="1319" spans="1:7" x14ac:dyDescent="0.3">
      <c r="A1319" s="191" t="s">
        <v>837</v>
      </c>
      <c r="B1319" s="191" t="s">
        <v>950</v>
      </c>
      <c r="C1319" s="192" t="s">
        <v>871</v>
      </c>
      <c r="D1319" s="201" t="s">
        <v>872</v>
      </c>
      <c r="E1319" s="192">
        <v>104.7</v>
      </c>
      <c r="F1319" s="192">
        <v>86.7</v>
      </c>
      <c r="G1319" s="192">
        <v>97.1</v>
      </c>
    </row>
    <row r="1320" spans="1:7" x14ac:dyDescent="0.3">
      <c r="A1320" s="191" t="s">
        <v>837</v>
      </c>
      <c r="B1320" s="191" t="s">
        <v>950</v>
      </c>
      <c r="C1320" s="192" t="s">
        <v>873</v>
      </c>
      <c r="D1320" s="201" t="s">
        <v>874</v>
      </c>
      <c r="E1320" s="192">
        <v>106.3</v>
      </c>
      <c r="F1320" s="192">
        <v>97.3</v>
      </c>
      <c r="G1320" s="192">
        <v>101.7</v>
      </c>
    </row>
    <row r="1321" spans="1:7" x14ac:dyDescent="0.3">
      <c r="A1321" s="191" t="s">
        <v>837</v>
      </c>
      <c r="B1321" s="191" t="s">
        <v>950</v>
      </c>
      <c r="C1321" s="192" t="s">
        <v>875</v>
      </c>
      <c r="D1321" s="201" t="s">
        <v>876</v>
      </c>
      <c r="E1321" s="192">
        <v>109.9</v>
      </c>
      <c r="F1321" s="192">
        <v>91.8</v>
      </c>
      <c r="G1321" s="192">
        <v>101.9</v>
      </c>
    </row>
    <row r="1322" spans="1:7" x14ac:dyDescent="0.3">
      <c r="A1322" s="191" t="s">
        <v>888</v>
      </c>
      <c r="B1322" s="191" t="s">
        <v>951</v>
      </c>
      <c r="C1322" s="192" t="s">
        <v>1301</v>
      </c>
      <c r="D1322" s="202" t="s">
        <v>1599</v>
      </c>
      <c r="E1322" s="192">
        <v>0</v>
      </c>
      <c r="F1322" s="192">
        <v>101.6</v>
      </c>
      <c r="G1322" s="192">
        <v>101.6</v>
      </c>
    </row>
    <row r="1323" spans="1:7" x14ac:dyDescent="0.3">
      <c r="A1323" s="191" t="s">
        <v>888</v>
      </c>
      <c r="B1323" s="191" t="s">
        <v>951</v>
      </c>
      <c r="C1323" s="192" t="s">
        <v>839</v>
      </c>
      <c r="D1323" s="201" t="s">
        <v>840</v>
      </c>
      <c r="E1323" s="192">
        <v>104.3</v>
      </c>
      <c r="F1323" s="192">
        <v>96.2</v>
      </c>
      <c r="G1323" s="192">
        <v>98.6</v>
      </c>
    </row>
    <row r="1324" spans="1:7" x14ac:dyDescent="0.3">
      <c r="A1324" s="191" t="s">
        <v>888</v>
      </c>
      <c r="B1324" s="191" t="s">
        <v>951</v>
      </c>
      <c r="C1324" s="192" t="s">
        <v>841</v>
      </c>
      <c r="D1324" s="201" t="s">
        <v>842</v>
      </c>
      <c r="E1324" s="192">
        <v>103.7</v>
      </c>
      <c r="F1324" s="192">
        <v>64.400000000000006</v>
      </c>
      <c r="G1324" s="192">
        <v>69.7</v>
      </c>
    </row>
    <row r="1325" spans="1:7" x14ac:dyDescent="0.3">
      <c r="A1325" s="191" t="s">
        <v>888</v>
      </c>
      <c r="B1325" s="191" t="s">
        <v>951</v>
      </c>
      <c r="C1325" s="192" t="s">
        <v>843</v>
      </c>
      <c r="D1325" s="201" t="s">
        <v>844</v>
      </c>
      <c r="E1325" s="192">
        <v>136.4</v>
      </c>
      <c r="F1325" s="192">
        <v>60.9</v>
      </c>
      <c r="G1325" s="192">
        <v>97.3</v>
      </c>
    </row>
    <row r="1326" spans="1:7" x14ac:dyDescent="0.3">
      <c r="A1326" s="191" t="s">
        <v>888</v>
      </c>
      <c r="B1326" s="191" t="s">
        <v>951</v>
      </c>
      <c r="C1326" s="192" t="s">
        <v>845</v>
      </c>
      <c r="D1326" s="201" t="s">
        <v>846</v>
      </c>
      <c r="E1326" s="192">
        <v>125.7</v>
      </c>
      <c r="F1326" s="192">
        <v>79.2</v>
      </c>
      <c r="G1326" s="192">
        <v>107.3</v>
      </c>
    </row>
    <row r="1327" spans="1:7" x14ac:dyDescent="0.3">
      <c r="A1327" s="191" t="s">
        <v>888</v>
      </c>
      <c r="B1327" s="191" t="s">
        <v>951</v>
      </c>
      <c r="C1327" s="192" t="s">
        <v>847</v>
      </c>
      <c r="D1327" s="201" t="s">
        <v>848</v>
      </c>
      <c r="E1327" s="192">
        <v>121.2</v>
      </c>
      <c r="F1327" s="192">
        <v>69.8</v>
      </c>
      <c r="G1327" s="192">
        <v>96.2</v>
      </c>
    </row>
    <row r="1328" spans="1:7" x14ac:dyDescent="0.3">
      <c r="A1328" s="191" t="s">
        <v>888</v>
      </c>
      <c r="B1328" s="191" t="s">
        <v>951</v>
      </c>
      <c r="C1328" s="192" t="s">
        <v>849</v>
      </c>
      <c r="D1328" s="201" t="s">
        <v>850</v>
      </c>
      <c r="E1328" s="192">
        <v>161.1</v>
      </c>
      <c r="F1328" s="192">
        <v>66.3</v>
      </c>
      <c r="G1328" s="192">
        <v>102.7</v>
      </c>
    </row>
    <row r="1329" spans="1:7" x14ac:dyDescent="0.3">
      <c r="A1329" s="191" t="s">
        <v>888</v>
      </c>
      <c r="B1329" s="191" t="s">
        <v>951</v>
      </c>
      <c r="C1329" s="192" t="s">
        <v>851</v>
      </c>
      <c r="D1329" s="201" t="s">
        <v>852</v>
      </c>
      <c r="E1329" s="192">
        <v>109.9</v>
      </c>
      <c r="F1329" s="192">
        <v>81.099999999999994</v>
      </c>
      <c r="G1329" s="192">
        <v>100.7</v>
      </c>
    </row>
    <row r="1330" spans="1:7" x14ac:dyDescent="0.3">
      <c r="A1330" s="191" t="s">
        <v>888</v>
      </c>
      <c r="B1330" s="191" t="s">
        <v>951</v>
      </c>
      <c r="C1330" s="192" t="s">
        <v>853</v>
      </c>
      <c r="D1330" s="201" t="s">
        <v>854</v>
      </c>
      <c r="E1330" s="192">
        <v>100</v>
      </c>
      <c r="F1330" s="192">
        <v>63.8</v>
      </c>
      <c r="G1330" s="192">
        <v>79.8</v>
      </c>
    </row>
    <row r="1331" spans="1:7" x14ac:dyDescent="0.3">
      <c r="A1331" s="191" t="s">
        <v>888</v>
      </c>
      <c r="B1331" s="191" t="s">
        <v>951</v>
      </c>
      <c r="C1331" s="192" t="s">
        <v>855</v>
      </c>
      <c r="D1331" s="201" t="s">
        <v>856</v>
      </c>
      <c r="E1331" s="192">
        <v>113.7</v>
      </c>
      <c r="F1331" s="192">
        <v>65</v>
      </c>
      <c r="G1331" s="192">
        <v>93.3</v>
      </c>
    </row>
    <row r="1332" spans="1:7" x14ac:dyDescent="0.3">
      <c r="A1332" s="191" t="s">
        <v>888</v>
      </c>
      <c r="B1332" s="191" t="s">
        <v>951</v>
      </c>
      <c r="C1332" s="192" t="s">
        <v>857</v>
      </c>
      <c r="D1332" s="201" t="s">
        <v>858</v>
      </c>
      <c r="E1332" s="192">
        <v>89.3</v>
      </c>
      <c r="F1332" s="192">
        <v>60.9</v>
      </c>
      <c r="G1332" s="192">
        <v>82.7</v>
      </c>
    </row>
    <row r="1333" spans="1:7" x14ac:dyDescent="0.3">
      <c r="A1333" s="191" t="s">
        <v>888</v>
      </c>
      <c r="B1333" s="191" t="s">
        <v>951</v>
      </c>
      <c r="C1333" s="192" t="s">
        <v>859</v>
      </c>
      <c r="D1333" s="201" t="s">
        <v>860</v>
      </c>
      <c r="E1333" s="192">
        <v>121.2</v>
      </c>
      <c r="F1333" s="192">
        <v>62.6</v>
      </c>
      <c r="G1333" s="192">
        <v>82</v>
      </c>
    </row>
    <row r="1334" spans="1:7" x14ac:dyDescent="0.3">
      <c r="A1334" s="191" t="s">
        <v>888</v>
      </c>
      <c r="B1334" s="191" t="s">
        <v>951</v>
      </c>
      <c r="C1334" s="192" t="s">
        <v>861</v>
      </c>
      <c r="D1334" s="201" t="s">
        <v>862</v>
      </c>
      <c r="E1334" s="192">
        <v>108</v>
      </c>
      <c r="F1334" s="192">
        <v>62.6</v>
      </c>
      <c r="G1334" s="192">
        <v>77.900000000000006</v>
      </c>
    </row>
    <row r="1335" spans="1:7" x14ac:dyDescent="0.3">
      <c r="A1335" s="191" t="s">
        <v>888</v>
      </c>
      <c r="B1335" s="191" t="s">
        <v>951</v>
      </c>
      <c r="C1335" s="192" t="s">
        <v>863</v>
      </c>
      <c r="D1335" s="201" t="s">
        <v>864</v>
      </c>
      <c r="E1335" s="192">
        <v>107.8</v>
      </c>
      <c r="F1335" s="192">
        <v>71</v>
      </c>
      <c r="G1335" s="192">
        <v>97.3</v>
      </c>
    </row>
    <row r="1336" spans="1:7" x14ac:dyDescent="0.3">
      <c r="A1336" s="191" t="s">
        <v>888</v>
      </c>
      <c r="B1336" s="191" t="s">
        <v>951</v>
      </c>
      <c r="C1336" s="192" t="s">
        <v>865</v>
      </c>
      <c r="D1336" s="201" t="s">
        <v>866</v>
      </c>
      <c r="E1336" s="192">
        <v>113.2</v>
      </c>
      <c r="F1336" s="192">
        <v>52.9</v>
      </c>
      <c r="G1336" s="192">
        <v>78.099999999999994</v>
      </c>
    </row>
    <row r="1337" spans="1:7" x14ac:dyDescent="0.3">
      <c r="A1337" s="191" t="s">
        <v>888</v>
      </c>
      <c r="B1337" s="191" t="s">
        <v>951</v>
      </c>
      <c r="C1337" s="192" t="s">
        <v>867</v>
      </c>
      <c r="D1337" s="201" t="s">
        <v>868</v>
      </c>
      <c r="E1337" s="192">
        <v>109.7</v>
      </c>
      <c r="F1337" s="192">
        <v>64.400000000000006</v>
      </c>
      <c r="G1337" s="192">
        <v>84.7</v>
      </c>
    </row>
    <row r="1338" spans="1:7" x14ac:dyDescent="0.3">
      <c r="A1338" s="191" t="s">
        <v>888</v>
      </c>
      <c r="B1338" s="191" t="s">
        <v>951</v>
      </c>
      <c r="C1338" s="192" t="s">
        <v>869</v>
      </c>
      <c r="D1338" s="201" t="s">
        <v>870</v>
      </c>
      <c r="E1338" s="192">
        <v>131.1</v>
      </c>
      <c r="F1338" s="192">
        <v>65.099999999999994</v>
      </c>
      <c r="G1338" s="192">
        <v>116.8</v>
      </c>
    </row>
    <row r="1339" spans="1:7" x14ac:dyDescent="0.3">
      <c r="A1339" s="191" t="s">
        <v>888</v>
      </c>
      <c r="B1339" s="191" t="s">
        <v>951</v>
      </c>
      <c r="C1339" s="192" t="s">
        <v>871</v>
      </c>
      <c r="D1339" s="201" t="s">
        <v>872</v>
      </c>
      <c r="E1339" s="192">
        <v>103.6</v>
      </c>
      <c r="F1339" s="192">
        <v>71.400000000000006</v>
      </c>
      <c r="G1339" s="192">
        <v>90</v>
      </c>
    </row>
    <row r="1340" spans="1:7" x14ac:dyDescent="0.3">
      <c r="A1340" s="191" t="s">
        <v>888</v>
      </c>
      <c r="B1340" s="191" t="s">
        <v>951</v>
      </c>
      <c r="C1340" s="192" t="s">
        <v>873</v>
      </c>
      <c r="D1340" s="201" t="s">
        <v>874</v>
      </c>
      <c r="E1340" s="192">
        <v>113</v>
      </c>
      <c r="F1340" s="192">
        <v>63.3</v>
      </c>
      <c r="G1340" s="192">
        <v>87.9</v>
      </c>
    </row>
    <row r="1341" spans="1:7" x14ac:dyDescent="0.3">
      <c r="A1341" s="191" t="s">
        <v>888</v>
      </c>
      <c r="B1341" s="191" t="s">
        <v>951</v>
      </c>
      <c r="C1341" s="192" t="s">
        <v>875</v>
      </c>
      <c r="D1341" s="201" t="s">
        <v>876</v>
      </c>
      <c r="E1341" s="192">
        <v>112</v>
      </c>
      <c r="F1341" s="192">
        <v>70.7</v>
      </c>
      <c r="G1341" s="192">
        <v>93.8</v>
      </c>
    </row>
    <row r="1342" spans="1:7" x14ac:dyDescent="0.3">
      <c r="A1342" s="191" t="s">
        <v>837</v>
      </c>
      <c r="B1342" s="191" t="s">
        <v>952</v>
      </c>
      <c r="C1342" s="192" t="s">
        <v>1301</v>
      </c>
      <c r="D1342" s="202" t="s">
        <v>1599</v>
      </c>
      <c r="E1342" s="192">
        <v>0</v>
      </c>
      <c r="F1342" s="192">
        <v>104</v>
      </c>
      <c r="G1342" s="192">
        <v>104</v>
      </c>
    </row>
    <row r="1343" spans="1:7" x14ac:dyDescent="0.3">
      <c r="A1343" s="191" t="s">
        <v>837</v>
      </c>
      <c r="B1343" s="191" t="s">
        <v>952</v>
      </c>
      <c r="C1343" s="192" t="s">
        <v>839</v>
      </c>
      <c r="D1343" s="201" t="s">
        <v>840</v>
      </c>
      <c r="E1343" s="192">
        <v>110.7</v>
      </c>
      <c r="F1343" s="192">
        <v>103.8</v>
      </c>
      <c r="G1343" s="192">
        <v>105.8</v>
      </c>
    </row>
    <row r="1344" spans="1:7" x14ac:dyDescent="0.3">
      <c r="A1344" s="191" t="s">
        <v>837</v>
      </c>
      <c r="B1344" s="191" t="s">
        <v>952</v>
      </c>
      <c r="C1344" s="192" t="s">
        <v>841</v>
      </c>
      <c r="D1344" s="201" t="s">
        <v>842</v>
      </c>
      <c r="E1344" s="192">
        <v>118.3</v>
      </c>
      <c r="F1344" s="192">
        <v>89.2</v>
      </c>
      <c r="G1344" s="192">
        <v>93.1</v>
      </c>
    </row>
    <row r="1345" spans="1:7" x14ac:dyDescent="0.3">
      <c r="A1345" s="191" t="s">
        <v>837</v>
      </c>
      <c r="B1345" s="191" t="s">
        <v>952</v>
      </c>
      <c r="C1345" s="192" t="s">
        <v>843</v>
      </c>
      <c r="D1345" s="201" t="s">
        <v>844</v>
      </c>
      <c r="E1345" s="192">
        <v>153.30000000000001</v>
      </c>
      <c r="F1345" s="192">
        <v>86.4</v>
      </c>
      <c r="G1345" s="192">
        <v>118.7</v>
      </c>
    </row>
    <row r="1346" spans="1:7" x14ac:dyDescent="0.3">
      <c r="A1346" s="191" t="s">
        <v>837</v>
      </c>
      <c r="B1346" s="191" t="s">
        <v>952</v>
      </c>
      <c r="C1346" s="192" t="s">
        <v>845</v>
      </c>
      <c r="D1346" s="201" t="s">
        <v>846</v>
      </c>
      <c r="E1346" s="192">
        <v>145.69999999999999</v>
      </c>
      <c r="F1346" s="192">
        <v>88.7</v>
      </c>
      <c r="G1346" s="192">
        <v>123.2</v>
      </c>
    </row>
    <row r="1347" spans="1:7" x14ac:dyDescent="0.3">
      <c r="A1347" s="191" t="s">
        <v>837</v>
      </c>
      <c r="B1347" s="191" t="s">
        <v>952</v>
      </c>
      <c r="C1347" s="192" t="s">
        <v>847</v>
      </c>
      <c r="D1347" s="201" t="s">
        <v>848</v>
      </c>
      <c r="E1347" s="192">
        <v>132.1</v>
      </c>
      <c r="F1347" s="192">
        <v>88.7</v>
      </c>
      <c r="G1347" s="192">
        <v>111</v>
      </c>
    </row>
    <row r="1348" spans="1:7" x14ac:dyDescent="0.3">
      <c r="A1348" s="191" t="s">
        <v>837</v>
      </c>
      <c r="B1348" s="191" t="s">
        <v>952</v>
      </c>
      <c r="C1348" s="192" t="s">
        <v>849</v>
      </c>
      <c r="D1348" s="201" t="s">
        <v>850</v>
      </c>
      <c r="E1348" s="192">
        <v>151.4</v>
      </c>
      <c r="F1348" s="192">
        <v>96.3</v>
      </c>
      <c r="G1348" s="192">
        <v>117.4</v>
      </c>
    </row>
    <row r="1349" spans="1:7" x14ac:dyDescent="0.3">
      <c r="A1349" s="191" t="s">
        <v>837</v>
      </c>
      <c r="B1349" s="191" t="s">
        <v>952</v>
      </c>
      <c r="C1349" s="192" t="s">
        <v>851</v>
      </c>
      <c r="D1349" s="201" t="s">
        <v>852</v>
      </c>
      <c r="E1349" s="192">
        <v>108.5</v>
      </c>
      <c r="F1349" s="192">
        <v>92.1</v>
      </c>
      <c r="G1349" s="192">
        <v>103.3</v>
      </c>
    </row>
    <row r="1350" spans="1:7" x14ac:dyDescent="0.3">
      <c r="A1350" s="191" t="s">
        <v>837</v>
      </c>
      <c r="B1350" s="191" t="s">
        <v>952</v>
      </c>
      <c r="C1350" s="192" t="s">
        <v>853</v>
      </c>
      <c r="D1350" s="201" t="s">
        <v>854</v>
      </c>
      <c r="E1350" s="192">
        <v>115.8</v>
      </c>
      <c r="F1350" s="192">
        <v>88</v>
      </c>
      <c r="G1350" s="192">
        <v>100.3</v>
      </c>
    </row>
    <row r="1351" spans="1:7" x14ac:dyDescent="0.3">
      <c r="A1351" s="191" t="s">
        <v>837</v>
      </c>
      <c r="B1351" s="191" t="s">
        <v>952</v>
      </c>
      <c r="C1351" s="192" t="s">
        <v>855</v>
      </c>
      <c r="D1351" s="201" t="s">
        <v>856</v>
      </c>
      <c r="E1351" s="192">
        <v>112.1</v>
      </c>
      <c r="F1351" s="192">
        <v>87.9</v>
      </c>
      <c r="G1351" s="192">
        <v>102</v>
      </c>
    </row>
    <row r="1352" spans="1:7" x14ac:dyDescent="0.3">
      <c r="A1352" s="191" t="s">
        <v>837</v>
      </c>
      <c r="B1352" s="191" t="s">
        <v>952</v>
      </c>
      <c r="C1352" s="192" t="s">
        <v>857</v>
      </c>
      <c r="D1352" s="201" t="s">
        <v>858</v>
      </c>
      <c r="E1352" s="192">
        <v>91.9</v>
      </c>
      <c r="F1352" s="192">
        <v>87.8</v>
      </c>
      <c r="G1352" s="192">
        <v>91</v>
      </c>
    </row>
    <row r="1353" spans="1:7" x14ac:dyDescent="0.3">
      <c r="A1353" s="191" t="s">
        <v>837</v>
      </c>
      <c r="B1353" s="191" t="s">
        <v>952</v>
      </c>
      <c r="C1353" s="192" t="s">
        <v>859</v>
      </c>
      <c r="D1353" s="201" t="s">
        <v>860</v>
      </c>
      <c r="E1353" s="192">
        <v>109.7</v>
      </c>
      <c r="F1353" s="192">
        <v>87.5</v>
      </c>
      <c r="G1353" s="192">
        <v>94.9</v>
      </c>
    </row>
    <row r="1354" spans="1:7" x14ac:dyDescent="0.3">
      <c r="A1354" s="191" t="s">
        <v>837</v>
      </c>
      <c r="B1354" s="191" t="s">
        <v>952</v>
      </c>
      <c r="C1354" s="192" t="s">
        <v>861</v>
      </c>
      <c r="D1354" s="201" t="s">
        <v>862</v>
      </c>
      <c r="E1354" s="192">
        <v>98.4</v>
      </c>
      <c r="F1354" s="192">
        <v>87.5</v>
      </c>
      <c r="G1354" s="192">
        <v>91.2</v>
      </c>
    </row>
    <row r="1355" spans="1:7" x14ac:dyDescent="0.3">
      <c r="A1355" s="191" t="s">
        <v>837</v>
      </c>
      <c r="B1355" s="191" t="s">
        <v>952</v>
      </c>
      <c r="C1355" s="192" t="s">
        <v>863</v>
      </c>
      <c r="D1355" s="201" t="s">
        <v>864</v>
      </c>
      <c r="E1355" s="192">
        <v>112.8</v>
      </c>
      <c r="F1355" s="192">
        <v>103.3</v>
      </c>
      <c r="G1355" s="192">
        <v>110</v>
      </c>
    </row>
    <row r="1356" spans="1:7" x14ac:dyDescent="0.3">
      <c r="A1356" s="191" t="s">
        <v>837</v>
      </c>
      <c r="B1356" s="191" t="s">
        <v>952</v>
      </c>
      <c r="C1356" s="192" t="s">
        <v>865</v>
      </c>
      <c r="D1356" s="201" t="s">
        <v>866</v>
      </c>
      <c r="E1356" s="192">
        <v>106.2</v>
      </c>
      <c r="F1356" s="192">
        <v>106.7</v>
      </c>
      <c r="G1356" s="192">
        <v>106.5</v>
      </c>
    </row>
    <row r="1357" spans="1:7" x14ac:dyDescent="0.3">
      <c r="A1357" s="191" t="s">
        <v>837</v>
      </c>
      <c r="B1357" s="191" t="s">
        <v>952</v>
      </c>
      <c r="C1357" s="192" t="s">
        <v>867</v>
      </c>
      <c r="D1357" s="201" t="s">
        <v>868</v>
      </c>
      <c r="E1357" s="192">
        <v>106.1</v>
      </c>
      <c r="F1357" s="192">
        <v>93.5</v>
      </c>
      <c r="G1357" s="192">
        <v>99.2</v>
      </c>
    </row>
    <row r="1358" spans="1:7" x14ac:dyDescent="0.3">
      <c r="A1358" s="191" t="s">
        <v>837</v>
      </c>
      <c r="B1358" s="191" t="s">
        <v>952</v>
      </c>
      <c r="C1358" s="192" t="s">
        <v>869</v>
      </c>
      <c r="D1358" s="201" t="s">
        <v>870</v>
      </c>
      <c r="E1358" s="192">
        <v>131.1</v>
      </c>
      <c r="F1358" s="192">
        <v>97.3</v>
      </c>
      <c r="G1358" s="192">
        <v>123.8</v>
      </c>
    </row>
    <row r="1359" spans="1:7" x14ac:dyDescent="0.3">
      <c r="A1359" s="191" t="s">
        <v>837</v>
      </c>
      <c r="B1359" s="191" t="s">
        <v>952</v>
      </c>
      <c r="C1359" s="192" t="s">
        <v>871</v>
      </c>
      <c r="D1359" s="201" t="s">
        <v>872</v>
      </c>
      <c r="E1359" s="192">
        <v>104.7</v>
      </c>
      <c r="F1359" s="192">
        <v>102.6</v>
      </c>
      <c r="G1359" s="192">
        <v>103.8</v>
      </c>
    </row>
    <row r="1360" spans="1:7" x14ac:dyDescent="0.3">
      <c r="A1360" s="191" t="s">
        <v>837</v>
      </c>
      <c r="B1360" s="191" t="s">
        <v>952</v>
      </c>
      <c r="C1360" s="192" t="s">
        <v>873</v>
      </c>
      <c r="D1360" s="201" t="s">
        <v>874</v>
      </c>
      <c r="E1360" s="192">
        <v>107.4</v>
      </c>
      <c r="F1360" s="192">
        <v>92.6</v>
      </c>
      <c r="G1360" s="192">
        <v>99.9</v>
      </c>
    </row>
    <row r="1361" spans="1:7" x14ac:dyDescent="0.3">
      <c r="A1361" s="191" t="s">
        <v>837</v>
      </c>
      <c r="B1361" s="191" t="s">
        <v>952</v>
      </c>
      <c r="C1361" s="192" t="s">
        <v>875</v>
      </c>
      <c r="D1361" s="201" t="s">
        <v>876</v>
      </c>
      <c r="E1361" s="192">
        <v>112.5</v>
      </c>
      <c r="F1361" s="192">
        <v>95.3</v>
      </c>
      <c r="G1361" s="192">
        <v>104.9</v>
      </c>
    </row>
    <row r="1362" spans="1:7" x14ac:dyDescent="0.3">
      <c r="A1362" s="191" t="s">
        <v>892</v>
      </c>
      <c r="B1362" s="191" t="s">
        <v>953</v>
      </c>
      <c r="C1362" s="192" t="s">
        <v>1301</v>
      </c>
      <c r="D1362" s="202" t="s">
        <v>1599</v>
      </c>
      <c r="E1362" s="192">
        <v>0</v>
      </c>
      <c r="F1362" s="192">
        <v>105.5</v>
      </c>
      <c r="G1362" s="192">
        <v>105.5</v>
      </c>
    </row>
    <row r="1363" spans="1:7" x14ac:dyDescent="0.3">
      <c r="A1363" s="191" t="s">
        <v>892</v>
      </c>
      <c r="B1363" s="191" t="s">
        <v>953</v>
      </c>
      <c r="C1363" s="192" t="s">
        <v>839</v>
      </c>
      <c r="D1363" s="201" t="s">
        <v>840</v>
      </c>
      <c r="E1363" s="192">
        <v>125</v>
      </c>
      <c r="F1363" s="192">
        <v>102.6</v>
      </c>
      <c r="G1363" s="192">
        <v>109.2</v>
      </c>
    </row>
    <row r="1364" spans="1:7" x14ac:dyDescent="0.3">
      <c r="A1364" s="191" t="s">
        <v>892</v>
      </c>
      <c r="B1364" s="191" t="s">
        <v>953</v>
      </c>
      <c r="C1364" s="192" t="s">
        <v>841</v>
      </c>
      <c r="D1364" s="201" t="s">
        <v>842</v>
      </c>
      <c r="E1364" s="192">
        <v>111.9</v>
      </c>
      <c r="F1364" s="192">
        <v>83.1</v>
      </c>
      <c r="G1364" s="192">
        <v>87</v>
      </c>
    </row>
    <row r="1365" spans="1:7" x14ac:dyDescent="0.3">
      <c r="A1365" s="191" t="s">
        <v>892</v>
      </c>
      <c r="B1365" s="191" t="s">
        <v>953</v>
      </c>
      <c r="C1365" s="192" t="s">
        <v>843</v>
      </c>
      <c r="D1365" s="201" t="s">
        <v>844</v>
      </c>
      <c r="E1365" s="192">
        <v>107.2</v>
      </c>
      <c r="F1365" s="192">
        <v>75.900000000000006</v>
      </c>
      <c r="G1365" s="192">
        <v>91</v>
      </c>
    </row>
    <row r="1366" spans="1:7" x14ac:dyDescent="0.3">
      <c r="A1366" s="191" t="s">
        <v>892</v>
      </c>
      <c r="B1366" s="191" t="s">
        <v>953</v>
      </c>
      <c r="C1366" s="192" t="s">
        <v>845</v>
      </c>
      <c r="D1366" s="201" t="s">
        <v>846</v>
      </c>
      <c r="E1366" s="192">
        <v>134.9</v>
      </c>
      <c r="F1366" s="192">
        <v>100.5</v>
      </c>
      <c r="G1366" s="192">
        <v>121.4</v>
      </c>
    </row>
    <row r="1367" spans="1:7" x14ac:dyDescent="0.3">
      <c r="A1367" s="191" t="s">
        <v>892</v>
      </c>
      <c r="B1367" s="191" t="s">
        <v>953</v>
      </c>
      <c r="C1367" s="192" t="s">
        <v>847</v>
      </c>
      <c r="D1367" s="201" t="s">
        <v>848</v>
      </c>
      <c r="E1367" s="192">
        <v>143.1</v>
      </c>
      <c r="F1367" s="192">
        <v>88</v>
      </c>
      <c r="G1367" s="192">
        <v>116.3</v>
      </c>
    </row>
    <row r="1368" spans="1:7" x14ac:dyDescent="0.3">
      <c r="A1368" s="191" t="s">
        <v>892</v>
      </c>
      <c r="B1368" s="191" t="s">
        <v>953</v>
      </c>
      <c r="C1368" s="192" t="s">
        <v>849</v>
      </c>
      <c r="D1368" s="201" t="s">
        <v>850</v>
      </c>
      <c r="E1368" s="192">
        <v>174.8</v>
      </c>
      <c r="F1368" s="192">
        <v>94.5</v>
      </c>
      <c r="G1368" s="192">
        <v>125.3</v>
      </c>
    </row>
    <row r="1369" spans="1:7" x14ac:dyDescent="0.3">
      <c r="A1369" s="191" t="s">
        <v>892</v>
      </c>
      <c r="B1369" s="191" t="s">
        <v>953</v>
      </c>
      <c r="C1369" s="192" t="s">
        <v>851</v>
      </c>
      <c r="D1369" s="201" t="s">
        <v>852</v>
      </c>
      <c r="E1369" s="192">
        <v>110.8</v>
      </c>
      <c r="F1369" s="192">
        <v>87</v>
      </c>
      <c r="G1369" s="192">
        <v>103.2</v>
      </c>
    </row>
    <row r="1370" spans="1:7" x14ac:dyDescent="0.3">
      <c r="A1370" s="191" t="s">
        <v>892</v>
      </c>
      <c r="B1370" s="191" t="s">
        <v>953</v>
      </c>
      <c r="C1370" s="192" t="s">
        <v>853</v>
      </c>
      <c r="D1370" s="201" t="s">
        <v>854</v>
      </c>
      <c r="E1370" s="192">
        <v>104.3</v>
      </c>
      <c r="F1370" s="192">
        <v>79.400000000000006</v>
      </c>
      <c r="G1370" s="192">
        <v>90.4</v>
      </c>
    </row>
    <row r="1371" spans="1:7" x14ac:dyDescent="0.3">
      <c r="A1371" s="191" t="s">
        <v>892</v>
      </c>
      <c r="B1371" s="191" t="s">
        <v>953</v>
      </c>
      <c r="C1371" s="192" t="s">
        <v>855</v>
      </c>
      <c r="D1371" s="201" t="s">
        <v>856</v>
      </c>
      <c r="E1371" s="192">
        <v>120.9</v>
      </c>
      <c r="F1371" s="192">
        <v>84.2</v>
      </c>
      <c r="G1371" s="192">
        <v>105.6</v>
      </c>
    </row>
    <row r="1372" spans="1:7" x14ac:dyDescent="0.3">
      <c r="A1372" s="191" t="s">
        <v>892</v>
      </c>
      <c r="B1372" s="191" t="s">
        <v>953</v>
      </c>
      <c r="C1372" s="192" t="s">
        <v>857</v>
      </c>
      <c r="D1372" s="201" t="s">
        <v>858</v>
      </c>
      <c r="E1372" s="192">
        <v>91.5</v>
      </c>
      <c r="F1372" s="192">
        <v>79.400000000000006</v>
      </c>
      <c r="G1372" s="192">
        <v>88.7</v>
      </c>
    </row>
    <row r="1373" spans="1:7" x14ac:dyDescent="0.3">
      <c r="A1373" s="191" t="s">
        <v>892</v>
      </c>
      <c r="B1373" s="191" t="s">
        <v>953</v>
      </c>
      <c r="C1373" s="192" t="s">
        <v>859</v>
      </c>
      <c r="D1373" s="201" t="s">
        <v>860</v>
      </c>
      <c r="E1373" s="192">
        <v>103.5</v>
      </c>
      <c r="F1373" s="192">
        <v>78.3</v>
      </c>
      <c r="G1373" s="192">
        <v>86.6</v>
      </c>
    </row>
    <row r="1374" spans="1:7" x14ac:dyDescent="0.3">
      <c r="A1374" s="191" t="s">
        <v>892</v>
      </c>
      <c r="B1374" s="191" t="s">
        <v>953</v>
      </c>
      <c r="C1374" s="192" t="s">
        <v>861</v>
      </c>
      <c r="D1374" s="201" t="s">
        <v>862</v>
      </c>
      <c r="E1374" s="192">
        <v>98.9</v>
      </c>
      <c r="F1374" s="192">
        <v>78.3</v>
      </c>
      <c r="G1374" s="192">
        <v>85.2</v>
      </c>
    </row>
    <row r="1375" spans="1:7" x14ac:dyDescent="0.3">
      <c r="A1375" s="191" t="s">
        <v>892</v>
      </c>
      <c r="B1375" s="191" t="s">
        <v>953</v>
      </c>
      <c r="C1375" s="192" t="s">
        <v>863</v>
      </c>
      <c r="D1375" s="201" t="s">
        <v>864</v>
      </c>
      <c r="E1375" s="192">
        <v>117.7</v>
      </c>
      <c r="F1375" s="192">
        <v>73.3</v>
      </c>
      <c r="G1375" s="192">
        <v>104.9</v>
      </c>
    </row>
    <row r="1376" spans="1:7" x14ac:dyDescent="0.3">
      <c r="A1376" s="191" t="s">
        <v>892</v>
      </c>
      <c r="B1376" s="191" t="s">
        <v>953</v>
      </c>
      <c r="C1376" s="192" t="s">
        <v>865</v>
      </c>
      <c r="D1376" s="201" t="s">
        <v>866</v>
      </c>
      <c r="E1376" s="192">
        <v>112.3</v>
      </c>
      <c r="F1376" s="192">
        <v>84</v>
      </c>
      <c r="G1376" s="192">
        <v>95.8</v>
      </c>
    </row>
    <row r="1377" spans="1:7" x14ac:dyDescent="0.3">
      <c r="A1377" s="191" t="s">
        <v>892</v>
      </c>
      <c r="B1377" s="191" t="s">
        <v>953</v>
      </c>
      <c r="C1377" s="192" t="s">
        <v>867</v>
      </c>
      <c r="D1377" s="201" t="s">
        <v>868</v>
      </c>
      <c r="E1377" s="192">
        <v>110.7</v>
      </c>
      <c r="F1377" s="192">
        <v>81</v>
      </c>
      <c r="G1377" s="192">
        <v>94.2</v>
      </c>
    </row>
    <row r="1378" spans="1:7" x14ac:dyDescent="0.3">
      <c r="A1378" s="191" t="s">
        <v>892</v>
      </c>
      <c r="B1378" s="191" t="s">
        <v>953</v>
      </c>
      <c r="C1378" s="192" t="s">
        <v>869</v>
      </c>
      <c r="D1378" s="201" t="s">
        <v>870</v>
      </c>
      <c r="E1378" s="192">
        <v>131.1</v>
      </c>
      <c r="F1378" s="192">
        <v>92.1</v>
      </c>
      <c r="G1378" s="192">
        <v>122.7</v>
      </c>
    </row>
    <row r="1379" spans="1:7" x14ac:dyDescent="0.3">
      <c r="A1379" s="191" t="s">
        <v>892</v>
      </c>
      <c r="B1379" s="191" t="s">
        <v>953</v>
      </c>
      <c r="C1379" s="192" t="s">
        <v>871</v>
      </c>
      <c r="D1379" s="201" t="s">
        <v>872</v>
      </c>
      <c r="E1379" s="192">
        <v>103.6</v>
      </c>
      <c r="F1379" s="192">
        <v>93.4</v>
      </c>
      <c r="G1379" s="192">
        <v>99.3</v>
      </c>
    </row>
    <row r="1380" spans="1:7" x14ac:dyDescent="0.3">
      <c r="A1380" s="191" t="s">
        <v>892</v>
      </c>
      <c r="B1380" s="191" t="s">
        <v>953</v>
      </c>
      <c r="C1380" s="192" t="s">
        <v>873</v>
      </c>
      <c r="D1380" s="201" t="s">
        <v>874</v>
      </c>
      <c r="E1380" s="192">
        <v>109</v>
      </c>
      <c r="F1380" s="192">
        <v>81.3</v>
      </c>
      <c r="G1380" s="192">
        <v>95</v>
      </c>
    </row>
    <row r="1381" spans="1:7" x14ac:dyDescent="0.3">
      <c r="A1381" s="191" t="s">
        <v>892</v>
      </c>
      <c r="B1381" s="191" t="s">
        <v>953</v>
      </c>
      <c r="C1381" s="192" t="s">
        <v>875</v>
      </c>
      <c r="D1381" s="201" t="s">
        <v>876</v>
      </c>
      <c r="E1381" s="192">
        <v>116</v>
      </c>
      <c r="F1381" s="192">
        <v>88.6</v>
      </c>
      <c r="G1381" s="192">
        <v>104</v>
      </c>
    </row>
    <row r="1382" spans="1:7" x14ac:dyDescent="0.3">
      <c r="A1382" s="191" t="s">
        <v>884</v>
      </c>
      <c r="B1382" s="191" t="s">
        <v>954</v>
      </c>
      <c r="C1382" s="192" t="s">
        <v>1301</v>
      </c>
      <c r="D1382" s="202" t="s">
        <v>1599</v>
      </c>
      <c r="E1382" s="192">
        <v>0</v>
      </c>
      <c r="F1382" s="192">
        <v>102.2</v>
      </c>
      <c r="G1382" s="192">
        <v>102.2</v>
      </c>
    </row>
    <row r="1383" spans="1:7" x14ac:dyDescent="0.3">
      <c r="A1383" s="191" t="s">
        <v>884</v>
      </c>
      <c r="B1383" s="191" t="s">
        <v>954</v>
      </c>
      <c r="C1383" s="192" t="s">
        <v>839</v>
      </c>
      <c r="D1383" s="201" t="s">
        <v>840</v>
      </c>
      <c r="E1383" s="192">
        <v>99.7</v>
      </c>
      <c r="F1383" s="192">
        <v>99.1</v>
      </c>
      <c r="G1383" s="192">
        <v>99.3</v>
      </c>
    </row>
    <row r="1384" spans="1:7" x14ac:dyDescent="0.3">
      <c r="A1384" s="191" t="s">
        <v>884</v>
      </c>
      <c r="B1384" s="191" t="s">
        <v>954</v>
      </c>
      <c r="C1384" s="192" t="s">
        <v>841</v>
      </c>
      <c r="D1384" s="201" t="s">
        <v>842</v>
      </c>
      <c r="E1384" s="192">
        <v>130</v>
      </c>
      <c r="F1384" s="192">
        <v>85.3</v>
      </c>
      <c r="G1384" s="192">
        <v>91.3</v>
      </c>
    </row>
    <row r="1385" spans="1:7" x14ac:dyDescent="0.3">
      <c r="A1385" s="191" t="s">
        <v>884</v>
      </c>
      <c r="B1385" s="191" t="s">
        <v>954</v>
      </c>
      <c r="C1385" s="192" t="s">
        <v>843</v>
      </c>
      <c r="D1385" s="201" t="s">
        <v>844</v>
      </c>
      <c r="E1385" s="192">
        <v>144.6</v>
      </c>
      <c r="F1385" s="192">
        <v>77.900000000000006</v>
      </c>
      <c r="G1385" s="192">
        <v>110.1</v>
      </c>
    </row>
    <row r="1386" spans="1:7" x14ac:dyDescent="0.3">
      <c r="A1386" s="191" t="s">
        <v>884</v>
      </c>
      <c r="B1386" s="191" t="s">
        <v>954</v>
      </c>
      <c r="C1386" s="192" t="s">
        <v>845</v>
      </c>
      <c r="D1386" s="201" t="s">
        <v>846</v>
      </c>
      <c r="E1386" s="192">
        <v>123.4</v>
      </c>
      <c r="F1386" s="192">
        <v>96.6</v>
      </c>
      <c r="G1386" s="192">
        <v>112.8</v>
      </c>
    </row>
    <row r="1387" spans="1:7" x14ac:dyDescent="0.3">
      <c r="A1387" s="191" t="s">
        <v>884</v>
      </c>
      <c r="B1387" s="191" t="s">
        <v>954</v>
      </c>
      <c r="C1387" s="192" t="s">
        <v>847</v>
      </c>
      <c r="D1387" s="201" t="s">
        <v>848</v>
      </c>
      <c r="E1387" s="192">
        <v>124.3</v>
      </c>
      <c r="F1387" s="192">
        <v>88</v>
      </c>
      <c r="G1387" s="192">
        <v>106.7</v>
      </c>
    </row>
    <row r="1388" spans="1:7" x14ac:dyDescent="0.3">
      <c r="A1388" s="191" t="s">
        <v>884</v>
      </c>
      <c r="B1388" s="191" t="s">
        <v>954</v>
      </c>
      <c r="C1388" s="192" t="s">
        <v>849</v>
      </c>
      <c r="D1388" s="201" t="s">
        <v>850</v>
      </c>
      <c r="E1388" s="192">
        <v>165.6</v>
      </c>
      <c r="F1388" s="192">
        <v>86.7</v>
      </c>
      <c r="G1388" s="192">
        <v>117</v>
      </c>
    </row>
    <row r="1389" spans="1:7" x14ac:dyDescent="0.3">
      <c r="A1389" s="191" t="s">
        <v>884</v>
      </c>
      <c r="B1389" s="191" t="s">
        <v>954</v>
      </c>
      <c r="C1389" s="192" t="s">
        <v>851</v>
      </c>
      <c r="D1389" s="201" t="s">
        <v>852</v>
      </c>
      <c r="E1389" s="192">
        <v>108.6</v>
      </c>
      <c r="F1389" s="192">
        <v>86.8</v>
      </c>
      <c r="G1389" s="192">
        <v>101.7</v>
      </c>
    </row>
    <row r="1390" spans="1:7" x14ac:dyDescent="0.3">
      <c r="A1390" s="191" t="s">
        <v>884</v>
      </c>
      <c r="B1390" s="191" t="s">
        <v>954</v>
      </c>
      <c r="C1390" s="192" t="s">
        <v>853</v>
      </c>
      <c r="D1390" s="201" t="s">
        <v>854</v>
      </c>
      <c r="E1390" s="192">
        <v>132.5</v>
      </c>
      <c r="F1390" s="192">
        <v>85</v>
      </c>
      <c r="G1390" s="192">
        <v>106</v>
      </c>
    </row>
    <row r="1391" spans="1:7" x14ac:dyDescent="0.3">
      <c r="A1391" s="191" t="s">
        <v>884</v>
      </c>
      <c r="B1391" s="191" t="s">
        <v>954</v>
      </c>
      <c r="C1391" s="192" t="s">
        <v>855</v>
      </c>
      <c r="D1391" s="201" t="s">
        <v>856</v>
      </c>
      <c r="E1391" s="192">
        <v>110.9</v>
      </c>
      <c r="F1391" s="192">
        <v>87.9</v>
      </c>
      <c r="G1391" s="192">
        <v>101.3</v>
      </c>
    </row>
    <row r="1392" spans="1:7" x14ac:dyDescent="0.3">
      <c r="A1392" s="191" t="s">
        <v>884</v>
      </c>
      <c r="B1392" s="191" t="s">
        <v>954</v>
      </c>
      <c r="C1392" s="192" t="s">
        <v>857</v>
      </c>
      <c r="D1392" s="201" t="s">
        <v>858</v>
      </c>
      <c r="E1392" s="192">
        <v>94.8</v>
      </c>
      <c r="F1392" s="192">
        <v>74.099999999999994</v>
      </c>
      <c r="G1392" s="192">
        <v>90</v>
      </c>
    </row>
    <row r="1393" spans="1:7" x14ac:dyDescent="0.3">
      <c r="A1393" s="191" t="s">
        <v>884</v>
      </c>
      <c r="B1393" s="191" t="s">
        <v>954</v>
      </c>
      <c r="C1393" s="192" t="s">
        <v>859</v>
      </c>
      <c r="D1393" s="201" t="s">
        <v>860</v>
      </c>
      <c r="E1393" s="192">
        <v>115.7</v>
      </c>
      <c r="F1393" s="192">
        <v>84.4</v>
      </c>
      <c r="G1393" s="192">
        <v>94.8</v>
      </c>
    </row>
    <row r="1394" spans="1:7" x14ac:dyDescent="0.3">
      <c r="A1394" s="191" t="s">
        <v>884</v>
      </c>
      <c r="B1394" s="191" t="s">
        <v>954</v>
      </c>
      <c r="C1394" s="192" t="s">
        <v>861</v>
      </c>
      <c r="D1394" s="201" t="s">
        <v>862</v>
      </c>
      <c r="E1394" s="192">
        <v>98.1</v>
      </c>
      <c r="F1394" s="192">
        <v>84.4</v>
      </c>
      <c r="G1394" s="192">
        <v>89</v>
      </c>
    </row>
    <row r="1395" spans="1:7" x14ac:dyDescent="0.3">
      <c r="A1395" s="191" t="s">
        <v>884</v>
      </c>
      <c r="B1395" s="191" t="s">
        <v>954</v>
      </c>
      <c r="C1395" s="192" t="s">
        <v>863</v>
      </c>
      <c r="D1395" s="201" t="s">
        <v>864</v>
      </c>
      <c r="E1395" s="192">
        <v>122.5</v>
      </c>
      <c r="F1395" s="192">
        <v>95.7</v>
      </c>
      <c r="G1395" s="192">
        <v>114.8</v>
      </c>
    </row>
    <row r="1396" spans="1:7" x14ac:dyDescent="0.3">
      <c r="A1396" s="191" t="s">
        <v>884</v>
      </c>
      <c r="B1396" s="191" t="s">
        <v>954</v>
      </c>
      <c r="C1396" s="192" t="s">
        <v>865</v>
      </c>
      <c r="D1396" s="201" t="s">
        <v>866</v>
      </c>
      <c r="E1396" s="192">
        <v>112.3</v>
      </c>
      <c r="F1396" s="192">
        <v>91.7</v>
      </c>
      <c r="G1396" s="192">
        <v>100.3</v>
      </c>
    </row>
    <row r="1397" spans="1:7" x14ac:dyDescent="0.3">
      <c r="A1397" s="191" t="s">
        <v>884</v>
      </c>
      <c r="B1397" s="191" t="s">
        <v>954</v>
      </c>
      <c r="C1397" s="192" t="s">
        <v>867</v>
      </c>
      <c r="D1397" s="201" t="s">
        <v>868</v>
      </c>
      <c r="E1397" s="192">
        <v>111.1</v>
      </c>
      <c r="F1397" s="192">
        <v>88.2</v>
      </c>
      <c r="G1397" s="192">
        <v>98.4</v>
      </c>
    </row>
    <row r="1398" spans="1:7" x14ac:dyDescent="0.3">
      <c r="A1398" s="191" t="s">
        <v>884</v>
      </c>
      <c r="B1398" s="191" t="s">
        <v>954</v>
      </c>
      <c r="C1398" s="192" t="s">
        <v>869</v>
      </c>
      <c r="D1398" s="201" t="s">
        <v>870</v>
      </c>
      <c r="E1398" s="192">
        <v>131.1</v>
      </c>
      <c r="F1398" s="192">
        <v>82.8</v>
      </c>
      <c r="G1398" s="192">
        <v>120.7</v>
      </c>
    </row>
    <row r="1399" spans="1:7" x14ac:dyDescent="0.3">
      <c r="A1399" s="191" t="s">
        <v>884</v>
      </c>
      <c r="B1399" s="191" t="s">
        <v>954</v>
      </c>
      <c r="C1399" s="192" t="s">
        <v>871</v>
      </c>
      <c r="D1399" s="201" t="s">
        <v>872</v>
      </c>
      <c r="E1399" s="192">
        <v>100.3</v>
      </c>
      <c r="F1399" s="192">
        <v>90</v>
      </c>
      <c r="G1399" s="192">
        <v>95.9</v>
      </c>
    </row>
    <row r="1400" spans="1:7" x14ac:dyDescent="0.3">
      <c r="A1400" s="191" t="s">
        <v>884</v>
      </c>
      <c r="B1400" s="191" t="s">
        <v>954</v>
      </c>
      <c r="C1400" s="192" t="s">
        <v>873</v>
      </c>
      <c r="D1400" s="201" t="s">
        <v>874</v>
      </c>
      <c r="E1400" s="192">
        <v>109.5</v>
      </c>
      <c r="F1400" s="192">
        <v>72.099999999999994</v>
      </c>
      <c r="G1400" s="192">
        <v>90.6</v>
      </c>
    </row>
    <row r="1401" spans="1:7" x14ac:dyDescent="0.3">
      <c r="A1401" s="191" t="s">
        <v>884</v>
      </c>
      <c r="B1401" s="191" t="s">
        <v>954</v>
      </c>
      <c r="C1401" s="192" t="s">
        <v>875</v>
      </c>
      <c r="D1401" s="201" t="s">
        <v>876</v>
      </c>
      <c r="E1401" s="192">
        <v>112</v>
      </c>
      <c r="F1401" s="192">
        <v>86.1</v>
      </c>
      <c r="G1401" s="192">
        <v>100.6</v>
      </c>
    </row>
    <row r="1402" spans="1:7" x14ac:dyDescent="0.3">
      <c r="A1402" s="191" t="s">
        <v>884</v>
      </c>
      <c r="B1402" s="191" t="s">
        <v>955</v>
      </c>
      <c r="C1402" s="192" t="s">
        <v>1301</v>
      </c>
      <c r="D1402" s="202" t="s">
        <v>1599</v>
      </c>
      <c r="E1402" s="192">
        <v>0</v>
      </c>
      <c r="F1402" s="192">
        <v>102.2</v>
      </c>
      <c r="G1402" s="192">
        <v>102.2</v>
      </c>
    </row>
    <row r="1403" spans="1:7" x14ac:dyDescent="0.3">
      <c r="A1403" s="191" t="s">
        <v>884</v>
      </c>
      <c r="B1403" s="191" t="s">
        <v>955</v>
      </c>
      <c r="C1403" s="192" t="s">
        <v>839</v>
      </c>
      <c r="D1403" s="201" t="s">
        <v>840</v>
      </c>
      <c r="E1403" s="192">
        <v>99.9</v>
      </c>
      <c r="F1403" s="192">
        <v>99.1</v>
      </c>
      <c r="G1403" s="192">
        <v>99.3</v>
      </c>
    </row>
    <row r="1404" spans="1:7" x14ac:dyDescent="0.3">
      <c r="A1404" s="191" t="s">
        <v>884</v>
      </c>
      <c r="B1404" s="191" t="s">
        <v>955</v>
      </c>
      <c r="C1404" s="192" t="s">
        <v>841</v>
      </c>
      <c r="D1404" s="201" t="s">
        <v>842</v>
      </c>
      <c r="E1404" s="192">
        <v>130</v>
      </c>
      <c r="F1404" s="192">
        <v>85.4</v>
      </c>
      <c r="G1404" s="192">
        <v>91.4</v>
      </c>
    </row>
    <row r="1405" spans="1:7" x14ac:dyDescent="0.3">
      <c r="A1405" s="191" t="s">
        <v>884</v>
      </c>
      <c r="B1405" s="191" t="s">
        <v>955</v>
      </c>
      <c r="C1405" s="192" t="s">
        <v>843</v>
      </c>
      <c r="D1405" s="201" t="s">
        <v>844</v>
      </c>
      <c r="E1405" s="192">
        <v>136.69999999999999</v>
      </c>
      <c r="F1405" s="192">
        <v>77.900000000000006</v>
      </c>
      <c r="G1405" s="192">
        <v>106.3</v>
      </c>
    </row>
    <row r="1406" spans="1:7" x14ac:dyDescent="0.3">
      <c r="A1406" s="191" t="s">
        <v>884</v>
      </c>
      <c r="B1406" s="191" t="s">
        <v>955</v>
      </c>
      <c r="C1406" s="192" t="s">
        <v>845</v>
      </c>
      <c r="D1406" s="201" t="s">
        <v>846</v>
      </c>
      <c r="E1406" s="192">
        <v>124.4</v>
      </c>
      <c r="F1406" s="192">
        <v>96.7</v>
      </c>
      <c r="G1406" s="192">
        <v>113.5</v>
      </c>
    </row>
    <row r="1407" spans="1:7" x14ac:dyDescent="0.3">
      <c r="A1407" s="191" t="s">
        <v>884</v>
      </c>
      <c r="B1407" s="191" t="s">
        <v>955</v>
      </c>
      <c r="C1407" s="192" t="s">
        <v>847</v>
      </c>
      <c r="D1407" s="201" t="s">
        <v>848</v>
      </c>
      <c r="E1407" s="192">
        <v>123.6</v>
      </c>
      <c r="F1407" s="192">
        <v>88.1</v>
      </c>
      <c r="G1407" s="192">
        <v>106.3</v>
      </c>
    </row>
    <row r="1408" spans="1:7" x14ac:dyDescent="0.3">
      <c r="A1408" s="191" t="s">
        <v>884</v>
      </c>
      <c r="B1408" s="191" t="s">
        <v>955</v>
      </c>
      <c r="C1408" s="192" t="s">
        <v>849</v>
      </c>
      <c r="D1408" s="201" t="s">
        <v>850</v>
      </c>
      <c r="E1408" s="192">
        <v>165.8</v>
      </c>
      <c r="F1408" s="192">
        <v>86.7</v>
      </c>
      <c r="G1408" s="192">
        <v>117</v>
      </c>
    </row>
    <row r="1409" spans="1:7" x14ac:dyDescent="0.3">
      <c r="A1409" s="191" t="s">
        <v>884</v>
      </c>
      <c r="B1409" s="191" t="s">
        <v>955</v>
      </c>
      <c r="C1409" s="192" t="s">
        <v>851</v>
      </c>
      <c r="D1409" s="201" t="s">
        <v>852</v>
      </c>
      <c r="E1409" s="192">
        <v>108.6</v>
      </c>
      <c r="F1409" s="192">
        <v>86.9</v>
      </c>
      <c r="G1409" s="192">
        <v>101.7</v>
      </c>
    </row>
    <row r="1410" spans="1:7" x14ac:dyDescent="0.3">
      <c r="A1410" s="191" t="s">
        <v>884</v>
      </c>
      <c r="B1410" s="191" t="s">
        <v>955</v>
      </c>
      <c r="C1410" s="192" t="s">
        <v>853</v>
      </c>
      <c r="D1410" s="201" t="s">
        <v>854</v>
      </c>
      <c r="E1410" s="192">
        <v>132.5</v>
      </c>
      <c r="F1410" s="192">
        <v>85</v>
      </c>
      <c r="G1410" s="192">
        <v>106</v>
      </c>
    </row>
    <row r="1411" spans="1:7" x14ac:dyDescent="0.3">
      <c r="A1411" s="191" t="s">
        <v>884</v>
      </c>
      <c r="B1411" s="191" t="s">
        <v>955</v>
      </c>
      <c r="C1411" s="192" t="s">
        <v>855</v>
      </c>
      <c r="D1411" s="201" t="s">
        <v>856</v>
      </c>
      <c r="E1411" s="192">
        <v>110.6</v>
      </c>
      <c r="F1411" s="192">
        <v>87.9</v>
      </c>
      <c r="G1411" s="192">
        <v>101.1</v>
      </c>
    </row>
    <row r="1412" spans="1:7" x14ac:dyDescent="0.3">
      <c r="A1412" s="191" t="s">
        <v>884</v>
      </c>
      <c r="B1412" s="191" t="s">
        <v>955</v>
      </c>
      <c r="C1412" s="192" t="s">
        <v>857</v>
      </c>
      <c r="D1412" s="201" t="s">
        <v>858</v>
      </c>
      <c r="E1412" s="192">
        <v>94.8</v>
      </c>
      <c r="F1412" s="192">
        <v>78.7</v>
      </c>
      <c r="G1412" s="192">
        <v>91.1</v>
      </c>
    </row>
    <row r="1413" spans="1:7" x14ac:dyDescent="0.3">
      <c r="A1413" s="191" t="s">
        <v>884</v>
      </c>
      <c r="B1413" s="191" t="s">
        <v>955</v>
      </c>
      <c r="C1413" s="192" t="s">
        <v>859</v>
      </c>
      <c r="D1413" s="201" t="s">
        <v>860</v>
      </c>
      <c r="E1413" s="192">
        <v>141.80000000000001</v>
      </c>
      <c r="F1413" s="192">
        <v>84.4</v>
      </c>
      <c r="G1413" s="192">
        <v>103.4</v>
      </c>
    </row>
    <row r="1414" spans="1:7" x14ac:dyDescent="0.3">
      <c r="A1414" s="191" t="s">
        <v>884</v>
      </c>
      <c r="B1414" s="191" t="s">
        <v>955</v>
      </c>
      <c r="C1414" s="192" t="s">
        <v>861</v>
      </c>
      <c r="D1414" s="201" t="s">
        <v>862</v>
      </c>
      <c r="E1414" s="192">
        <v>98.1</v>
      </c>
      <c r="F1414" s="192">
        <v>84.4</v>
      </c>
      <c r="G1414" s="192">
        <v>89</v>
      </c>
    </row>
    <row r="1415" spans="1:7" x14ac:dyDescent="0.3">
      <c r="A1415" s="191" t="s">
        <v>884</v>
      </c>
      <c r="B1415" s="191" t="s">
        <v>955</v>
      </c>
      <c r="C1415" s="192" t="s">
        <v>863</v>
      </c>
      <c r="D1415" s="201" t="s">
        <v>864</v>
      </c>
      <c r="E1415" s="192">
        <v>122.5</v>
      </c>
      <c r="F1415" s="192">
        <v>95.7</v>
      </c>
      <c r="G1415" s="192">
        <v>114.8</v>
      </c>
    </row>
    <row r="1416" spans="1:7" x14ac:dyDescent="0.3">
      <c r="A1416" s="191" t="s">
        <v>884</v>
      </c>
      <c r="B1416" s="191" t="s">
        <v>955</v>
      </c>
      <c r="C1416" s="192" t="s">
        <v>865</v>
      </c>
      <c r="D1416" s="201" t="s">
        <v>866</v>
      </c>
      <c r="E1416" s="192">
        <v>112.3</v>
      </c>
      <c r="F1416" s="192">
        <v>91.7</v>
      </c>
      <c r="G1416" s="192">
        <v>100.3</v>
      </c>
    </row>
    <row r="1417" spans="1:7" x14ac:dyDescent="0.3">
      <c r="A1417" s="191" t="s">
        <v>884</v>
      </c>
      <c r="B1417" s="191" t="s">
        <v>955</v>
      </c>
      <c r="C1417" s="192" t="s">
        <v>867</v>
      </c>
      <c r="D1417" s="201" t="s">
        <v>868</v>
      </c>
      <c r="E1417" s="192">
        <v>114.9</v>
      </c>
      <c r="F1417" s="192">
        <v>88.2</v>
      </c>
      <c r="G1417" s="192">
        <v>100.1</v>
      </c>
    </row>
    <row r="1418" spans="1:7" x14ac:dyDescent="0.3">
      <c r="A1418" s="191" t="s">
        <v>884</v>
      </c>
      <c r="B1418" s="191" t="s">
        <v>955</v>
      </c>
      <c r="C1418" s="192" t="s">
        <v>869</v>
      </c>
      <c r="D1418" s="201" t="s">
        <v>870</v>
      </c>
      <c r="E1418" s="192">
        <v>131.1</v>
      </c>
      <c r="F1418" s="192">
        <v>82.8</v>
      </c>
      <c r="G1418" s="192">
        <v>120.7</v>
      </c>
    </row>
    <row r="1419" spans="1:7" x14ac:dyDescent="0.3">
      <c r="A1419" s="191" t="s">
        <v>884</v>
      </c>
      <c r="B1419" s="191" t="s">
        <v>955</v>
      </c>
      <c r="C1419" s="192" t="s">
        <v>871</v>
      </c>
      <c r="D1419" s="201" t="s">
        <v>872</v>
      </c>
      <c r="E1419" s="192">
        <v>103.6</v>
      </c>
      <c r="F1419" s="192">
        <v>90</v>
      </c>
      <c r="G1419" s="192">
        <v>97.9</v>
      </c>
    </row>
    <row r="1420" spans="1:7" x14ac:dyDescent="0.3">
      <c r="A1420" s="191" t="s">
        <v>884</v>
      </c>
      <c r="B1420" s="191" t="s">
        <v>955</v>
      </c>
      <c r="C1420" s="192" t="s">
        <v>873</v>
      </c>
      <c r="D1420" s="201" t="s">
        <v>874</v>
      </c>
      <c r="E1420" s="192">
        <v>108.9</v>
      </c>
      <c r="F1420" s="192">
        <v>72.099999999999994</v>
      </c>
      <c r="G1420" s="192">
        <v>90.3</v>
      </c>
    </row>
    <row r="1421" spans="1:7" x14ac:dyDescent="0.3">
      <c r="A1421" s="191" t="s">
        <v>884</v>
      </c>
      <c r="B1421" s="191" t="s">
        <v>955</v>
      </c>
      <c r="C1421" s="192" t="s">
        <v>875</v>
      </c>
      <c r="D1421" s="201" t="s">
        <v>876</v>
      </c>
      <c r="E1421" s="192">
        <v>113</v>
      </c>
      <c r="F1421" s="192">
        <v>86.4</v>
      </c>
      <c r="G1421" s="192">
        <v>101.2</v>
      </c>
    </row>
    <row r="1422" spans="1:7" x14ac:dyDescent="0.3">
      <c r="A1422" s="191" t="s">
        <v>909</v>
      </c>
      <c r="B1422" s="191" t="s">
        <v>956</v>
      </c>
      <c r="C1422" s="192" t="s">
        <v>1301</v>
      </c>
      <c r="D1422" s="202" t="s">
        <v>1599</v>
      </c>
      <c r="E1422" s="192">
        <v>0</v>
      </c>
      <c r="F1422" s="192">
        <v>101.4</v>
      </c>
      <c r="G1422" s="192">
        <v>101.4</v>
      </c>
    </row>
    <row r="1423" spans="1:7" x14ac:dyDescent="0.3">
      <c r="A1423" s="191" t="s">
        <v>909</v>
      </c>
      <c r="B1423" s="191" t="s">
        <v>956</v>
      </c>
      <c r="C1423" s="192" t="s">
        <v>839</v>
      </c>
      <c r="D1423" s="201" t="s">
        <v>840</v>
      </c>
      <c r="E1423" s="192">
        <v>118.8</v>
      </c>
      <c r="F1423" s="192">
        <v>97.5</v>
      </c>
      <c r="G1423" s="192">
        <v>103.7</v>
      </c>
    </row>
    <row r="1424" spans="1:7" x14ac:dyDescent="0.3">
      <c r="A1424" s="191" t="s">
        <v>909</v>
      </c>
      <c r="B1424" s="191" t="s">
        <v>956</v>
      </c>
      <c r="C1424" s="192" t="s">
        <v>841</v>
      </c>
      <c r="D1424" s="201" t="s">
        <v>842</v>
      </c>
      <c r="E1424" s="192">
        <v>113.2</v>
      </c>
      <c r="F1424" s="192">
        <v>69.5</v>
      </c>
      <c r="G1424" s="192">
        <v>75.400000000000006</v>
      </c>
    </row>
    <row r="1425" spans="1:7" x14ac:dyDescent="0.3">
      <c r="A1425" s="191" t="s">
        <v>909</v>
      </c>
      <c r="B1425" s="191" t="s">
        <v>956</v>
      </c>
      <c r="C1425" s="192" t="s">
        <v>843</v>
      </c>
      <c r="D1425" s="201" t="s">
        <v>844</v>
      </c>
      <c r="E1425" s="192">
        <v>159.4</v>
      </c>
      <c r="F1425" s="192">
        <v>46.2</v>
      </c>
      <c r="G1425" s="192">
        <v>100.8</v>
      </c>
    </row>
    <row r="1426" spans="1:7" x14ac:dyDescent="0.3">
      <c r="A1426" s="191" t="s">
        <v>909</v>
      </c>
      <c r="B1426" s="191" t="s">
        <v>956</v>
      </c>
      <c r="C1426" s="192" t="s">
        <v>845</v>
      </c>
      <c r="D1426" s="201" t="s">
        <v>846</v>
      </c>
      <c r="E1426" s="192">
        <v>114</v>
      </c>
      <c r="F1426" s="192">
        <v>71.3</v>
      </c>
      <c r="G1426" s="192">
        <v>97.1</v>
      </c>
    </row>
    <row r="1427" spans="1:7" x14ac:dyDescent="0.3">
      <c r="A1427" s="191" t="s">
        <v>909</v>
      </c>
      <c r="B1427" s="191" t="s">
        <v>956</v>
      </c>
      <c r="C1427" s="192" t="s">
        <v>847</v>
      </c>
      <c r="D1427" s="201" t="s">
        <v>848</v>
      </c>
      <c r="E1427" s="192">
        <v>144</v>
      </c>
      <c r="F1427" s="192">
        <v>66.599999999999994</v>
      </c>
      <c r="G1427" s="192">
        <v>106.4</v>
      </c>
    </row>
    <row r="1428" spans="1:7" x14ac:dyDescent="0.3">
      <c r="A1428" s="191" t="s">
        <v>909</v>
      </c>
      <c r="B1428" s="191" t="s">
        <v>956</v>
      </c>
      <c r="C1428" s="192" t="s">
        <v>849</v>
      </c>
      <c r="D1428" s="201" t="s">
        <v>850</v>
      </c>
      <c r="E1428" s="192">
        <v>234.8</v>
      </c>
      <c r="F1428" s="192">
        <v>71.599999999999994</v>
      </c>
      <c r="G1428" s="192">
        <v>134.19999999999999</v>
      </c>
    </row>
    <row r="1429" spans="1:7" x14ac:dyDescent="0.3">
      <c r="A1429" s="191" t="s">
        <v>909</v>
      </c>
      <c r="B1429" s="191" t="s">
        <v>956</v>
      </c>
      <c r="C1429" s="192" t="s">
        <v>851</v>
      </c>
      <c r="D1429" s="201" t="s">
        <v>852</v>
      </c>
      <c r="E1429" s="192">
        <v>123.6</v>
      </c>
      <c r="F1429" s="192">
        <v>74.099999999999994</v>
      </c>
      <c r="G1429" s="192">
        <v>107.9</v>
      </c>
    </row>
    <row r="1430" spans="1:7" x14ac:dyDescent="0.3">
      <c r="A1430" s="191" t="s">
        <v>909</v>
      </c>
      <c r="B1430" s="191" t="s">
        <v>956</v>
      </c>
      <c r="C1430" s="192" t="s">
        <v>853</v>
      </c>
      <c r="D1430" s="201" t="s">
        <v>854</v>
      </c>
      <c r="E1430" s="192">
        <v>117.9</v>
      </c>
      <c r="F1430" s="192">
        <v>68.599999999999994</v>
      </c>
      <c r="G1430" s="192">
        <v>90.5</v>
      </c>
    </row>
    <row r="1431" spans="1:7" x14ac:dyDescent="0.3">
      <c r="A1431" s="191" t="s">
        <v>909</v>
      </c>
      <c r="B1431" s="191" t="s">
        <v>956</v>
      </c>
      <c r="C1431" s="192" t="s">
        <v>855</v>
      </c>
      <c r="D1431" s="201" t="s">
        <v>856</v>
      </c>
      <c r="E1431" s="192">
        <v>143.4</v>
      </c>
      <c r="F1431" s="192">
        <v>68.5</v>
      </c>
      <c r="G1431" s="192">
        <v>112</v>
      </c>
    </row>
    <row r="1432" spans="1:7" x14ac:dyDescent="0.3">
      <c r="A1432" s="191" t="s">
        <v>909</v>
      </c>
      <c r="B1432" s="191" t="s">
        <v>956</v>
      </c>
      <c r="C1432" s="192" t="s">
        <v>857</v>
      </c>
      <c r="D1432" s="201" t="s">
        <v>858</v>
      </c>
      <c r="E1432" s="192">
        <v>95.6</v>
      </c>
      <c r="F1432" s="192">
        <v>63</v>
      </c>
      <c r="G1432" s="192">
        <v>88</v>
      </c>
    </row>
    <row r="1433" spans="1:7" x14ac:dyDescent="0.3">
      <c r="A1433" s="191" t="s">
        <v>909</v>
      </c>
      <c r="B1433" s="191" t="s">
        <v>956</v>
      </c>
      <c r="C1433" s="192" t="s">
        <v>859</v>
      </c>
      <c r="D1433" s="201" t="s">
        <v>860</v>
      </c>
      <c r="E1433" s="192">
        <v>135.69999999999999</v>
      </c>
      <c r="F1433" s="192">
        <v>67.599999999999994</v>
      </c>
      <c r="G1433" s="192">
        <v>90.2</v>
      </c>
    </row>
    <row r="1434" spans="1:7" x14ac:dyDescent="0.3">
      <c r="A1434" s="191" t="s">
        <v>909</v>
      </c>
      <c r="B1434" s="191" t="s">
        <v>956</v>
      </c>
      <c r="C1434" s="192" t="s">
        <v>861</v>
      </c>
      <c r="D1434" s="201" t="s">
        <v>862</v>
      </c>
      <c r="E1434" s="192">
        <v>108.2</v>
      </c>
      <c r="F1434" s="192">
        <v>67.599999999999994</v>
      </c>
      <c r="G1434" s="192">
        <v>81.3</v>
      </c>
    </row>
    <row r="1435" spans="1:7" x14ac:dyDescent="0.3">
      <c r="A1435" s="191" t="s">
        <v>909</v>
      </c>
      <c r="B1435" s="191" t="s">
        <v>956</v>
      </c>
      <c r="C1435" s="192" t="s">
        <v>863</v>
      </c>
      <c r="D1435" s="201" t="s">
        <v>864</v>
      </c>
      <c r="E1435" s="192">
        <v>118</v>
      </c>
      <c r="F1435" s="192">
        <v>64.599999999999994</v>
      </c>
      <c r="G1435" s="192">
        <v>102.7</v>
      </c>
    </row>
    <row r="1436" spans="1:7" x14ac:dyDescent="0.3">
      <c r="A1436" s="191" t="s">
        <v>909</v>
      </c>
      <c r="B1436" s="191" t="s">
        <v>956</v>
      </c>
      <c r="C1436" s="192" t="s">
        <v>865</v>
      </c>
      <c r="D1436" s="201" t="s">
        <v>866</v>
      </c>
      <c r="E1436" s="192">
        <v>120.1</v>
      </c>
      <c r="F1436" s="192">
        <v>64.099999999999994</v>
      </c>
      <c r="G1436" s="192">
        <v>87.5</v>
      </c>
    </row>
    <row r="1437" spans="1:7" x14ac:dyDescent="0.3">
      <c r="A1437" s="191" t="s">
        <v>909</v>
      </c>
      <c r="B1437" s="191" t="s">
        <v>956</v>
      </c>
      <c r="C1437" s="192" t="s">
        <v>867</v>
      </c>
      <c r="D1437" s="201" t="s">
        <v>868</v>
      </c>
      <c r="E1437" s="192">
        <v>118.5</v>
      </c>
      <c r="F1437" s="192">
        <v>68.2</v>
      </c>
      <c r="G1437" s="192">
        <v>90.7</v>
      </c>
    </row>
    <row r="1438" spans="1:7" x14ac:dyDescent="0.3">
      <c r="A1438" s="191" t="s">
        <v>909</v>
      </c>
      <c r="B1438" s="191" t="s">
        <v>956</v>
      </c>
      <c r="C1438" s="192" t="s">
        <v>869</v>
      </c>
      <c r="D1438" s="201" t="s">
        <v>870</v>
      </c>
      <c r="E1438" s="192">
        <v>131.1</v>
      </c>
      <c r="F1438" s="192">
        <v>64.599999999999994</v>
      </c>
      <c r="G1438" s="192">
        <v>116.7</v>
      </c>
    </row>
    <row r="1439" spans="1:7" x14ac:dyDescent="0.3">
      <c r="A1439" s="191" t="s">
        <v>909</v>
      </c>
      <c r="B1439" s="191" t="s">
        <v>956</v>
      </c>
      <c r="C1439" s="192" t="s">
        <v>871</v>
      </c>
      <c r="D1439" s="201" t="s">
        <v>872</v>
      </c>
      <c r="E1439" s="192">
        <v>103.7</v>
      </c>
      <c r="F1439" s="192">
        <v>83.5</v>
      </c>
      <c r="G1439" s="192">
        <v>95.1</v>
      </c>
    </row>
    <row r="1440" spans="1:7" x14ac:dyDescent="0.3">
      <c r="A1440" s="191" t="s">
        <v>909</v>
      </c>
      <c r="B1440" s="191" t="s">
        <v>956</v>
      </c>
      <c r="C1440" s="192" t="s">
        <v>873</v>
      </c>
      <c r="D1440" s="201" t="s">
        <v>874</v>
      </c>
      <c r="E1440" s="192">
        <v>114.1</v>
      </c>
      <c r="F1440" s="192">
        <v>63.9</v>
      </c>
      <c r="G1440" s="192">
        <v>88.7</v>
      </c>
    </row>
    <row r="1441" spans="1:7" x14ac:dyDescent="0.3">
      <c r="A1441" s="191" t="s">
        <v>909</v>
      </c>
      <c r="B1441" s="191" t="s">
        <v>956</v>
      </c>
      <c r="C1441" s="192" t="s">
        <v>875</v>
      </c>
      <c r="D1441" s="201" t="s">
        <v>876</v>
      </c>
      <c r="E1441" s="192">
        <v>123.4</v>
      </c>
      <c r="F1441" s="192">
        <v>73.599999999999994</v>
      </c>
      <c r="G1441" s="192">
        <v>101.4</v>
      </c>
    </row>
    <row r="1442" spans="1:7" x14ac:dyDescent="0.3">
      <c r="A1442" s="191" t="s">
        <v>892</v>
      </c>
      <c r="B1442" s="191" t="s">
        <v>957</v>
      </c>
      <c r="C1442" s="192" t="s">
        <v>1301</v>
      </c>
      <c r="D1442" s="202" t="s">
        <v>1599</v>
      </c>
      <c r="E1442" s="192">
        <v>0</v>
      </c>
      <c r="F1442" s="192">
        <v>112.6</v>
      </c>
      <c r="G1442" s="192">
        <v>112.6</v>
      </c>
    </row>
    <row r="1443" spans="1:7" x14ac:dyDescent="0.3">
      <c r="A1443" s="191" t="s">
        <v>892</v>
      </c>
      <c r="B1443" s="191" t="s">
        <v>957</v>
      </c>
      <c r="C1443" s="192" t="s">
        <v>839</v>
      </c>
      <c r="D1443" s="201" t="s">
        <v>840</v>
      </c>
      <c r="E1443" s="192">
        <v>114.4</v>
      </c>
      <c r="F1443" s="192">
        <v>107.3</v>
      </c>
      <c r="G1443" s="192">
        <v>109.4</v>
      </c>
    </row>
    <row r="1444" spans="1:7" x14ac:dyDescent="0.3">
      <c r="A1444" s="191" t="s">
        <v>892</v>
      </c>
      <c r="B1444" s="191" t="s">
        <v>957</v>
      </c>
      <c r="C1444" s="192" t="s">
        <v>841</v>
      </c>
      <c r="D1444" s="201" t="s">
        <v>842</v>
      </c>
      <c r="E1444" s="192">
        <v>120.1</v>
      </c>
      <c r="F1444" s="192">
        <v>88.9</v>
      </c>
      <c r="G1444" s="192">
        <v>93.1</v>
      </c>
    </row>
    <row r="1445" spans="1:7" x14ac:dyDescent="0.3">
      <c r="A1445" s="191" t="s">
        <v>892</v>
      </c>
      <c r="B1445" s="191" t="s">
        <v>957</v>
      </c>
      <c r="C1445" s="192" t="s">
        <v>843</v>
      </c>
      <c r="D1445" s="201" t="s">
        <v>844</v>
      </c>
      <c r="E1445" s="192">
        <v>124.2</v>
      </c>
      <c r="F1445" s="192">
        <v>81.099999999999994</v>
      </c>
      <c r="G1445" s="192">
        <v>101.9</v>
      </c>
    </row>
    <row r="1446" spans="1:7" x14ac:dyDescent="0.3">
      <c r="A1446" s="191" t="s">
        <v>892</v>
      </c>
      <c r="B1446" s="191" t="s">
        <v>957</v>
      </c>
      <c r="C1446" s="192" t="s">
        <v>845</v>
      </c>
      <c r="D1446" s="201" t="s">
        <v>846</v>
      </c>
      <c r="E1446" s="192">
        <v>130.69999999999999</v>
      </c>
      <c r="F1446" s="192">
        <v>98.7</v>
      </c>
      <c r="G1446" s="192">
        <v>118.1</v>
      </c>
    </row>
    <row r="1447" spans="1:7" x14ac:dyDescent="0.3">
      <c r="A1447" s="191" t="s">
        <v>892</v>
      </c>
      <c r="B1447" s="191" t="s">
        <v>957</v>
      </c>
      <c r="C1447" s="192" t="s">
        <v>847</v>
      </c>
      <c r="D1447" s="201" t="s">
        <v>848</v>
      </c>
      <c r="E1447" s="192">
        <v>129.19999999999999</v>
      </c>
      <c r="F1447" s="192">
        <v>91.1</v>
      </c>
      <c r="G1447" s="192">
        <v>110.7</v>
      </c>
    </row>
    <row r="1448" spans="1:7" x14ac:dyDescent="0.3">
      <c r="A1448" s="191" t="s">
        <v>892</v>
      </c>
      <c r="B1448" s="191" t="s">
        <v>957</v>
      </c>
      <c r="C1448" s="192" t="s">
        <v>849</v>
      </c>
      <c r="D1448" s="201" t="s">
        <v>850</v>
      </c>
      <c r="E1448" s="192">
        <v>166</v>
      </c>
      <c r="F1448" s="192">
        <v>93.2</v>
      </c>
      <c r="G1448" s="192">
        <v>121.1</v>
      </c>
    </row>
    <row r="1449" spans="1:7" x14ac:dyDescent="0.3">
      <c r="A1449" s="191" t="s">
        <v>892</v>
      </c>
      <c r="B1449" s="191" t="s">
        <v>957</v>
      </c>
      <c r="C1449" s="192" t="s">
        <v>851</v>
      </c>
      <c r="D1449" s="201" t="s">
        <v>852</v>
      </c>
      <c r="E1449" s="192">
        <v>130.80000000000001</v>
      </c>
      <c r="F1449" s="192">
        <v>91.3</v>
      </c>
      <c r="G1449" s="192">
        <v>118.2</v>
      </c>
    </row>
    <row r="1450" spans="1:7" x14ac:dyDescent="0.3">
      <c r="A1450" s="191" t="s">
        <v>892</v>
      </c>
      <c r="B1450" s="191" t="s">
        <v>957</v>
      </c>
      <c r="C1450" s="192" t="s">
        <v>853</v>
      </c>
      <c r="D1450" s="201" t="s">
        <v>854</v>
      </c>
      <c r="E1450" s="192">
        <v>103.9</v>
      </c>
      <c r="F1450" s="192">
        <v>88.5</v>
      </c>
      <c r="G1450" s="192">
        <v>95.3</v>
      </c>
    </row>
    <row r="1451" spans="1:7" x14ac:dyDescent="0.3">
      <c r="A1451" s="191" t="s">
        <v>892</v>
      </c>
      <c r="B1451" s="191" t="s">
        <v>957</v>
      </c>
      <c r="C1451" s="192" t="s">
        <v>855</v>
      </c>
      <c r="D1451" s="201" t="s">
        <v>856</v>
      </c>
      <c r="E1451" s="192">
        <v>127.7</v>
      </c>
      <c r="F1451" s="192">
        <v>86.7</v>
      </c>
      <c r="G1451" s="192">
        <v>110.5</v>
      </c>
    </row>
    <row r="1452" spans="1:7" x14ac:dyDescent="0.3">
      <c r="A1452" s="191" t="s">
        <v>892</v>
      </c>
      <c r="B1452" s="191" t="s">
        <v>957</v>
      </c>
      <c r="C1452" s="192" t="s">
        <v>857</v>
      </c>
      <c r="D1452" s="201" t="s">
        <v>858</v>
      </c>
      <c r="E1452" s="192">
        <v>87.3</v>
      </c>
      <c r="F1452" s="192">
        <v>85.3</v>
      </c>
      <c r="G1452" s="192">
        <v>86.8</v>
      </c>
    </row>
    <row r="1453" spans="1:7" x14ac:dyDescent="0.3">
      <c r="A1453" s="191" t="s">
        <v>892</v>
      </c>
      <c r="B1453" s="191" t="s">
        <v>957</v>
      </c>
      <c r="C1453" s="192" t="s">
        <v>859</v>
      </c>
      <c r="D1453" s="201" t="s">
        <v>860</v>
      </c>
      <c r="E1453" s="192">
        <v>112.8</v>
      </c>
      <c r="F1453" s="192">
        <v>87.5</v>
      </c>
      <c r="G1453" s="192">
        <v>95.9</v>
      </c>
    </row>
    <row r="1454" spans="1:7" x14ac:dyDescent="0.3">
      <c r="A1454" s="191" t="s">
        <v>892</v>
      </c>
      <c r="B1454" s="191" t="s">
        <v>957</v>
      </c>
      <c r="C1454" s="192" t="s">
        <v>861</v>
      </c>
      <c r="D1454" s="201" t="s">
        <v>862</v>
      </c>
      <c r="E1454" s="192">
        <v>129.6</v>
      </c>
      <c r="F1454" s="192">
        <v>87.5</v>
      </c>
      <c r="G1454" s="192">
        <v>101.7</v>
      </c>
    </row>
    <row r="1455" spans="1:7" x14ac:dyDescent="0.3">
      <c r="A1455" s="191" t="s">
        <v>892</v>
      </c>
      <c r="B1455" s="191" t="s">
        <v>957</v>
      </c>
      <c r="C1455" s="192" t="s">
        <v>863</v>
      </c>
      <c r="D1455" s="201" t="s">
        <v>864</v>
      </c>
      <c r="E1455" s="192">
        <v>129.80000000000001</v>
      </c>
      <c r="F1455" s="192">
        <v>94.5</v>
      </c>
      <c r="G1455" s="192">
        <v>119.6</v>
      </c>
    </row>
    <row r="1456" spans="1:7" x14ac:dyDescent="0.3">
      <c r="A1456" s="191" t="s">
        <v>892</v>
      </c>
      <c r="B1456" s="191" t="s">
        <v>957</v>
      </c>
      <c r="C1456" s="192" t="s">
        <v>865</v>
      </c>
      <c r="D1456" s="201" t="s">
        <v>866</v>
      </c>
      <c r="E1456" s="192">
        <v>118.4</v>
      </c>
      <c r="F1456" s="192">
        <v>98</v>
      </c>
      <c r="G1456" s="192">
        <v>106.6</v>
      </c>
    </row>
    <row r="1457" spans="1:7" x14ac:dyDescent="0.3">
      <c r="A1457" s="191" t="s">
        <v>892</v>
      </c>
      <c r="B1457" s="191" t="s">
        <v>957</v>
      </c>
      <c r="C1457" s="192" t="s">
        <v>867</v>
      </c>
      <c r="D1457" s="201" t="s">
        <v>868</v>
      </c>
      <c r="E1457" s="192">
        <v>124.4</v>
      </c>
      <c r="F1457" s="192">
        <v>90.9</v>
      </c>
      <c r="G1457" s="192">
        <v>105.9</v>
      </c>
    </row>
    <row r="1458" spans="1:7" x14ac:dyDescent="0.3">
      <c r="A1458" s="191" t="s">
        <v>892</v>
      </c>
      <c r="B1458" s="191" t="s">
        <v>957</v>
      </c>
      <c r="C1458" s="192" t="s">
        <v>869</v>
      </c>
      <c r="D1458" s="201" t="s">
        <v>870</v>
      </c>
      <c r="E1458" s="192">
        <v>131.1</v>
      </c>
      <c r="F1458" s="192">
        <v>94.5</v>
      </c>
      <c r="G1458" s="192">
        <v>123.2</v>
      </c>
    </row>
    <row r="1459" spans="1:7" x14ac:dyDescent="0.3">
      <c r="A1459" s="191" t="s">
        <v>892</v>
      </c>
      <c r="B1459" s="191" t="s">
        <v>957</v>
      </c>
      <c r="C1459" s="192" t="s">
        <v>871</v>
      </c>
      <c r="D1459" s="201" t="s">
        <v>872</v>
      </c>
      <c r="E1459" s="192">
        <v>105.5</v>
      </c>
      <c r="F1459" s="192">
        <v>82</v>
      </c>
      <c r="G1459" s="192">
        <v>95.6</v>
      </c>
    </row>
    <row r="1460" spans="1:7" x14ac:dyDescent="0.3">
      <c r="A1460" s="191" t="s">
        <v>892</v>
      </c>
      <c r="B1460" s="191" t="s">
        <v>957</v>
      </c>
      <c r="C1460" s="192" t="s">
        <v>873</v>
      </c>
      <c r="D1460" s="201" t="s">
        <v>874</v>
      </c>
      <c r="E1460" s="192">
        <v>103.8</v>
      </c>
      <c r="F1460" s="192">
        <v>82.6</v>
      </c>
      <c r="G1460" s="192">
        <v>93.1</v>
      </c>
    </row>
    <row r="1461" spans="1:7" x14ac:dyDescent="0.3">
      <c r="A1461" s="191" t="s">
        <v>892</v>
      </c>
      <c r="B1461" s="191" t="s">
        <v>957</v>
      </c>
      <c r="C1461" s="192" t="s">
        <v>875</v>
      </c>
      <c r="D1461" s="201" t="s">
        <v>876</v>
      </c>
      <c r="E1461" s="192">
        <v>117.7</v>
      </c>
      <c r="F1461" s="192">
        <v>89.2</v>
      </c>
      <c r="G1461" s="192">
        <v>105.1</v>
      </c>
    </row>
    <row r="1462" spans="1:7" x14ac:dyDescent="0.3">
      <c r="A1462" s="191" t="s">
        <v>958</v>
      </c>
      <c r="B1462" s="191" t="s">
        <v>959</v>
      </c>
      <c r="C1462" s="192" t="s">
        <v>1301</v>
      </c>
      <c r="D1462" s="202" t="s">
        <v>1599</v>
      </c>
      <c r="E1462" s="192">
        <v>0</v>
      </c>
      <c r="F1462" s="192">
        <v>101.4</v>
      </c>
      <c r="G1462" s="192">
        <v>101.4</v>
      </c>
    </row>
    <row r="1463" spans="1:7" x14ac:dyDescent="0.3">
      <c r="A1463" s="191" t="s">
        <v>958</v>
      </c>
      <c r="B1463" s="191" t="s">
        <v>959</v>
      </c>
      <c r="C1463" s="192" t="s">
        <v>839</v>
      </c>
      <c r="D1463" s="201" t="s">
        <v>840</v>
      </c>
      <c r="E1463" s="192">
        <v>159.6</v>
      </c>
      <c r="F1463" s="192">
        <v>100.3</v>
      </c>
      <c r="G1463" s="192">
        <v>117.7</v>
      </c>
    </row>
    <row r="1464" spans="1:7" x14ac:dyDescent="0.3">
      <c r="A1464" s="191" t="s">
        <v>958</v>
      </c>
      <c r="B1464" s="191" t="s">
        <v>959</v>
      </c>
      <c r="C1464" s="192" t="s">
        <v>841</v>
      </c>
      <c r="D1464" s="201" t="s">
        <v>842</v>
      </c>
      <c r="E1464" s="192">
        <v>135</v>
      </c>
      <c r="F1464" s="192">
        <v>77.900000000000006</v>
      </c>
      <c r="G1464" s="192">
        <v>85.6</v>
      </c>
    </row>
    <row r="1465" spans="1:7" x14ac:dyDescent="0.3">
      <c r="A1465" s="191" t="s">
        <v>958</v>
      </c>
      <c r="B1465" s="191" t="s">
        <v>959</v>
      </c>
      <c r="C1465" s="192" t="s">
        <v>843</v>
      </c>
      <c r="D1465" s="201" t="s">
        <v>844</v>
      </c>
      <c r="E1465" s="192">
        <v>141.6</v>
      </c>
      <c r="F1465" s="192">
        <v>61.9</v>
      </c>
      <c r="G1465" s="192">
        <v>100.4</v>
      </c>
    </row>
    <row r="1466" spans="1:7" x14ac:dyDescent="0.3">
      <c r="A1466" s="191" t="s">
        <v>958</v>
      </c>
      <c r="B1466" s="191" t="s">
        <v>959</v>
      </c>
      <c r="C1466" s="192" t="s">
        <v>845</v>
      </c>
      <c r="D1466" s="201" t="s">
        <v>846</v>
      </c>
      <c r="E1466" s="192">
        <v>197</v>
      </c>
      <c r="F1466" s="192">
        <v>87.1</v>
      </c>
      <c r="G1466" s="192">
        <v>153.6</v>
      </c>
    </row>
    <row r="1467" spans="1:7" x14ac:dyDescent="0.3">
      <c r="A1467" s="191" t="s">
        <v>958</v>
      </c>
      <c r="B1467" s="191" t="s">
        <v>959</v>
      </c>
      <c r="C1467" s="192" t="s">
        <v>847</v>
      </c>
      <c r="D1467" s="201" t="s">
        <v>848</v>
      </c>
      <c r="E1467" s="192">
        <v>177</v>
      </c>
      <c r="F1467" s="192">
        <v>78.5</v>
      </c>
      <c r="G1467" s="192">
        <v>129.1</v>
      </c>
    </row>
    <row r="1468" spans="1:7" x14ac:dyDescent="0.3">
      <c r="A1468" s="191" t="s">
        <v>958</v>
      </c>
      <c r="B1468" s="191" t="s">
        <v>959</v>
      </c>
      <c r="C1468" s="192" t="s">
        <v>849</v>
      </c>
      <c r="D1468" s="201" t="s">
        <v>850</v>
      </c>
      <c r="E1468" s="192">
        <v>269.2</v>
      </c>
      <c r="F1468" s="192">
        <v>74.5</v>
      </c>
      <c r="G1468" s="192">
        <v>149.19999999999999</v>
      </c>
    </row>
    <row r="1469" spans="1:7" x14ac:dyDescent="0.3">
      <c r="A1469" s="191" t="s">
        <v>958</v>
      </c>
      <c r="B1469" s="191" t="s">
        <v>959</v>
      </c>
      <c r="C1469" s="192" t="s">
        <v>851</v>
      </c>
      <c r="D1469" s="201" t="s">
        <v>852</v>
      </c>
      <c r="E1469" s="192">
        <v>138</v>
      </c>
      <c r="F1469" s="192">
        <v>78.5</v>
      </c>
      <c r="G1469" s="192">
        <v>119.1</v>
      </c>
    </row>
    <row r="1470" spans="1:7" x14ac:dyDescent="0.3">
      <c r="A1470" s="191" t="s">
        <v>958</v>
      </c>
      <c r="B1470" s="191" t="s">
        <v>959</v>
      </c>
      <c r="C1470" s="192" t="s">
        <v>853</v>
      </c>
      <c r="D1470" s="201" t="s">
        <v>854</v>
      </c>
      <c r="E1470" s="192">
        <v>125.9</v>
      </c>
      <c r="F1470" s="192">
        <v>79.099999999999994</v>
      </c>
      <c r="G1470" s="192">
        <v>99.9</v>
      </c>
    </row>
    <row r="1471" spans="1:7" x14ac:dyDescent="0.3">
      <c r="A1471" s="191" t="s">
        <v>958</v>
      </c>
      <c r="B1471" s="191" t="s">
        <v>959</v>
      </c>
      <c r="C1471" s="192" t="s">
        <v>855</v>
      </c>
      <c r="D1471" s="201" t="s">
        <v>856</v>
      </c>
      <c r="E1471" s="192">
        <v>155.9</v>
      </c>
      <c r="F1471" s="192">
        <v>76.7</v>
      </c>
      <c r="G1471" s="192">
        <v>122.8</v>
      </c>
    </row>
    <row r="1472" spans="1:7" x14ac:dyDescent="0.3">
      <c r="A1472" s="191" t="s">
        <v>958</v>
      </c>
      <c r="B1472" s="191" t="s">
        <v>959</v>
      </c>
      <c r="C1472" s="192" t="s">
        <v>857</v>
      </c>
      <c r="D1472" s="201" t="s">
        <v>858</v>
      </c>
      <c r="E1472" s="192">
        <v>102.3</v>
      </c>
      <c r="F1472" s="192">
        <v>66.900000000000006</v>
      </c>
      <c r="G1472" s="192">
        <v>94.1</v>
      </c>
    </row>
    <row r="1473" spans="1:8" x14ac:dyDescent="0.3">
      <c r="A1473" s="191" t="s">
        <v>958</v>
      </c>
      <c r="B1473" s="191" t="s">
        <v>959</v>
      </c>
      <c r="C1473" s="192" t="s">
        <v>859</v>
      </c>
      <c r="D1473" s="201" t="s">
        <v>860</v>
      </c>
      <c r="E1473" s="192">
        <v>155.30000000000001</v>
      </c>
      <c r="F1473" s="192">
        <v>78.400000000000006</v>
      </c>
      <c r="G1473" s="192">
        <v>103.9</v>
      </c>
    </row>
    <row r="1474" spans="1:8" x14ac:dyDescent="0.3">
      <c r="A1474" s="191" t="s">
        <v>958</v>
      </c>
      <c r="B1474" s="191" t="s">
        <v>959</v>
      </c>
      <c r="C1474" s="192" t="s">
        <v>861</v>
      </c>
      <c r="D1474" s="201" t="s">
        <v>862</v>
      </c>
      <c r="E1474" s="192">
        <v>138.80000000000001</v>
      </c>
      <c r="F1474" s="192">
        <v>78.400000000000006</v>
      </c>
      <c r="G1474" s="192">
        <v>98.8</v>
      </c>
    </row>
    <row r="1475" spans="1:8" x14ac:dyDescent="0.3">
      <c r="A1475" s="191" t="s">
        <v>958</v>
      </c>
      <c r="B1475" s="191" t="s">
        <v>959</v>
      </c>
      <c r="C1475" s="192" t="s">
        <v>863</v>
      </c>
      <c r="D1475" s="201" t="s">
        <v>864</v>
      </c>
      <c r="E1475" s="192">
        <v>138.5</v>
      </c>
      <c r="F1475" s="192">
        <v>89</v>
      </c>
      <c r="G1475" s="192">
        <v>124.2</v>
      </c>
    </row>
    <row r="1476" spans="1:8" x14ac:dyDescent="0.3">
      <c r="A1476" s="191" t="s">
        <v>958</v>
      </c>
      <c r="B1476" s="191" t="s">
        <v>959</v>
      </c>
      <c r="C1476" s="192" t="s">
        <v>865</v>
      </c>
      <c r="D1476" s="201" t="s">
        <v>866</v>
      </c>
      <c r="E1476" s="192">
        <v>128.80000000000001</v>
      </c>
      <c r="F1476" s="192">
        <v>80.3</v>
      </c>
      <c r="G1476" s="192">
        <v>100.6</v>
      </c>
    </row>
    <row r="1477" spans="1:8" x14ac:dyDescent="0.3">
      <c r="A1477" s="191" t="s">
        <v>958</v>
      </c>
      <c r="B1477" s="191" t="s">
        <v>959</v>
      </c>
      <c r="C1477" s="192" t="s">
        <v>867</v>
      </c>
      <c r="D1477" s="201" t="s">
        <v>868</v>
      </c>
      <c r="E1477" s="192">
        <v>142.19999999999999</v>
      </c>
      <c r="F1477" s="192">
        <v>79.599999999999994</v>
      </c>
      <c r="G1477" s="192">
        <v>107.6</v>
      </c>
    </row>
    <row r="1478" spans="1:8" x14ac:dyDescent="0.3">
      <c r="A1478" s="191" t="s">
        <v>958</v>
      </c>
      <c r="B1478" s="191" t="s">
        <v>959</v>
      </c>
      <c r="C1478" s="192" t="s">
        <v>869</v>
      </c>
      <c r="D1478" s="201" t="s">
        <v>870</v>
      </c>
      <c r="E1478" s="192">
        <v>131.1</v>
      </c>
      <c r="F1478" s="192">
        <v>65.099999999999994</v>
      </c>
      <c r="G1478" s="192">
        <v>116.8</v>
      </c>
    </row>
    <row r="1479" spans="1:8" x14ac:dyDescent="0.3">
      <c r="A1479" s="191" t="s">
        <v>958</v>
      </c>
      <c r="B1479" s="191" t="s">
        <v>959</v>
      </c>
      <c r="C1479" s="192" t="s">
        <v>871</v>
      </c>
      <c r="D1479" s="201" t="s">
        <v>872</v>
      </c>
      <c r="E1479" s="192">
        <v>104.3</v>
      </c>
      <c r="F1479" s="192">
        <v>92.9</v>
      </c>
      <c r="G1479" s="192">
        <v>99.5</v>
      </c>
    </row>
    <row r="1480" spans="1:8" x14ac:dyDescent="0.3">
      <c r="A1480" s="191" t="s">
        <v>958</v>
      </c>
      <c r="B1480" s="191" t="s">
        <v>959</v>
      </c>
      <c r="C1480" s="192" t="s">
        <v>873</v>
      </c>
      <c r="D1480" s="201" t="s">
        <v>874</v>
      </c>
      <c r="E1480" s="192">
        <v>126.9</v>
      </c>
      <c r="F1480" s="192">
        <v>84.6</v>
      </c>
      <c r="G1480" s="192">
        <v>105.5</v>
      </c>
    </row>
    <row r="1481" spans="1:8" x14ac:dyDescent="0.3">
      <c r="A1481" s="191" t="s">
        <v>958</v>
      </c>
      <c r="B1481" s="191" t="s">
        <v>959</v>
      </c>
      <c r="C1481" s="192" t="s">
        <v>875</v>
      </c>
      <c r="D1481" s="201" t="s">
        <v>876</v>
      </c>
      <c r="E1481" s="192">
        <v>136.69999999999999</v>
      </c>
      <c r="F1481" s="192">
        <v>82.9</v>
      </c>
      <c r="G1481" s="192">
        <v>113</v>
      </c>
    </row>
    <row r="1482" spans="1:8" x14ac:dyDescent="0.3">
      <c r="A1482" s="194" t="s">
        <v>961</v>
      </c>
      <c r="B1482" s="194" t="s">
        <v>962</v>
      </c>
      <c r="C1482" s="194" t="s">
        <v>965</v>
      </c>
      <c r="D1482" s="200" t="s">
        <v>966</v>
      </c>
      <c r="E1482" s="194" t="s">
        <v>967</v>
      </c>
      <c r="F1482" s="194" t="s">
        <v>968</v>
      </c>
      <c r="G1482" s="194" t="s">
        <v>969</v>
      </c>
      <c r="H1482" s="194" t="s">
        <v>341</v>
      </c>
    </row>
    <row r="1483" spans="1:8" x14ac:dyDescent="0.3">
      <c r="A1483" s="195" t="s">
        <v>837</v>
      </c>
      <c r="B1483" s="195" t="s">
        <v>838</v>
      </c>
      <c r="C1483" s="193" t="s">
        <v>1302</v>
      </c>
      <c r="D1483" s="20" t="s">
        <v>1303</v>
      </c>
      <c r="E1483" s="193">
        <v>157.1</v>
      </c>
      <c r="F1483" s="193">
        <v>89.6</v>
      </c>
      <c r="G1483" s="193">
        <v>116.4</v>
      </c>
      <c r="H1483" s="193"/>
    </row>
    <row r="1484" spans="1:8" x14ac:dyDescent="0.3">
      <c r="A1484" s="195" t="s">
        <v>837</v>
      </c>
      <c r="B1484" s="195" t="s">
        <v>838</v>
      </c>
      <c r="C1484" s="193" t="s">
        <v>1304</v>
      </c>
      <c r="D1484" s="20" t="s">
        <v>1305</v>
      </c>
      <c r="E1484" s="193">
        <v>120.2</v>
      </c>
      <c r="F1484" s="193">
        <v>88.2</v>
      </c>
      <c r="G1484" s="193">
        <v>107.4</v>
      </c>
      <c r="H1484" s="193"/>
    </row>
    <row r="1485" spans="1:8" x14ac:dyDescent="0.3">
      <c r="A1485" s="195" t="s">
        <v>837</v>
      </c>
      <c r="B1485" s="195" t="s">
        <v>838</v>
      </c>
      <c r="C1485" s="193" t="s">
        <v>1306</v>
      </c>
      <c r="D1485" s="20" t="s">
        <v>1307</v>
      </c>
      <c r="E1485" s="193">
        <v>137.5</v>
      </c>
      <c r="F1485" s="193">
        <v>95.7</v>
      </c>
      <c r="G1485" s="193">
        <v>117.7</v>
      </c>
      <c r="H1485" s="193"/>
    </row>
    <row r="1486" spans="1:8" x14ac:dyDescent="0.3">
      <c r="A1486" s="195" t="s">
        <v>837</v>
      </c>
      <c r="B1486" s="195" t="s">
        <v>838</v>
      </c>
      <c r="C1486" s="193" t="s">
        <v>1308</v>
      </c>
      <c r="D1486" s="20" t="s">
        <v>1309</v>
      </c>
      <c r="E1486" s="193">
        <v>113.6</v>
      </c>
      <c r="F1486" s="193">
        <v>85.5</v>
      </c>
      <c r="G1486" s="193">
        <v>102.7</v>
      </c>
      <c r="H1486" s="193"/>
    </row>
    <row r="1487" spans="1:8" x14ac:dyDescent="0.3">
      <c r="A1487" s="195" t="s">
        <v>837</v>
      </c>
      <c r="B1487" s="195" t="s">
        <v>838</v>
      </c>
      <c r="C1487" s="193" t="s">
        <v>1310</v>
      </c>
      <c r="D1487" s="20" t="s">
        <v>27</v>
      </c>
      <c r="E1487" s="193">
        <v>104.8</v>
      </c>
      <c r="F1487" s="193">
        <v>87.9</v>
      </c>
      <c r="G1487" s="193">
        <v>97.7</v>
      </c>
      <c r="H1487" s="193"/>
    </row>
    <row r="1488" spans="1:8" x14ac:dyDescent="0.3">
      <c r="A1488" s="195" t="s">
        <v>837</v>
      </c>
      <c r="B1488" s="195" t="s">
        <v>838</v>
      </c>
      <c r="C1488" s="193" t="s">
        <v>1311</v>
      </c>
      <c r="D1488" s="20" t="s">
        <v>1312</v>
      </c>
      <c r="E1488" s="193">
        <v>139.19999999999999</v>
      </c>
      <c r="F1488" s="193">
        <v>70.599999999999994</v>
      </c>
      <c r="G1488" s="193">
        <v>119.2</v>
      </c>
      <c r="H1488" s="193"/>
    </row>
    <row r="1489" spans="1:8" x14ac:dyDescent="0.3">
      <c r="A1489" s="195" t="s">
        <v>837</v>
      </c>
      <c r="B1489" s="195" t="s">
        <v>838</v>
      </c>
      <c r="C1489" s="193" t="s">
        <v>1313</v>
      </c>
      <c r="D1489" s="20" t="s">
        <v>1321</v>
      </c>
      <c r="E1489" s="193">
        <v>103.5</v>
      </c>
      <c r="F1489" s="193">
        <v>98.2</v>
      </c>
      <c r="G1489" s="193">
        <v>101.3</v>
      </c>
      <c r="H1489" s="193"/>
    </row>
    <row r="1490" spans="1:8" x14ac:dyDescent="0.3">
      <c r="A1490" s="195" t="s">
        <v>837</v>
      </c>
      <c r="B1490" s="195" t="s">
        <v>838</v>
      </c>
      <c r="C1490" s="193" t="s">
        <v>361</v>
      </c>
      <c r="D1490" s="20" t="s">
        <v>1314</v>
      </c>
      <c r="E1490" s="193">
        <v>114.6</v>
      </c>
      <c r="F1490" s="193">
        <v>89.8</v>
      </c>
      <c r="G1490" s="193">
        <v>102</v>
      </c>
      <c r="H1490" s="193"/>
    </row>
    <row r="1491" spans="1:8" x14ac:dyDescent="0.3">
      <c r="A1491" s="195" t="s">
        <v>837</v>
      </c>
      <c r="B1491" s="195" t="s">
        <v>838</v>
      </c>
      <c r="C1491" s="193" t="s">
        <v>1315</v>
      </c>
      <c r="D1491" s="20" t="s">
        <v>1316</v>
      </c>
      <c r="E1491" s="193">
        <v>139.19999999999999</v>
      </c>
      <c r="F1491" s="193">
        <v>85.4</v>
      </c>
      <c r="G1491" s="193">
        <v>136.19999999999999</v>
      </c>
      <c r="H1491" s="193"/>
    </row>
    <row r="1492" spans="1:8" x14ac:dyDescent="0.3">
      <c r="A1492" s="195" t="s">
        <v>837</v>
      </c>
      <c r="B1492" s="195" t="s">
        <v>838</v>
      </c>
      <c r="C1492" s="193" t="s">
        <v>1317</v>
      </c>
      <c r="D1492" s="20" t="s">
        <v>1318</v>
      </c>
      <c r="E1492" s="193">
        <v>123.4</v>
      </c>
      <c r="F1492" s="193">
        <v>99.9</v>
      </c>
      <c r="G1492" s="193">
        <v>107.4</v>
      </c>
      <c r="H1492" s="193"/>
    </row>
    <row r="1493" spans="1:8" x14ac:dyDescent="0.3">
      <c r="A1493" s="195" t="s">
        <v>837</v>
      </c>
      <c r="B1493" s="195" t="s">
        <v>838</v>
      </c>
      <c r="C1493" s="196" t="s">
        <v>1319</v>
      </c>
      <c r="D1493" s="203" t="s">
        <v>1320</v>
      </c>
      <c r="E1493" s="193">
        <v>118.3</v>
      </c>
      <c r="F1493" s="193">
        <v>91.7</v>
      </c>
      <c r="G1493" s="193">
        <v>106.6</v>
      </c>
      <c r="H1493" s="193"/>
    </row>
    <row r="1494" spans="1:8" x14ac:dyDescent="0.3">
      <c r="A1494" s="195" t="s">
        <v>877</v>
      </c>
      <c r="B1494" s="195" t="s">
        <v>878</v>
      </c>
      <c r="C1494" s="193" t="s">
        <v>1302</v>
      </c>
      <c r="D1494" s="20" t="s">
        <v>1303</v>
      </c>
      <c r="E1494" s="193">
        <v>138.5</v>
      </c>
      <c r="F1494" s="193">
        <v>76.099999999999994</v>
      </c>
      <c r="G1494" s="193">
        <v>100.8</v>
      </c>
      <c r="H1494" s="193"/>
    </row>
    <row r="1495" spans="1:8" x14ac:dyDescent="0.3">
      <c r="A1495" s="195" t="s">
        <v>877</v>
      </c>
      <c r="B1495" s="195" t="s">
        <v>878</v>
      </c>
      <c r="C1495" s="193" t="s">
        <v>1304</v>
      </c>
      <c r="D1495" s="20" t="s">
        <v>1305</v>
      </c>
      <c r="E1495" s="193">
        <v>129.30000000000001</v>
      </c>
      <c r="F1495" s="193">
        <v>73.5</v>
      </c>
      <c r="G1495" s="193">
        <v>107</v>
      </c>
      <c r="H1495" s="193"/>
    </row>
    <row r="1496" spans="1:8" x14ac:dyDescent="0.3">
      <c r="A1496" s="195" t="s">
        <v>877</v>
      </c>
      <c r="B1496" s="195" t="s">
        <v>878</v>
      </c>
      <c r="C1496" s="193" t="s">
        <v>1306</v>
      </c>
      <c r="D1496" s="20" t="s">
        <v>1307</v>
      </c>
      <c r="E1496" s="193">
        <v>181.4</v>
      </c>
      <c r="F1496" s="193">
        <v>66.599999999999994</v>
      </c>
      <c r="G1496" s="193">
        <v>127.2</v>
      </c>
      <c r="H1496" s="193"/>
    </row>
    <row r="1497" spans="1:8" x14ac:dyDescent="0.3">
      <c r="A1497" s="195" t="s">
        <v>877</v>
      </c>
      <c r="B1497" s="195" t="s">
        <v>878</v>
      </c>
      <c r="C1497" s="193" t="s">
        <v>1308</v>
      </c>
      <c r="D1497" s="20" t="s">
        <v>1309</v>
      </c>
      <c r="E1497" s="193">
        <v>141.69999999999999</v>
      </c>
      <c r="F1497" s="193">
        <v>70.8</v>
      </c>
      <c r="G1497" s="193">
        <v>114.2</v>
      </c>
      <c r="H1497" s="193"/>
    </row>
    <row r="1498" spans="1:8" x14ac:dyDescent="0.3">
      <c r="A1498" s="195" t="s">
        <v>877</v>
      </c>
      <c r="B1498" s="195" t="s">
        <v>878</v>
      </c>
      <c r="C1498" s="193" t="s">
        <v>1310</v>
      </c>
      <c r="D1498" s="20" t="s">
        <v>27</v>
      </c>
      <c r="E1498" s="193">
        <v>114.1</v>
      </c>
      <c r="F1498" s="193">
        <v>68.599999999999994</v>
      </c>
      <c r="G1498" s="193">
        <v>95</v>
      </c>
    </row>
    <row r="1499" spans="1:8" x14ac:dyDescent="0.3">
      <c r="A1499" s="195" t="s">
        <v>877</v>
      </c>
      <c r="B1499" s="195" t="s">
        <v>878</v>
      </c>
      <c r="C1499" s="193" t="s">
        <v>1311</v>
      </c>
      <c r="D1499" s="20" t="s">
        <v>1312</v>
      </c>
      <c r="E1499" s="193">
        <v>131.1</v>
      </c>
      <c r="F1499" s="193">
        <v>65</v>
      </c>
      <c r="G1499" s="193">
        <v>111.8</v>
      </c>
    </row>
    <row r="1500" spans="1:8" x14ac:dyDescent="0.3">
      <c r="A1500" s="195" t="s">
        <v>877</v>
      </c>
      <c r="B1500" s="195" t="s">
        <v>878</v>
      </c>
      <c r="C1500" s="193" t="s">
        <v>1313</v>
      </c>
      <c r="D1500" s="20" t="s">
        <v>1321</v>
      </c>
      <c r="E1500" s="193">
        <v>103.7</v>
      </c>
      <c r="F1500" s="193">
        <v>83.2</v>
      </c>
      <c r="G1500" s="193">
        <v>95</v>
      </c>
    </row>
    <row r="1501" spans="1:8" x14ac:dyDescent="0.3">
      <c r="A1501" s="195" t="s">
        <v>877</v>
      </c>
      <c r="B1501" s="195" t="s">
        <v>878</v>
      </c>
      <c r="C1501" s="193" t="s">
        <v>361</v>
      </c>
      <c r="D1501" s="20" t="s">
        <v>1314</v>
      </c>
      <c r="E1501" s="193">
        <v>116.2</v>
      </c>
      <c r="F1501" s="193">
        <v>69.099999999999994</v>
      </c>
      <c r="G1501" s="193">
        <v>92.4</v>
      </c>
    </row>
    <row r="1502" spans="1:8" x14ac:dyDescent="0.3">
      <c r="A1502" s="195" t="s">
        <v>877</v>
      </c>
      <c r="B1502" s="195" t="s">
        <v>878</v>
      </c>
      <c r="C1502" s="193" t="s">
        <v>1315</v>
      </c>
      <c r="D1502" s="20" t="s">
        <v>1316</v>
      </c>
      <c r="E1502" s="193">
        <v>131.1</v>
      </c>
      <c r="F1502" s="193">
        <v>70.099999999999994</v>
      </c>
      <c r="G1502" s="193">
        <v>127.7</v>
      </c>
    </row>
    <row r="1503" spans="1:8" x14ac:dyDescent="0.3">
      <c r="A1503" s="195" t="s">
        <v>877</v>
      </c>
      <c r="B1503" s="195" t="s">
        <v>878</v>
      </c>
      <c r="C1503" s="193" t="s">
        <v>1317</v>
      </c>
      <c r="D1503" s="20" t="s">
        <v>1318</v>
      </c>
      <c r="E1503" s="193">
        <v>144.1</v>
      </c>
      <c r="F1503" s="193">
        <v>98.7</v>
      </c>
      <c r="G1503" s="193">
        <v>113.2</v>
      </c>
    </row>
    <row r="1504" spans="1:8" x14ac:dyDescent="0.3">
      <c r="A1504" s="195" t="s">
        <v>877</v>
      </c>
      <c r="B1504" s="195" t="s">
        <v>878</v>
      </c>
      <c r="C1504" s="196" t="s">
        <v>1319</v>
      </c>
      <c r="D1504" s="203" t="s">
        <v>1320</v>
      </c>
      <c r="E1504" s="193">
        <v>126.4</v>
      </c>
      <c r="F1504" s="193">
        <v>74.8</v>
      </c>
      <c r="G1504" s="193">
        <v>103.7</v>
      </c>
    </row>
    <row r="1505" spans="1:7" x14ac:dyDescent="0.3">
      <c r="A1505" s="195" t="s">
        <v>879</v>
      </c>
      <c r="B1505" s="195" t="s">
        <v>880</v>
      </c>
      <c r="C1505" s="193" t="s">
        <v>1302</v>
      </c>
      <c r="D1505" s="20" t="s">
        <v>1303</v>
      </c>
      <c r="E1505" s="193">
        <v>147.1</v>
      </c>
      <c r="F1505" s="193">
        <v>65.099999999999994</v>
      </c>
      <c r="G1505" s="193">
        <v>97.7</v>
      </c>
    </row>
    <row r="1506" spans="1:7" x14ac:dyDescent="0.3">
      <c r="A1506" s="195" t="s">
        <v>879</v>
      </c>
      <c r="B1506" s="195" t="s">
        <v>880</v>
      </c>
      <c r="C1506" s="193" t="s">
        <v>1304</v>
      </c>
      <c r="D1506" s="20" t="s">
        <v>1305</v>
      </c>
      <c r="E1506" s="193">
        <v>136.80000000000001</v>
      </c>
      <c r="F1506" s="193">
        <v>62.5</v>
      </c>
      <c r="G1506" s="193">
        <v>107.1</v>
      </c>
    </row>
    <row r="1507" spans="1:7" x14ac:dyDescent="0.3">
      <c r="A1507" s="195" t="s">
        <v>879</v>
      </c>
      <c r="B1507" s="195" t="s">
        <v>880</v>
      </c>
      <c r="C1507" s="193" t="s">
        <v>1306</v>
      </c>
      <c r="D1507" s="20" t="s">
        <v>1307</v>
      </c>
      <c r="E1507" s="193">
        <v>141.5</v>
      </c>
      <c r="F1507" s="193">
        <v>60.4</v>
      </c>
      <c r="G1507" s="193">
        <v>103.2</v>
      </c>
    </row>
    <row r="1508" spans="1:7" x14ac:dyDescent="0.3">
      <c r="A1508" s="195" t="s">
        <v>879</v>
      </c>
      <c r="B1508" s="195" t="s">
        <v>880</v>
      </c>
      <c r="C1508" s="193" t="s">
        <v>1308</v>
      </c>
      <c r="D1508" s="20" t="s">
        <v>1309</v>
      </c>
      <c r="E1508" s="193">
        <v>127.9</v>
      </c>
      <c r="F1508" s="193">
        <v>58.6</v>
      </c>
      <c r="G1508" s="193">
        <v>100.9</v>
      </c>
    </row>
    <row r="1509" spans="1:7" x14ac:dyDescent="0.3">
      <c r="A1509" s="195" t="s">
        <v>879</v>
      </c>
      <c r="B1509" s="195" t="s">
        <v>880</v>
      </c>
      <c r="C1509" s="193" t="s">
        <v>1310</v>
      </c>
      <c r="D1509" s="20" t="s">
        <v>27</v>
      </c>
      <c r="E1509" s="193">
        <v>101.8</v>
      </c>
      <c r="F1509" s="193">
        <v>55.4</v>
      </c>
      <c r="G1509" s="193">
        <v>82.3</v>
      </c>
    </row>
    <row r="1510" spans="1:7" x14ac:dyDescent="0.3">
      <c r="A1510" s="195" t="s">
        <v>879</v>
      </c>
      <c r="B1510" s="195" t="s">
        <v>880</v>
      </c>
      <c r="C1510" s="193" t="s">
        <v>1311</v>
      </c>
      <c r="D1510" s="20" t="s">
        <v>1312</v>
      </c>
      <c r="E1510" s="193">
        <v>131.1</v>
      </c>
      <c r="F1510" s="193">
        <v>64</v>
      </c>
      <c r="G1510" s="193">
        <v>111.5</v>
      </c>
    </row>
    <row r="1511" spans="1:7" x14ac:dyDescent="0.3">
      <c r="A1511" s="195" t="s">
        <v>879</v>
      </c>
      <c r="B1511" s="195" t="s">
        <v>880</v>
      </c>
      <c r="C1511" s="193" t="s">
        <v>1313</v>
      </c>
      <c r="D1511" s="20" t="s">
        <v>1321</v>
      </c>
      <c r="E1511" s="193">
        <v>104.1</v>
      </c>
      <c r="F1511" s="193">
        <v>63.1</v>
      </c>
      <c r="G1511" s="193">
        <v>86.8</v>
      </c>
    </row>
    <row r="1512" spans="1:7" x14ac:dyDescent="0.3">
      <c r="A1512" s="195" t="s">
        <v>879</v>
      </c>
      <c r="B1512" s="195" t="s">
        <v>880</v>
      </c>
      <c r="C1512" s="193" t="s">
        <v>361</v>
      </c>
      <c r="D1512" s="20" t="s">
        <v>1314</v>
      </c>
      <c r="E1512" s="193">
        <v>107.8</v>
      </c>
      <c r="F1512" s="193">
        <v>51.9</v>
      </c>
      <c r="G1512" s="193">
        <v>79.5</v>
      </c>
    </row>
    <row r="1513" spans="1:7" x14ac:dyDescent="0.3">
      <c r="A1513" s="195" t="s">
        <v>879</v>
      </c>
      <c r="B1513" s="195" t="s">
        <v>880</v>
      </c>
      <c r="C1513" s="193" t="s">
        <v>1315</v>
      </c>
      <c r="D1513" s="20" t="s">
        <v>1316</v>
      </c>
      <c r="E1513" s="193">
        <v>131.1</v>
      </c>
      <c r="F1513" s="193">
        <v>55.1</v>
      </c>
      <c r="G1513" s="193">
        <v>126.9</v>
      </c>
    </row>
    <row r="1514" spans="1:7" x14ac:dyDescent="0.3">
      <c r="A1514" s="195" t="s">
        <v>879</v>
      </c>
      <c r="B1514" s="195" t="s">
        <v>880</v>
      </c>
      <c r="C1514" s="193" t="s">
        <v>1317</v>
      </c>
      <c r="D1514" s="20" t="s">
        <v>1318</v>
      </c>
      <c r="E1514" s="193">
        <v>127.8</v>
      </c>
      <c r="F1514" s="193">
        <v>94.9</v>
      </c>
      <c r="G1514" s="193">
        <v>105.4</v>
      </c>
    </row>
    <row r="1515" spans="1:7" x14ac:dyDescent="0.3">
      <c r="A1515" s="195" t="s">
        <v>879</v>
      </c>
      <c r="B1515" s="195" t="s">
        <v>880</v>
      </c>
      <c r="C1515" s="196" t="s">
        <v>1319</v>
      </c>
      <c r="D1515" s="203" t="s">
        <v>1320</v>
      </c>
      <c r="E1515" s="193">
        <v>120.4</v>
      </c>
      <c r="F1515" s="193">
        <v>61.9</v>
      </c>
      <c r="G1515" s="193">
        <v>94.6</v>
      </c>
    </row>
    <row r="1516" spans="1:7" x14ac:dyDescent="0.3">
      <c r="A1516" s="195" t="s">
        <v>881</v>
      </c>
      <c r="B1516" s="195" t="s">
        <v>882</v>
      </c>
      <c r="C1516" s="193" t="s">
        <v>1302</v>
      </c>
      <c r="D1516" s="20" t="s">
        <v>1303</v>
      </c>
      <c r="E1516" s="193">
        <v>163.30000000000001</v>
      </c>
      <c r="F1516" s="193">
        <v>96.3</v>
      </c>
      <c r="G1516" s="193">
        <v>122.9</v>
      </c>
    </row>
    <row r="1517" spans="1:7" x14ac:dyDescent="0.3">
      <c r="A1517" s="195" t="s">
        <v>881</v>
      </c>
      <c r="B1517" s="195" t="s">
        <v>882</v>
      </c>
      <c r="C1517" s="193" t="s">
        <v>1304</v>
      </c>
      <c r="D1517" s="20" t="s">
        <v>1305</v>
      </c>
      <c r="E1517" s="193">
        <v>144.5</v>
      </c>
      <c r="F1517" s="193">
        <v>91.2</v>
      </c>
      <c r="G1517" s="193">
        <v>123.2</v>
      </c>
    </row>
    <row r="1518" spans="1:7" x14ac:dyDescent="0.3">
      <c r="A1518" s="195" t="s">
        <v>881</v>
      </c>
      <c r="B1518" s="195" t="s">
        <v>882</v>
      </c>
      <c r="C1518" s="193" t="s">
        <v>1306</v>
      </c>
      <c r="D1518" s="20" t="s">
        <v>1307</v>
      </c>
      <c r="E1518" s="193">
        <v>146.9</v>
      </c>
      <c r="F1518" s="193">
        <v>85.8</v>
      </c>
      <c r="G1518" s="193">
        <v>118</v>
      </c>
    </row>
    <row r="1519" spans="1:7" x14ac:dyDescent="0.3">
      <c r="A1519" s="195" t="s">
        <v>881</v>
      </c>
      <c r="B1519" s="195" t="s">
        <v>882</v>
      </c>
      <c r="C1519" s="193" t="s">
        <v>1308</v>
      </c>
      <c r="D1519" s="20" t="s">
        <v>1309</v>
      </c>
      <c r="E1519" s="193">
        <v>125.6</v>
      </c>
      <c r="F1519" s="193">
        <v>91.9</v>
      </c>
      <c r="G1519" s="193">
        <v>112.5</v>
      </c>
    </row>
    <row r="1520" spans="1:7" x14ac:dyDescent="0.3">
      <c r="A1520" s="195" t="s">
        <v>881</v>
      </c>
      <c r="B1520" s="195" t="s">
        <v>882</v>
      </c>
      <c r="C1520" s="193" t="s">
        <v>1310</v>
      </c>
      <c r="D1520" s="20" t="s">
        <v>27</v>
      </c>
      <c r="E1520" s="193">
        <v>103.8</v>
      </c>
      <c r="F1520" s="193">
        <v>94.1</v>
      </c>
      <c r="G1520" s="193">
        <v>99.7</v>
      </c>
    </row>
    <row r="1521" spans="1:7" x14ac:dyDescent="0.3">
      <c r="A1521" s="195" t="s">
        <v>881</v>
      </c>
      <c r="B1521" s="195" t="s">
        <v>882</v>
      </c>
      <c r="C1521" s="193" t="s">
        <v>1311</v>
      </c>
      <c r="D1521" s="20" t="s">
        <v>1312</v>
      </c>
      <c r="E1521" s="193">
        <v>131.1</v>
      </c>
      <c r="F1521" s="193">
        <v>95.1</v>
      </c>
      <c r="G1521" s="193">
        <v>120.6</v>
      </c>
    </row>
    <row r="1522" spans="1:7" x14ac:dyDescent="0.3">
      <c r="A1522" s="195" t="s">
        <v>881</v>
      </c>
      <c r="B1522" s="195" t="s">
        <v>882</v>
      </c>
      <c r="C1522" s="193" t="s">
        <v>1313</v>
      </c>
      <c r="D1522" s="20" t="s">
        <v>1321</v>
      </c>
      <c r="E1522" s="193">
        <v>105.4</v>
      </c>
      <c r="F1522" s="193">
        <v>90</v>
      </c>
      <c r="G1522" s="193">
        <v>98.9</v>
      </c>
    </row>
    <row r="1523" spans="1:7" x14ac:dyDescent="0.3">
      <c r="A1523" s="195" t="s">
        <v>881</v>
      </c>
      <c r="B1523" s="195" t="s">
        <v>882</v>
      </c>
      <c r="C1523" s="193" t="s">
        <v>361</v>
      </c>
      <c r="D1523" s="20" t="s">
        <v>1314</v>
      </c>
      <c r="E1523" s="193">
        <v>106.4</v>
      </c>
      <c r="F1523" s="193">
        <v>100.6</v>
      </c>
      <c r="G1523" s="193">
        <v>103.5</v>
      </c>
    </row>
    <row r="1524" spans="1:7" x14ac:dyDescent="0.3">
      <c r="A1524" s="195" t="s">
        <v>881</v>
      </c>
      <c r="B1524" s="195" t="s">
        <v>882</v>
      </c>
      <c r="C1524" s="193" t="s">
        <v>1315</v>
      </c>
      <c r="D1524" s="20" t="s">
        <v>1316</v>
      </c>
      <c r="E1524" s="193">
        <v>131.1</v>
      </c>
      <c r="F1524" s="193">
        <v>94.1</v>
      </c>
      <c r="G1524" s="193">
        <v>129.1</v>
      </c>
    </row>
    <row r="1525" spans="1:7" x14ac:dyDescent="0.3">
      <c r="A1525" s="195" t="s">
        <v>881</v>
      </c>
      <c r="B1525" s="195" t="s">
        <v>882</v>
      </c>
      <c r="C1525" s="193" t="s">
        <v>1317</v>
      </c>
      <c r="D1525" s="20" t="s">
        <v>1318</v>
      </c>
      <c r="E1525" s="193">
        <v>139.69999999999999</v>
      </c>
      <c r="F1525" s="193">
        <v>104.8</v>
      </c>
      <c r="G1525" s="193">
        <v>115.9</v>
      </c>
    </row>
    <row r="1526" spans="1:7" x14ac:dyDescent="0.3">
      <c r="A1526" s="195" t="s">
        <v>881</v>
      </c>
      <c r="B1526" s="195" t="s">
        <v>882</v>
      </c>
      <c r="C1526" s="196" t="s">
        <v>1319</v>
      </c>
      <c r="D1526" s="203" t="s">
        <v>1320</v>
      </c>
      <c r="E1526" s="193">
        <v>123.9</v>
      </c>
      <c r="F1526" s="193">
        <v>93.4</v>
      </c>
      <c r="G1526" s="193">
        <v>110.5</v>
      </c>
    </row>
    <row r="1527" spans="1:7" x14ac:dyDescent="0.3">
      <c r="A1527" s="195" t="s">
        <v>837</v>
      </c>
      <c r="B1527" s="195" t="s">
        <v>883</v>
      </c>
      <c r="C1527" s="193" t="s">
        <v>1302</v>
      </c>
      <c r="D1527" s="20" t="s">
        <v>1303</v>
      </c>
      <c r="E1527" s="193">
        <v>131.5</v>
      </c>
      <c r="F1527" s="193">
        <v>98.6</v>
      </c>
      <c r="G1527" s="193">
        <v>111.7</v>
      </c>
    </row>
    <row r="1528" spans="1:7" x14ac:dyDescent="0.3">
      <c r="A1528" s="195" t="s">
        <v>837</v>
      </c>
      <c r="B1528" s="195" t="s">
        <v>883</v>
      </c>
      <c r="C1528" s="193" t="s">
        <v>1304</v>
      </c>
      <c r="D1528" s="20" t="s">
        <v>1305</v>
      </c>
      <c r="E1528" s="193">
        <v>127.8</v>
      </c>
      <c r="F1528" s="193">
        <v>93</v>
      </c>
      <c r="G1528" s="193">
        <v>113.9</v>
      </c>
    </row>
    <row r="1529" spans="1:7" x14ac:dyDescent="0.3">
      <c r="A1529" s="195" t="s">
        <v>837</v>
      </c>
      <c r="B1529" s="195" t="s">
        <v>883</v>
      </c>
      <c r="C1529" s="193" t="s">
        <v>1306</v>
      </c>
      <c r="D1529" s="20" t="s">
        <v>1307</v>
      </c>
      <c r="E1529" s="193">
        <v>135.4</v>
      </c>
      <c r="F1529" s="193">
        <v>99.3</v>
      </c>
      <c r="G1529" s="193">
        <v>118.4</v>
      </c>
    </row>
    <row r="1530" spans="1:7" x14ac:dyDescent="0.3">
      <c r="A1530" s="195" t="s">
        <v>837</v>
      </c>
      <c r="B1530" s="195" t="s">
        <v>883</v>
      </c>
      <c r="C1530" s="193" t="s">
        <v>1308</v>
      </c>
      <c r="D1530" s="20" t="s">
        <v>1309</v>
      </c>
      <c r="E1530" s="193">
        <v>118.7</v>
      </c>
      <c r="F1530" s="193">
        <v>92.1</v>
      </c>
      <c r="G1530" s="193">
        <v>108.4</v>
      </c>
    </row>
    <row r="1531" spans="1:7" x14ac:dyDescent="0.3">
      <c r="A1531" s="195" t="s">
        <v>837</v>
      </c>
      <c r="B1531" s="195" t="s">
        <v>883</v>
      </c>
      <c r="C1531" s="193" t="s">
        <v>1310</v>
      </c>
      <c r="D1531" s="20" t="s">
        <v>27</v>
      </c>
      <c r="E1531" s="193">
        <v>105.1</v>
      </c>
      <c r="F1531" s="193">
        <v>93.5</v>
      </c>
      <c r="G1531" s="193">
        <v>100.2</v>
      </c>
    </row>
    <row r="1532" spans="1:7" x14ac:dyDescent="0.3">
      <c r="A1532" s="195" t="s">
        <v>837</v>
      </c>
      <c r="B1532" s="195" t="s">
        <v>883</v>
      </c>
      <c r="C1532" s="193" t="s">
        <v>1311</v>
      </c>
      <c r="D1532" s="20" t="s">
        <v>1312</v>
      </c>
      <c r="E1532" s="193">
        <v>131.1</v>
      </c>
      <c r="F1532" s="193">
        <v>99.1</v>
      </c>
      <c r="G1532" s="193">
        <v>121.8</v>
      </c>
    </row>
    <row r="1533" spans="1:7" x14ac:dyDescent="0.3">
      <c r="A1533" s="195" t="s">
        <v>837</v>
      </c>
      <c r="B1533" s="195" t="s">
        <v>883</v>
      </c>
      <c r="C1533" s="193" t="s">
        <v>1313</v>
      </c>
      <c r="D1533" s="20" t="s">
        <v>1321</v>
      </c>
      <c r="E1533" s="193">
        <v>105.7</v>
      </c>
      <c r="F1533" s="193">
        <v>88.2</v>
      </c>
      <c r="G1533" s="193">
        <v>98.3</v>
      </c>
    </row>
    <row r="1534" spans="1:7" x14ac:dyDescent="0.3">
      <c r="A1534" s="195" t="s">
        <v>837</v>
      </c>
      <c r="B1534" s="195" t="s">
        <v>883</v>
      </c>
      <c r="C1534" s="193" t="s">
        <v>361</v>
      </c>
      <c r="D1534" s="20" t="s">
        <v>1314</v>
      </c>
      <c r="E1534" s="193">
        <v>101.9</v>
      </c>
      <c r="F1534" s="193">
        <v>99.7</v>
      </c>
      <c r="G1534" s="193">
        <v>100.8</v>
      </c>
    </row>
    <row r="1535" spans="1:7" x14ac:dyDescent="0.3">
      <c r="A1535" s="195" t="s">
        <v>837</v>
      </c>
      <c r="B1535" s="195" t="s">
        <v>883</v>
      </c>
      <c r="C1535" s="193" t="s">
        <v>1315</v>
      </c>
      <c r="D1535" s="20" t="s">
        <v>1316</v>
      </c>
      <c r="E1535" s="193">
        <v>131.1</v>
      </c>
      <c r="F1535" s="193">
        <v>91.3</v>
      </c>
      <c r="G1535" s="193">
        <v>128.9</v>
      </c>
    </row>
    <row r="1536" spans="1:7" x14ac:dyDescent="0.3">
      <c r="A1536" s="195" t="s">
        <v>837</v>
      </c>
      <c r="B1536" s="195" t="s">
        <v>883</v>
      </c>
      <c r="C1536" s="193" t="s">
        <v>1317</v>
      </c>
      <c r="D1536" s="20" t="s">
        <v>1318</v>
      </c>
      <c r="E1536" s="193">
        <v>114.9</v>
      </c>
      <c r="F1536" s="193">
        <v>112.5</v>
      </c>
      <c r="G1536" s="193">
        <v>113.3</v>
      </c>
    </row>
    <row r="1537" spans="1:7" x14ac:dyDescent="0.3">
      <c r="A1537" s="195" t="s">
        <v>837</v>
      </c>
      <c r="B1537" s="195" t="s">
        <v>883</v>
      </c>
      <c r="C1537" s="196" t="s">
        <v>1319</v>
      </c>
      <c r="D1537" s="203" t="s">
        <v>1320</v>
      </c>
      <c r="E1537" s="193">
        <v>116.9</v>
      </c>
      <c r="F1537" s="193">
        <v>95.6</v>
      </c>
      <c r="G1537" s="193">
        <v>107.5</v>
      </c>
    </row>
    <row r="1538" spans="1:7" x14ac:dyDescent="0.3">
      <c r="A1538" s="195" t="s">
        <v>884</v>
      </c>
      <c r="B1538" s="195" t="s">
        <v>885</v>
      </c>
      <c r="C1538" s="193" t="s">
        <v>1302</v>
      </c>
      <c r="D1538" s="20" t="s">
        <v>1303</v>
      </c>
      <c r="E1538" s="193">
        <v>124.2</v>
      </c>
      <c r="F1538" s="193">
        <v>90.6</v>
      </c>
      <c r="G1538" s="193">
        <v>104</v>
      </c>
    </row>
    <row r="1539" spans="1:7" x14ac:dyDescent="0.3">
      <c r="A1539" s="195" t="s">
        <v>884</v>
      </c>
      <c r="B1539" s="195" t="s">
        <v>885</v>
      </c>
      <c r="C1539" s="193" t="s">
        <v>1304</v>
      </c>
      <c r="D1539" s="20" t="s">
        <v>1305</v>
      </c>
      <c r="E1539" s="193">
        <v>113.4</v>
      </c>
      <c r="F1539" s="193">
        <v>87.2</v>
      </c>
      <c r="G1539" s="193">
        <v>102.9</v>
      </c>
    </row>
    <row r="1540" spans="1:7" x14ac:dyDescent="0.3">
      <c r="A1540" s="195" t="s">
        <v>884</v>
      </c>
      <c r="B1540" s="195" t="s">
        <v>885</v>
      </c>
      <c r="C1540" s="193" t="s">
        <v>1306</v>
      </c>
      <c r="D1540" s="20" t="s">
        <v>1307</v>
      </c>
      <c r="E1540" s="193">
        <v>132.80000000000001</v>
      </c>
      <c r="F1540" s="193">
        <v>83.5</v>
      </c>
      <c r="G1540" s="193">
        <v>109.5</v>
      </c>
    </row>
    <row r="1541" spans="1:7" x14ac:dyDescent="0.3">
      <c r="A1541" s="195" t="s">
        <v>884</v>
      </c>
      <c r="B1541" s="195" t="s">
        <v>885</v>
      </c>
      <c r="C1541" s="193" t="s">
        <v>1308</v>
      </c>
      <c r="D1541" s="20" t="s">
        <v>1309</v>
      </c>
      <c r="E1541" s="193">
        <v>111</v>
      </c>
      <c r="F1541" s="193">
        <v>88.2</v>
      </c>
      <c r="G1541" s="193">
        <v>102.1</v>
      </c>
    </row>
    <row r="1542" spans="1:7" x14ac:dyDescent="0.3">
      <c r="A1542" s="195" t="s">
        <v>884</v>
      </c>
      <c r="B1542" s="195" t="s">
        <v>885</v>
      </c>
      <c r="C1542" s="193" t="s">
        <v>1310</v>
      </c>
      <c r="D1542" s="20" t="s">
        <v>27</v>
      </c>
      <c r="E1542" s="193">
        <v>103</v>
      </c>
      <c r="F1542" s="193">
        <v>87</v>
      </c>
      <c r="G1542" s="193">
        <v>96.3</v>
      </c>
    </row>
    <row r="1543" spans="1:7" x14ac:dyDescent="0.3">
      <c r="A1543" s="195" t="s">
        <v>884</v>
      </c>
      <c r="B1543" s="195" t="s">
        <v>885</v>
      </c>
      <c r="C1543" s="193" t="s">
        <v>1311</v>
      </c>
      <c r="D1543" s="20" t="s">
        <v>1312</v>
      </c>
      <c r="E1543" s="193">
        <v>131.1</v>
      </c>
      <c r="F1543" s="193">
        <v>82.6</v>
      </c>
      <c r="G1543" s="193">
        <v>116.9</v>
      </c>
    </row>
    <row r="1544" spans="1:7" x14ac:dyDescent="0.3">
      <c r="A1544" s="195" t="s">
        <v>884</v>
      </c>
      <c r="B1544" s="195" t="s">
        <v>885</v>
      </c>
      <c r="C1544" s="193" t="s">
        <v>1313</v>
      </c>
      <c r="D1544" s="20" t="s">
        <v>1321</v>
      </c>
      <c r="E1544" s="193">
        <v>104.7</v>
      </c>
      <c r="F1544" s="193">
        <v>90</v>
      </c>
      <c r="G1544" s="193">
        <v>98.5</v>
      </c>
    </row>
    <row r="1545" spans="1:7" x14ac:dyDescent="0.3">
      <c r="A1545" s="195" t="s">
        <v>884</v>
      </c>
      <c r="B1545" s="195" t="s">
        <v>885</v>
      </c>
      <c r="C1545" s="193" t="s">
        <v>361</v>
      </c>
      <c r="D1545" s="20" t="s">
        <v>1314</v>
      </c>
      <c r="E1545" s="193">
        <v>107</v>
      </c>
      <c r="F1545" s="193">
        <v>72.099999999999994</v>
      </c>
      <c r="G1545" s="193">
        <v>89.3</v>
      </c>
    </row>
    <row r="1546" spans="1:7" x14ac:dyDescent="0.3">
      <c r="A1546" s="195" t="s">
        <v>884</v>
      </c>
      <c r="B1546" s="195" t="s">
        <v>885</v>
      </c>
      <c r="C1546" s="193" t="s">
        <v>1315</v>
      </c>
      <c r="D1546" s="20" t="s">
        <v>1316</v>
      </c>
      <c r="E1546" s="193">
        <v>131.1</v>
      </c>
      <c r="F1546" s="193">
        <v>84.3</v>
      </c>
      <c r="G1546" s="193">
        <v>128.5</v>
      </c>
    </row>
    <row r="1547" spans="1:7" x14ac:dyDescent="0.3">
      <c r="A1547" s="195" t="s">
        <v>884</v>
      </c>
      <c r="B1547" s="195" t="s">
        <v>885</v>
      </c>
      <c r="C1547" s="193" t="s">
        <v>1317</v>
      </c>
      <c r="D1547" s="20" t="s">
        <v>1318</v>
      </c>
      <c r="E1547" s="193">
        <v>103.1</v>
      </c>
      <c r="F1547" s="193">
        <v>99</v>
      </c>
      <c r="G1547" s="193">
        <v>100.3</v>
      </c>
    </row>
    <row r="1548" spans="1:7" x14ac:dyDescent="0.3">
      <c r="A1548" s="195" t="s">
        <v>884</v>
      </c>
      <c r="B1548" s="195" t="s">
        <v>885</v>
      </c>
      <c r="C1548" s="196" t="s">
        <v>1319</v>
      </c>
      <c r="D1548" s="203" t="s">
        <v>1320</v>
      </c>
      <c r="E1548" s="193">
        <v>112.8</v>
      </c>
      <c r="F1548" s="193">
        <v>86.1</v>
      </c>
      <c r="G1548" s="193">
        <v>101.1</v>
      </c>
    </row>
    <row r="1549" spans="1:7" x14ac:dyDescent="0.3">
      <c r="A1549" s="195" t="s">
        <v>884</v>
      </c>
      <c r="B1549" s="195" t="s">
        <v>886</v>
      </c>
      <c r="C1549" s="193" t="s">
        <v>1302</v>
      </c>
      <c r="D1549" s="20" t="s">
        <v>1303</v>
      </c>
      <c r="E1549" s="193">
        <v>138.80000000000001</v>
      </c>
      <c r="F1549" s="193">
        <v>95.8</v>
      </c>
      <c r="G1549" s="193">
        <v>112.9</v>
      </c>
    </row>
    <row r="1550" spans="1:7" x14ac:dyDescent="0.3">
      <c r="A1550" s="195" t="s">
        <v>884</v>
      </c>
      <c r="B1550" s="195" t="s">
        <v>886</v>
      </c>
      <c r="C1550" s="193" t="s">
        <v>1304</v>
      </c>
      <c r="D1550" s="20" t="s">
        <v>1305</v>
      </c>
      <c r="E1550" s="193">
        <v>132.5</v>
      </c>
      <c r="F1550" s="193">
        <v>93</v>
      </c>
      <c r="G1550" s="193">
        <v>116.7</v>
      </c>
    </row>
    <row r="1551" spans="1:7" x14ac:dyDescent="0.3">
      <c r="A1551" s="195" t="s">
        <v>884</v>
      </c>
      <c r="B1551" s="195" t="s">
        <v>886</v>
      </c>
      <c r="C1551" s="193" t="s">
        <v>1306</v>
      </c>
      <c r="D1551" s="20" t="s">
        <v>1307</v>
      </c>
      <c r="E1551" s="193">
        <v>131.5</v>
      </c>
      <c r="F1551" s="193">
        <v>90.9</v>
      </c>
      <c r="G1551" s="193">
        <v>112.3</v>
      </c>
    </row>
    <row r="1552" spans="1:7" x14ac:dyDescent="0.3">
      <c r="A1552" s="195" t="s">
        <v>884</v>
      </c>
      <c r="B1552" s="195" t="s">
        <v>886</v>
      </c>
      <c r="C1552" s="193" t="s">
        <v>1308</v>
      </c>
      <c r="D1552" s="20" t="s">
        <v>1309</v>
      </c>
      <c r="E1552" s="193">
        <v>119.9</v>
      </c>
      <c r="F1552" s="193">
        <v>94.6</v>
      </c>
      <c r="G1552" s="193">
        <v>110.1</v>
      </c>
    </row>
    <row r="1553" spans="1:7" x14ac:dyDescent="0.3">
      <c r="A1553" s="195" t="s">
        <v>884</v>
      </c>
      <c r="B1553" s="195" t="s">
        <v>886</v>
      </c>
      <c r="C1553" s="193" t="s">
        <v>1310</v>
      </c>
      <c r="D1553" s="20" t="s">
        <v>27</v>
      </c>
      <c r="E1553" s="193">
        <v>104</v>
      </c>
      <c r="F1553" s="193">
        <v>93.4</v>
      </c>
      <c r="G1553" s="193">
        <v>99.5</v>
      </c>
    </row>
    <row r="1554" spans="1:7" x14ac:dyDescent="0.3">
      <c r="A1554" s="195" t="s">
        <v>884</v>
      </c>
      <c r="B1554" s="195" t="s">
        <v>886</v>
      </c>
      <c r="C1554" s="193" t="s">
        <v>1311</v>
      </c>
      <c r="D1554" s="20" t="s">
        <v>1312</v>
      </c>
      <c r="E1554" s="193">
        <v>131.1</v>
      </c>
      <c r="F1554" s="193">
        <v>85.9</v>
      </c>
      <c r="G1554" s="193">
        <v>117.9</v>
      </c>
    </row>
    <row r="1555" spans="1:7" x14ac:dyDescent="0.3">
      <c r="A1555" s="195" t="s">
        <v>884</v>
      </c>
      <c r="B1555" s="195" t="s">
        <v>886</v>
      </c>
      <c r="C1555" s="193" t="s">
        <v>1313</v>
      </c>
      <c r="D1555" s="20" t="s">
        <v>1321</v>
      </c>
      <c r="E1555" s="193">
        <v>105.5</v>
      </c>
      <c r="F1555" s="193">
        <v>93.6</v>
      </c>
      <c r="G1555" s="193">
        <v>100.4</v>
      </c>
    </row>
    <row r="1556" spans="1:7" x14ac:dyDescent="0.3">
      <c r="A1556" s="195" t="s">
        <v>884</v>
      </c>
      <c r="B1556" s="195" t="s">
        <v>886</v>
      </c>
      <c r="C1556" s="193" t="s">
        <v>361</v>
      </c>
      <c r="D1556" s="20" t="s">
        <v>1314</v>
      </c>
      <c r="E1556" s="193">
        <v>105.7</v>
      </c>
      <c r="F1556" s="193">
        <v>86.1</v>
      </c>
      <c r="G1556" s="193">
        <v>95.8</v>
      </c>
    </row>
    <row r="1557" spans="1:7" x14ac:dyDescent="0.3">
      <c r="A1557" s="195" t="s">
        <v>884</v>
      </c>
      <c r="B1557" s="195" t="s">
        <v>886</v>
      </c>
      <c r="C1557" s="193" t="s">
        <v>1315</v>
      </c>
      <c r="D1557" s="20" t="s">
        <v>1316</v>
      </c>
      <c r="E1557" s="193">
        <v>131.1</v>
      </c>
      <c r="F1557" s="193">
        <v>90.1</v>
      </c>
      <c r="G1557" s="193">
        <v>128.80000000000001</v>
      </c>
    </row>
    <row r="1558" spans="1:7" x14ac:dyDescent="0.3">
      <c r="A1558" s="195" t="s">
        <v>884</v>
      </c>
      <c r="B1558" s="195" t="s">
        <v>886</v>
      </c>
      <c r="C1558" s="193" t="s">
        <v>1317</v>
      </c>
      <c r="D1558" s="20" t="s">
        <v>1318</v>
      </c>
      <c r="E1558" s="193">
        <v>114.5</v>
      </c>
      <c r="F1558" s="193">
        <v>98.6</v>
      </c>
      <c r="G1558" s="193">
        <v>103.7</v>
      </c>
    </row>
    <row r="1559" spans="1:7" x14ac:dyDescent="0.3">
      <c r="A1559" s="195" t="s">
        <v>884</v>
      </c>
      <c r="B1559" s="195" t="s">
        <v>886</v>
      </c>
      <c r="C1559" s="196" t="s">
        <v>1319</v>
      </c>
      <c r="D1559" s="203" t="s">
        <v>1320</v>
      </c>
      <c r="E1559" s="193">
        <v>117.9</v>
      </c>
      <c r="F1559" s="193">
        <v>92.4</v>
      </c>
      <c r="G1559" s="193">
        <v>106.7</v>
      </c>
    </row>
    <row r="1560" spans="1:7" x14ac:dyDescent="0.3">
      <c r="A1560" s="195" t="s">
        <v>837</v>
      </c>
      <c r="B1560" s="195" t="s">
        <v>887</v>
      </c>
      <c r="C1560" s="193" t="s">
        <v>1302</v>
      </c>
      <c r="D1560" s="20" t="s">
        <v>1303</v>
      </c>
      <c r="E1560" s="193">
        <v>127.7</v>
      </c>
      <c r="F1560" s="193">
        <v>95.4</v>
      </c>
      <c r="G1560" s="193">
        <v>108.2</v>
      </c>
    </row>
    <row r="1561" spans="1:7" x14ac:dyDescent="0.3">
      <c r="A1561" s="195" t="s">
        <v>837</v>
      </c>
      <c r="B1561" s="195" t="s">
        <v>887</v>
      </c>
      <c r="C1561" s="193" t="s">
        <v>1304</v>
      </c>
      <c r="D1561" s="20" t="s">
        <v>1305</v>
      </c>
      <c r="E1561" s="193">
        <v>128.19999999999999</v>
      </c>
      <c r="F1561" s="193">
        <v>91.6</v>
      </c>
      <c r="G1561" s="193">
        <v>113.6</v>
      </c>
    </row>
    <row r="1562" spans="1:7" x14ac:dyDescent="0.3">
      <c r="A1562" s="195" t="s">
        <v>837</v>
      </c>
      <c r="B1562" s="195" t="s">
        <v>887</v>
      </c>
      <c r="C1562" s="193" t="s">
        <v>1306</v>
      </c>
      <c r="D1562" s="20" t="s">
        <v>1307</v>
      </c>
      <c r="E1562" s="193">
        <v>132.4</v>
      </c>
      <c r="F1562" s="193">
        <v>96.9</v>
      </c>
      <c r="G1562" s="193">
        <v>115.6</v>
      </c>
    </row>
    <row r="1563" spans="1:7" x14ac:dyDescent="0.3">
      <c r="A1563" s="195" t="s">
        <v>837</v>
      </c>
      <c r="B1563" s="195" t="s">
        <v>887</v>
      </c>
      <c r="C1563" s="193" t="s">
        <v>1308</v>
      </c>
      <c r="D1563" s="20" t="s">
        <v>1309</v>
      </c>
      <c r="E1563" s="193">
        <v>126.2</v>
      </c>
      <c r="F1563" s="193">
        <v>90.3</v>
      </c>
      <c r="G1563" s="193">
        <v>112.2</v>
      </c>
    </row>
    <row r="1564" spans="1:7" x14ac:dyDescent="0.3">
      <c r="A1564" s="195" t="s">
        <v>837</v>
      </c>
      <c r="B1564" s="195" t="s">
        <v>887</v>
      </c>
      <c r="C1564" s="193" t="s">
        <v>1310</v>
      </c>
      <c r="D1564" s="20" t="s">
        <v>27</v>
      </c>
      <c r="E1564" s="193">
        <v>108.8</v>
      </c>
      <c r="F1564" s="193">
        <v>89.8</v>
      </c>
      <c r="G1564" s="193">
        <v>100.8</v>
      </c>
    </row>
    <row r="1565" spans="1:7" x14ac:dyDescent="0.3">
      <c r="A1565" s="195" t="s">
        <v>837</v>
      </c>
      <c r="B1565" s="195" t="s">
        <v>887</v>
      </c>
      <c r="C1565" s="193" t="s">
        <v>1311</v>
      </c>
      <c r="D1565" s="20" t="s">
        <v>1312</v>
      </c>
      <c r="E1565" s="193">
        <v>131.1</v>
      </c>
      <c r="F1565" s="193">
        <v>96</v>
      </c>
      <c r="G1565" s="193">
        <v>120.9</v>
      </c>
    </row>
    <row r="1566" spans="1:7" x14ac:dyDescent="0.3">
      <c r="A1566" s="195" t="s">
        <v>837</v>
      </c>
      <c r="B1566" s="195" t="s">
        <v>887</v>
      </c>
      <c r="C1566" s="193" t="s">
        <v>1313</v>
      </c>
      <c r="D1566" s="20" t="s">
        <v>1321</v>
      </c>
      <c r="E1566" s="193">
        <v>105.7</v>
      </c>
      <c r="F1566" s="193">
        <v>86.2</v>
      </c>
      <c r="G1566" s="193">
        <v>97.5</v>
      </c>
    </row>
    <row r="1567" spans="1:7" x14ac:dyDescent="0.3">
      <c r="A1567" s="195" t="s">
        <v>837</v>
      </c>
      <c r="B1567" s="195" t="s">
        <v>887</v>
      </c>
      <c r="C1567" s="193" t="s">
        <v>361</v>
      </c>
      <c r="D1567" s="20" t="s">
        <v>1314</v>
      </c>
      <c r="E1567" s="193">
        <v>105.1</v>
      </c>
      <c r="F1567" s="193">
        <v>98</v>
      </c>
      <c r="G1567" s="193">
        <v>101.5</v>
      </c>
    </row>
    <row r="1568" spans="1:7" x14ac:dyDescent="0.3">
      <c r="A1568" s="195" t="s">
        <v>837</v>
      </c>
      <c r="B1568" s="195" t="s">
        <v>887</v>
      </c>
      <c r="C1568" s="193" t="s">
        <v>1315</v>
      </c>
      <c r="D1568" s="20" t="s">
        <v>1316</v>
      </c>
      <c r="E1568" s="193">
        <v>131.1</v>
      </c>
      <c r="F1568" s="193">
        <v>88.1</v>
      </c>
      <c r="G1568" s="193">
        <v>128.69999999999999</v>
      </c>
    </row>
    <row r="1569" spans="1:7" x14ac:dyDescent="0.3">
      <c r="A1569" s="195" t="s">
        <v>837</v>
      </c>
      <c r="B1569" s="195" t="s">
        <v>887</v>
      </c>
      <c r="C1569" s="193" t="s">
        <v>1317</v>
      </c>
      <c r="D1569" s="20" t="s">
        <v>1318</v>
      </c>
      <c r="E1569" s="193">
        <v>108.8</v>
      </c>
      <c r="F1569" s="193">
        <v>104.3</v>
      </c>
      <c r="G1569" s="193">
        <v>105.8</v>
      </c>
    </row>
    <row r="1570" spans="1:7" x14ac:dyDescent="0.3">
      <c r="A1570" s="195" t="s">
        <v>837</v>
      </c>
      <c r="B1570" s="195" t="s">
        <v>887</v>
      </c>
      <c r="C1570" s="196" t="s">
        <v>1319</v>
      </c>
      <c r="D1570" s="203" t="s">
        <v>1320</v>
      </c>
      <c r="E1570" s="193">
        <v>117.6</v>
      </c>
      <c r="F1570" s="193">
        <v>92.9</v>
      </c>
      <c r="G1570" s="193">
        <v>106.7</v>
      </c>
    </row>
    <row r="1571" spans="1:7" x14ac:dyDescent="0.3">
      <c r="A1571" s="195" t="s">
        <v>884</v>
      </c>
      <c r="B1571" s="195" t="s">
        <v>884</v>
      </c>
      <c r="C1571" s="193" t="s">
        <v>1302</v>
      </c>
      <c r="D1571" s="20" t="s">
        <v>1303</v>
      </c>
      <c r="E1571" s="193">
        <v>132.80000000000001</v>
      </c>
      <c r="F1571" s="193">
        <v>96</v>
      </c>
      <c r="G1571" s="193">
        <v>110.6</v>
      </c>
    </row>
    <row r="1572" spans="1:7" x14ac:dyDescent="0.3">
      <c r="A1572" s="195" t="s">
        <v>884</v>
      </c>
      <c r="B1572" s="195" t="s">
        <v>884</v>
      </c>
      <c r="C1572" s="193" t="s">
        <v>1304</v>
      </c>
      <c r="D1572" s="20" t="s">
        <v>1305</v>
      </c>
      <c r="E1572" s="193">
        <v>131.1</v>
      </c>
      <c r="F1572" s="193">
        <v>93.3</v>
      </c>
      <c r="G1572" s="193">
        <v>116</v>
      </c>
    </row>
    <row r="1573" spans="1:7" x14ac:dyDescent="0.3">
      <c r="A1573" s="195" t="s">
        <v>884</v>
      </c>
      <c r="B1573" s="195" t="s">
        <v>884</v>
      </c>
      <c r="C1573" s="193" t="s">
        <v>1306</v>
      </c>
      <c r="D1573" s="20" t="s">
        <v>1307</v>
      </c>
      <c r="E1573" s="193">
        <v>130.9</v>
      </c>
      <c r="F1573" s="193">
        <v>93.5</v>
      </c>
      <c r="G1573" s="193">
        <v>113.3</v>
      </c>
    </row>
    <row r="1574" spans="1:7" x14ac:dyDescent="0.3">
      <c r="A1574" s="195" t="s">
        <v>884</v>
      </c>
      <c r="B1574" s="195" t="s">
        <v>884</v>
      </c>
      <c r="C1574" s="193" t="s">
        <v>1308</v>
      </c>
      <c r="D1574" s="20" t="s">
        <v>1309</v>
      </c>
      <c r="E1574" s="193">
        <v>120.4</v>
      </c>
      <c r="F1574" s="193">
        <v>94.8</v>
      </c>
      <c r="G1574" s="193">
        <v>110.4</v>
      </c>
    </row>
    <row r="1575" spans="1:7" x14ac:dyDescent="0.3">
      <c r="A1575" s="195" t="s">
        <v>884</v>
      </c>
      <c r="B1575" s="195" t="s">
        <v>884</v>
      </c>
      <c r="C1575" s="193" t="s">
        <v>1310</v>
      </c>
      <c r="D1575" s="20" t="s">
        <v>27</v>
      </c>
      <c r="E1575" s="193">
        <v>106.7</v>
      </c>
      <c r="F1575" s="193">
        <v>93.4</v>
      </c>
      <c r="G1575" s="193">
        <v>101.1</v>
      </c>
    </row>
    <row r="1576" spans="1:7" x14ac:dyDescent="0.3">
      <c r="A1576" s="195" t="s">
        <v>884</v>
      </c>
      <c r="B1576" s="195" t="s">
        <v>884</v>
      </c>
      <c r="C1576" s="193" t="s">
        <v>1311</v>
      </c>
      <c r="D1576" s="20" t="s">
        <v>1312</v>
      </c>
      <c r="E1576" s="193">
        <v>131.1</v>
      </c>
      <c r="F1576" s="193">
        <v>86.1</v>
      </c>
      <c r="G1576" s="193">
        <v>118</v>
      </c>
    </row>
    <row r="1577" spans="1:7" x14ac:dyDescent="0.3">
      <c r="A1577" s="195" t="s">
        <v>884</v>
      </c>
      <c r="B1577" s="195" t="s">
        <v>884</v>
      </c>
      <c r="C1577" s="193" t="s">
        <v>1313</v>
      </c>
      <c r="D1577" s="20" t="s">
        <v>1321</v>
      </c>
      <c r="E1577" s="193">
        <v>105.3</v>
      </c>
      <c r="F1577" s="193">
        <v>93.6</v>
      </c>
      <c r="G1577" s="193">
        <v>100.4</v>
      </c>
    </row>
    <row r="1578" spans="1:7" x14ac:dyDescent="0.3">
      <c r="A1578" s="195" t="s">
        <v>884</v>
      </c>
      <c r="B1578" s="195" t="s">
        <v>884</v>
      </c>
      <c r="C1578" s="193" t="s">
        <v>361</v>
      </c>
      <c r="D1578" s="20" t="s">
        <v>1314</v>
      </c>
      <c r="E1578" s="193">
        <v>106.1</v>
      </c>
      <c r="F1578" s="193">
        <v>86.1</v>
      </c>
      <c r="G1578" s="193">
        <v>96</v>
      </c>
    </row>
    <row r="1579" spans="1:7" x14ac:dyDescent="0.3">
      <c r="A1579" s="195" t="s">
        <v>884</v>
      </c>
      <c r="B1579" s="195" t="s">
        <v>884</v>
      </c>
      <c r="C1579" s="193" t="s">
        <v>1315</v>
      </c>
      <c r="D1579" s="20" t="s">
        <v>1316</v>
      </c>
      <c r="E1579" s="193">
        <v>131.1</v>
      </c>
      <c r="F1579" s="193">
        <v>90.1</v>
      </c>
      <c r="G1579" s="193">
        <v>128.80000000000001</v>
      </c>
    </row>
    <row r="1580" spans="1:7" x14ac:dyDescent="0.3">
      <c r="A1580" s="195" t="s">
        <v>884</v>
      </c>
      <c r="B1580" s="195" t="s">
        <v>884</v>
      </c>
      <c r="C1580" s="193" t="s">
        <v>1317</v>
      </c>
      <c r="D1580" s="20" t="s">
        <v>1318</v>
      </c>
      <c r="E1580" s="193">
        <v>116.4</v>
      </c>
      <c r="F1580" s="193">
        <v>98.7</v>
      </c>
      <c r="G1580" s="193">
        <v>104.3</v>
      </c>
    </row>
    <row r="1581" spans="1:7" x14ac:dyDescent="0.3">
      <c r="A1581" s="195" t="s">
        <v>884</v>
      </c>
      <c r="B1581" s="195" t="s">
        <v>884</v>
      </c>
      <c r="C1581" s="196" t="s">
        <v>1319</v>
      </c>
      <c r="D1581" s="203" t="s">
        <v>1320</v>
      </c>
      <c r="E1581" s="193">
        <v>117.9</v>
      </c>
      <c r="F1581" s="193">
        <v>92.8</v>
      </c>
      <c r="G1581" s="193">
        <v>106.8</v>
      </c>
    </row>
    <row r="1582" spans="1:7" x14ac:dyDescent="0.3">
      <c r="A1582" s="195" t="s">
        <v>888</v>
      </c>
      <c r="B1582" s="195" t="s">
        <v>889</v>
      </c>
      <c r="C1582" s="193" t="s">
        <v>1302</v>
      </c>
      <c r="D1582" s="20" t="s">
        <v>1303</v>
      </c>
      <c r="E1582" s="193">
        <v>126.2</v>
      </c>
      <c r="F1582" s="193">
        <v>76.2</v>
      </c>
      <c r="G1582" s="193">
        <v>96.1</v>
      </c>
    </row>
    <row r="1583" spans="1:7" x14ac:dyDescent="0.3">
      <c r="A1583" s="195" t="s">
        <v>888</v>
      </c>
      <c r="B1583" s="195" t="s">
        <v>889</v>
      </c>
      <c r="C1583" s="193" t="s">
        <v>1304</v>
      </c>
      <c r="D1583" s="20" t="s">
        <v>1305</v>
      </c>
      <c r="E1583" s="193">
        <v>114.1</v>
      </c>
      <c r="F1583" s="193">
        <v>76.2</v>
      </c>
      <c r="G1583" s="193">
        <v>99</v>
      </c>
    </row>
    <row r="1584" spans="1:7" x14ac:dyDescent="0.3">
      <c r="A1584" s="195" t="s">
        <v>888</v>
      </c>
      <c r="B1584" s="195" t="s">
        <v>889</v>
      </c>
      <c r="C1584" s="193" t="s">
        <v>1306</v>
      </c>
      <c r="D1584" s="20" t="s">
        <v>1307</v>
      </c>
      <c r="E1584" s="193">
        <v>137.5</v>
      </c>
      <c r="F1584" s="193">
        <v>71.2</v>
      </c>
      <c r="G1584" s="193">
        <v>106.2</v>
      </c>
    </row>
    <row r="1585" spans="1:7" x14ac:dyDescent="0.3">
      <c r="A1585" s="195" t="s">
        <v>888</v>
      </c>
      <c r="B1585" s="195" t="s">
        <v>889</v>
      </c>
      <c r="C1585" s="193" t="s">
        <v>1308</v>
      </c>
      <c r="D1585" s="20" t="s">
        <v>1309</v>
      </c>
      <c r="E1585" s="193">
        <v>113.8</v>
      </c>
      <c r="F1585" s="193">
        <v>68.5</v>
      </c>
      <c r="G1585" s="193">
        <v>96.2</v>
      </c>
    </row>
    <row r="1586" spans="1:7" x14ac:dyDescent="0.3">
      <c r="A1586" s="195" t="s">
        <v>888</v>
      </c>
      <c r="B1586" s="195" t="s">
        <v>889</v>
      </c>
      <c r="C1586" s="193" t="s">
        <v>1310</v>
      </c>
      <c r="D1586" s="20" t="s">
        <v>27</v>
      </c>
      <c r="E1586" s="193">
        <v>102.7</v>
      </c>
      <c r="F1586" s="193">
        <v>66.8</v>
      </c>
      <c r="G1586" s="193">
        <v>87.6</v>
      </c>
    </row>
    <row r="1587" spans="1:7" x14ac:dyDescent="0.3">
      <c r="A1587" s="195" t="s">
        <v>888</v>
      </c>
      <c r="B1587" s="195" t="s">
        <v>889</v>
      </c>
      <c r="C1587" s="193" t="s">
        <v>1311</v>
      </c>
      <c r="D1587" s="20" t="s">
        <v>1312</v>
      </c>
      <c r="E1587" s="193">
        <v>131.1</v>
      </c>
      <c r="F1587" s="193">
        <v>65.900000000000006</v>
      </c>
      <c r="G1587" s="193">
        <v>112</v>
      </c>
    </row>
    <row r="1588" spans="1:7" x14ac:dyDescent="0.3">
      <c r="A1588" s="195" t="s">
        <v>888</v>
      </c>
      <c r="B1588" s="195" t="s">
        <v>889</v>
      </c>
      <c r="C1588" s="193" t="s">
        <v>1313</v>
      </c>
      <c r="D1588" s="20" t="s">
        <v>1321</v>
      </c>
      <c r="E1588" s="193">
        <v>103.6</v>
      </c>
      <c r="F1588" s="193">
        <v>80.900000000000006</v>
      </c>
      <c r="G1588" s="193">
        <v>94</v>
      </c>
    </row>
    <row r="1589" spans="1:7" x14ac:dyDescent="0.3">
      <c r="A1589" s="195" t="s">
        <v>888</v>
      </c>
      <c r="B1589" s="195" t="s">
        <v>889</v>
      </c>
      <c r="C1589" s="193" t="s">
        <v>361</v>
      </c>
      <c r="D1589" s="20" t="s">
        <v>1314</v>
      </c>
      <c r="E1589" s="193">
        <v>115.6</v>
      </c>
      <c r="F1589" s="193">
        <v>90.2</v>
      </c>
      <c r="G1589" s="193">
        <v>102.7</v>
      </c>
    </row>
    <row r="1590" spans="1:7" x14ac:dyDescent="0.3">
      <c r="A1590" s="195" t="s">
        <v>888</v>
      </c>
      <c r="B1590" s="195" t="s">
        <v>889</v>
      </c>
      <c r="C1590" s="193" t="s">
        <v>1315</v>
      </c>
      <c r="D1590" s="20" t="s">
        <v>1316</v>
      </c>
      <c r="E1590" s="193">
        <v>131.1</v>
      </c>
      <c r="F1590" s="193">
        <v>64.2</v>
      </c>
      <c r="G1590" s="193">
        <v>127.4</v>
      </c>
    </row>
    <row r="1591" spans="1:7" x14ac:dyDescent="0.3">
      <c r="A1591" s="195" t="s">
        <v>888</v>
      </c>
      <c r="B1591" s="195" t="s">
        <v>889</v>
      </c>
      <c r="C1591" s="193" t="s">
        <v>1317</v>
      </c>
      <c r="D1591" s="20" t="s">
        <v>1318</v>
      </c>
      <c r="E1591" s="193">
        <v>107.9</v>
      </c>
      <c r="F1591" s="193">
        <v>97.2</v>
      </c>
      <c r="G1591" s="193">
        <v>100.6</v>
      </c>
    </row>
    <row r="1592" spans="1:7" x14ac:dyDescent="0.3">
      <c r="A1592" s="195" t="s">
        <v>888</v>
      </c>
      <c r="B1592" s="195" t="s">
        <v>889</v>
      </c>
      <c r="C1592" s="196" t="s">
        <v>1319</v>
      </c>
      <c r="D1592" s="203" t="s">
        <v>1320</v>
      </c>
      <c r="E1592" s="193">
        <v>114.4</v>
      </c>
      <c r="F1592" s="193">
        <v>77.8</v>
      </c>
      <c r="G1592" s="193">
        <v>98.3</v>
      </c>
    </row>
    <row r="1593" spans="1:7" x14ac:dyDescent="0.3">
      <c r="A1593" s="195" t="s">
        <v>837</v>
      </c>
      <c r="B1593" s="195" t="s">
        <v>890</v>
      </c>
      <c r="C1593" s="193" t="s">
        <v>1302</v>
      </c>
      <c r="D1593" s="20" t="s">
        <v>1303</v>
      </c>
      <c r="E1593" s="193">
        <v>112</v>
      </c>
      <c r="F1593" s="193">
        <v>95.9</v>
      </c>
      <c r="G1593" s="193">
        <v>102.2</v>
      </c>
    </row>
    <row r="1594" spans="1:7" x14ac:dyDescent="0.3">
      <c r="A1594" s="195" t="s">
        <v>837</v>
      </c>
      <c r="B1594" s="195" t="s">
        <v>890</v>
      </c>
      <c r="C1594" s="193" t="s">
        <v>1304</v>
      </c>
      <c r="D1594" s="20" t="s">
        <v>1305</v>
      </c>
      <c r="E1594" s="193">
        <v>108.9</v>
      </c>
      <c r="F1594" s="193">
        <v>92.7</v>
      </c>
      <c r="G1594" s="193">
        <v>102.4</v>
      </c>
    </row>
    <row r="1595" spans="1:7" x14ac:dyDescent="0.3">
      <c r="A1595" s="195" t="s">
        <v>837</v>
      </c>
      <c r="B1595" s="195" t="s">
        <v>890</v>
      </c>
      <c r="C1595" s="193" t="s">
        <v>1306</v>
      </c>
      <c r="D1595" s="20" t="s">
        <v>1307</v>
      </c>
      <c r="E1595" s="193">
        <v>112.1</v>
      </c>
      <c r="F1595" s="193">
        <v>98.5</v>
      </c>
      <c r="G1595" s="193">
        <v>105.7</v>
      </c>
    </row>
    <row r="1596" spans="1:7" x14ac:dyDescent="0.3">
      <c r="A1596" s="195" t="s">
        <v>837</v>
      </c>
      <c r="B1596" s="195" t="s">
        <v>890</v>
      </c>
      <c r="C1596" s="193" t="s">
        <v>1308</v>
      </c>
      <c r="D1596" s="20" t="s">
        <v>1309</v>
      </c>
      <c r="E1596" s="193">
        <v>111.2</v>
      </c>
      <c r="F1596" s="193">
        <v>93.1</v>
      </c>
      <c r="G1596" s="193">
        <v>104.2</v>
      </c>
    </row>
    <row r="1597" spans="1:7" x14ac:dyDescent="0.3">
      <c r="A1597" s="195" t="s">
        <v>837</v>
      </c>
      <c r="B1597" s="195" t="s">
        <v>890</v>
      </c>
      <c r="C1597" s="193" t="s">
        <v>1310</v>
      </c>
      <c r="D1597" s="20" t="s">
        <v>27</v>
      </c>
      <c r="E1597" s="193">
        <v>94.9</v>
      </c>
      <c r="F1597" s="193">
        <v>94.1</v>
      </c>
      <c r="G1597" s="193">
        <v>94.6</v>
      </c>
    </row>
    <row r="1598" spans="1:7" x14ac:dyDescent="0.3">
      <c r="A1598" s="195" t="s">
        <v>837</v>
      </c>
      <c r="B1598" s="195" t="s">
        <v>890</v>
      </c>
      <c r="C1598" s="193" t="s">
        <v>1311</v>
      </c>
      <c r="D1598" s="20" t="s">
        <v>1312</v>
      </c>
      <c r="E1598" s="193">
        <v>131.1</v>
      </c>
      <c r="F1598" s="193">
        <v>72.2</v>
      </c>
      <c r="G1598" s="193">
        <v>113.9</v>
      </c>
    </row>
    <row r="1599" spans="1:7" x14ac:dyDescent="0.3">
      <c r="A1599" s="195" t="s">
        <v>837</v>
      </c>
      <c r="B1599" s="195" t="s">
        <v>890</v>
      </c>
      <c r="C1599" s="193" t="s">
        <v>1313</v>
      </c>
      <c r="D1599" s="20" t="s">
        <v>1321</v>
      </c>
      <c r="E1599" s="193">
        <v>104.7</v>
      </c>
      <c r="F1599" s="193">
        <v>86.9</v>
      </c>
      <c r="G1599" s="193">
        <v>97.2</v>
      </c>
    </row>
    <row r="1600" spans="1:7" x14ac:dyDescent="0.3">
      <c r="A1600" s="195" t="s">
        <v>837</v>
      </c>
      <c r="B1600" s="195" t="s">
        <v>890</v>
      </c>
      <c r="C1600" s="193" t="s">
        <v>361</v>
      </c>
      <c r="D1600" s="20" t="s">
        <v>1314</v>
      </c>
      <c r="E1600" s="193">
        <v>107.7</v>
      </c>
      <c r="F1600" s="193">
        <v>98.1</v>
      </c>
      <c r="G1600" s="193">
        <v>102.8</v>
      </c>
    </row>
    <row r="1601" spans="1:7" x14ac:dyDescent="0.3">
      <c r="A1601" s="195" t="s">
        <v>837</v>
      </c>
      <c r="B1601" s="195" t="s">
        <v>890</v>
      </c>
      <c r="C1601" s="193" t="s">
        <v>1315</v>
      </c>
      <c r="D1601" s="20" t="s">
        <v>1316</v>
      </c>
      <c r="E1601" s="193">
        <v>131.1</v>
      </c>
      <c r="F1601" s="193">
        <v>91.1</v>
      </c>
      <c r="G1601" s="193">
        <v>128.9</v>
      </c>
    </row>
    <row r="1602" spans="1:7" x14ac:dyDescent="0.3">
      <c r="A1602" s="195" t="s">
        <v>837</v>
      </c>
      <c r="B1602" s="195" t="s">
        <v>890</v>
      </c>
      <c r="C1602" s="193" t="s">
        <v>1317</v>
      </c>
      <c r="D1602" s="20" t="s">
        <v>1318</v>
      </c>
      <c r="E1602" s="193">
        <v>102.6</v>
      </c>
      <c r="F1602" s="193">
        <v>100.9</v>
      </c>
      <c r="G1602" s="193">
        <v>101.5</v>
      </c>
    </row>
    <row r="1603" spans="1:7" x14ac:dyDescent="0.3">
      <c r="A1603" s="195" t="s">
        <v>837</v>
      </c>
      <c r="B1603" s="195" t="s">
        <v>890</v>
      </c>
      <c r="C1603" s="196" t="s">
        <v>1319</v>
      </c>
      <c r="D1603" s="203" t="s">
        <v>1320</v>
      </c>
      <c r="E1603" s="193">
        <v>107.8</v>
      </c>
      <c r="F1603" s="193">
        <v>93.3</v>
      </c>
      <c r="G1603" s="193">
        <v>101.5</v>
      </c>
    </row>
    <row r="1604" spans="1:7" x14ac:dyDescent="0.3">
      <c r="A1604" s="195" t="s">
        <v>837</v>
      </c>
      <c r="B1604" s="195" t="s">
        <v>891</v>
      </c>
      <c r="C1604" s="193" t="s">
        <v>1302</v>
      </c>
      <c r="D1604" s="20" t="s">
        <v>1303</v>
      </c>
      <c r="E1604" s="193">
        <v>118.8</v>
      </c>
      <c r="F1604" s="193">
        <v>94.7</v>
      </c>
      <c r="G1604" s="193">
        <v>104.2</v>
      </c>
    </row>
    <row r="1605" spans="1:7" x14ac:dyDescent="0.3">
      <c r="A1605" s="195" t="s">
        <v>837</v>
      </c>
      <c r="B1605" s="195" t="s">
        <v>891</v>
      </c>
      <c r="C1605" s="193" t="s">
        <v>1304</v>
      </c>
      <c r="D1605" s="20" t="s">
        <v>1305</v>
      </c>
      <c r="E1605" s="193">
        <v>110.5</v>
      </c>
      <c r="F1605" s="193">
        <v>91.3</v>
      </c>
      <c r="G1605" s="193">
        <v>102.9</v>
      </c>
    </row>
    <row r="1606" spans="1:7" x14ac:dyDescent="0.3">
      <c r="A1606" s="195" t="s">
        <v>837</v>
      </c>
      <c r="B1606" s="195" t="s">
        <v>891</v>
      </c>
      <c r="C1606" s="193" t="s">
        <v>1306</v>
      </c>
      <c r="D1606" s="20" t="s">
        <v>1307</v>
      </c>
      <c r="E1606" s="193">
        <v>115.2</v>
      </c>
      <c r="F1606" s="193">
        <v>98</v>
      </c>
      <c r="G1606" s="193">
        <v>107.1</v>
      </c>
    </row>
    <row r="1607" spans="1:7" x14ac:dyDescent="0.3">
      <c r="A1607" s="195" t="s">
        <v>837</v>
      </c>
      <c r="B1607" s="195" t="s">
        <v>891</v>
      </c>
      <c r="C1607" s="193" t="s">
        <v>1308</v>
      </c>
      <c r="D1607" s="20" t="s">
        <v>1309</v>
      </c>
      <c r="E1607" s="193">
        <v>111.4</v>
      </c>
      <c r="F1607" s="193">
        <v>90.5</v>
      </c>
      <c r="G1607" s="193">
        <v>103.3</v>
      </c>
    </row>
    <row r="1608" spans="1:7" x14ac:dyDescent="0.3">
      <c r="A1608" s="195" t="s">
        <v>837</v>
      </c>
      <c r="B1608" s="195" t="s">
        <v>891</v>
      </c>
      <c r="C1608" s="193" t="s">
        <v>1310</v>
      </c>
      <c r="D1608" s="20" t="s">
        <v>27</v>
      </c>
      <c r="E1608" s="193">
        <v>96.6</v>
      </c>
      <c r="F1608" s="193">
        <v>91.5</v>
      </c>
      <c r="G1608" s="193">
        <v>94.5</v>
      </c>
    </row>
    <row r="1609" spans="1:7" x14ac:dyDescent="0.3">
      <c r="A1609" s="195" t="s">
        <v>837</v>
      </c>
      <c r="B1609" s="195" t="s">
        <v>891</v>
      </c>
      <c r="C1609" s="193" t="s">
        <v>1311</v>
      </c>
      <c r="D1609" s="20" t="s">
        <v>1312</v>
      </c>
      <c r="E1609" s="193">
        <v>131.1</v>
      </c>
      <c r="F1609" s="193">
        <v>72.599999999999994</v>
      </c>
      <c r="G1609" s="193">
        <v>114</v>
      </c>
    </row>
    <row r="1610" spans="1:7" x14ac:dyDescent="0.3">
      <c r="A1610" s="195" t="s">
        <v>837</v>
      </c>
      <c r="B1610" s="195" t="s">
        <v>891</v>
      </c>
      <c r="C1610" s="193" t="s">
        <v>1313</v>
      </c>
      <c r="D1610" s="20" t="s">
        <v>1321</v>
      </c>
      <c r="E1610" s="193">
        <v>104.7</v>
      </c>
      <c r="F1610" s="193">
        <v>87</v>
      </c>
      <c r="G1610" s="193">
        <v>97.2</v>
      </c>
    </row>
    <row r="1611" spans="1:7" x14ac:dyDescent="0.3">
      <c r="A1611" s="195" t="s">
        <v>837</v>
      </c>
      <c r="B1611" s="195" t="s">
        <v>891</v>
      </c>
      <c r="C1611" s="193" t="s">
        <v>361</v>
      </c>
      <c r="D1611" s="20" t="s">
        <v>1314</v>
      </c>
      <c r="E1611" s="193">
        <v>106.3</v>
      </c>
      <c r="F1611" s="193">
        <v>96.3</v>
      </c>
      <c r="G1611" s="193">
        <v>101.2</v>
      </c>
    </row>
    <row r="1612" spans="1:7" x14ac:dyDescent="0.3">
      <c r="A1612" s="195" t="s">
        <v>837</v>
      </c>
      <c r="B1612" s="195" t="s">
        <v>891</v>
      </c>
      <c r="C1612" s="193" t="s">
        <v>1315</v>
      </c>
      <c r="D1612" s="20" t="s">
        <v>1316</v>
      </c>
      <c r="E1612" s="193">
        <v>131.1</v>
      </c>
      <c r="F1612" s="193">
        <v>88.3</v>
      </c>
      <c r="G1612" s="193">
        <v>128.69999999999999</v>
      </c>
    </row>
    <row r="1613" spans="1:7" x14ac:dyDescent="0.3">
      <c r="A1613" s="195" t="s">
        <v>837</v>
      </c>
      <c r="B1613" s="195" t="s">
        <v>891</v>
      </c>
      <c r="C1613" s="193" t="s">
        <v>1317</v>
      </c>
      <c r="D1613" s="20" t="s">
        <v>1318</v>
      </c>
      <c r="E1613" s="193">
        <v>107.6</v>
      </c>
      <c r="F1613" s="193">
        <v>100.8</v>
      </c>
      <c r="G1613" s="193">
        <v>103</v>
      </c>
    </row>
    <row r="1614" spans="1:7" x14ac:dyDescent="0.3">
      <c r="A1614" s="195" t="s">
        <v>837</v>
      </c>
      <c r="B1614" s="195" t="s">
        <v>891</v>
      </c>
      <c r="C1614" s="196" t="s">
        <v>1319</v>
      </c>
      <c r="D1614" s="203" t="s">
        <v>1320</v>
      </c>
      <c r="E1614" s="193">
        <v>109.1</v>
      </c>
      <c r="F1614" s="193">
        <v>92.3</v>
      </c>
      <c r="G1614" s="193">
        <v>101.7</v>
      </c>
    </row>
    <row r="1615" spans="1:7" x14ac:dyDescent="0.3">
      <c r="A1615" s="195" t="s">
        <v>892</v>
      </c>
      <c r="B1615" s="195" t="s">
        <v>893</v>
      </c>
      <c r="C1615" s="193" t="s">
        <v>1302</v>
      </c>
      <c r="D1615" s="20" t="s">
        <v>1303</v>
      </c>
      <c r="E1615" s="193">
        <v>126.8</v>
      </c>
      <c r="F1615" s="193">
        <v>94.2</v>
      </c>
      <c r="G1615" s="193">
        <v>107.1</v>
      </c>
    </row>
    <row r="1616" spans="1:7" x14ac:dyDescent="0.3">
      <c r="A1616" s="195" t="s">
        <v>892</v>
      </c>
      <c r="B1616" s="195" t="s">
        <v>893</v>
      </c>
      <c r="C1616" s="193" t="s">
        <v>1304</v>
      </c>
      <c r="D1616" s="20" t="s">
        <v>1305</v>
      </c>
      <c r="E1616" s="193">
        <v>112.3</v>
      </c>
      <c r="F1616" s="193">
        <v>88.3</v>
      </c>
      <c r="G1616" s="193">
        <v>102.7</v>
      </c>
    </row>
    <row r="1617" spans="1:7" x14ac:dyDescent="0.3">
      <c r="A1617" s="195" t="s">
        <v>892</v>
      </c>
      <c r="B1617" s="195" t="s">
        <v>893</v>
      </c>
      <c r="C1617" s="193" t="s">
        <v>1306</v>
      </c>
      <c r="D1617" s="20" t="s">
        <v>1307</v>
      </c>
      <c r="E1617" s="193">
        <v>161.1</v>
      </c>
      <c r="F1617" s="193">
        <v>90.9</v>
      </c>
      <c r="G1617" s="193">
        <v>128</v>
      </c>
    </row>
    <row r="1618" spans="1:7" x14ac:dyDescent="0.3">
      <c r="A1618" s="195" t="s">
        <v>892</v>
      </c>
      <c r="B1618" s="195" t="s">
        <v>893</v>
      </c>
      <c r="C1618" s="193" t="s">
        <v>1308</v>
      </c>
      <c r="D1618" s="20" t="s">
        <v>1309</v>
      </c>
      <c r="E1618" s="193">
        <v>120.1</v>
      </c>
      <c r="F1618" s="193">
        <v>84.8</v>
      </c>
      <c r="G1618" s="193">
        <v>106.4</v>
      </c>
    </row>
    <row r="1619" spans="1:7" x14ac:dyDescent="0.3">
      <c r="A1619" s="195" t="s">
        <v>892</v>
      </c>
      <c r="B1619" s="195" t="s">
        <v>893</v>
      </c>
      <c r="C1619" s="193" t="s">
        <v>1310</v>
      </c>
      <c r="D1619" s="20" t="s">
        <v>27</v>
      </c>
      <c r="E1619" s="193">
        <v>102.5</v>
      </c>
      <c r="F1619" s="193">
        <v>86.4</v>
      </c>
      <c r="G1619" s="193">
        <v>95.7</v>
      </c>
    </row>
    <row r="1620" spans="1:7" x14ac:dyDescent="0.3">
      <c r="A1620" s="195" t="s">
        <v>892</v>
      </c>
      <c r="B1620" s="195" t="s">
        <v>893</v>
      </c>
      <c r="C1620" s="193" t="s">
        <v>1311</v>
      </c>
      <c r="D1620" s="20" t="s">
        <v>1312</v>
      </c>
      <c r="E1620" s="193">
        <v>131.1</v>
      </c>
      <c r="F1620" s="193">
        <v>67.3</v>
      </c>
      <c r="G1620" s="193">
        <v>112.5</v>
      </c>
    </row>
    <row r="1621" spans="1:7" x14ac:dyDescent="0.3">
      <c r="A1621" s="195" t="s">
        <v>892</v>
      </c>
      <c r="B1621" s="195" t="s">
        <v>893</v>
      </c>
      <c r="C1621" s="193" t="s">
        <v>1313</v>
      </c>
      <c r="D1621" s="20" t="s">
        <v>1321</v>
      </c>
      <c r="E1621" s="193">
        <v>103.6</v>
      </c>
      <c r="F1621" s="193">
        <v>80.099999999999994</v>
      </c>
      <c r="G1621" s="193">
        <v>93.7</v>
      </c>
    </row>
    <row r="1622" spans="1:7" x14ac:dyDescent="0.3">
      <c r="A1622" s="195" t="s">
        <v>892</v>
      </c>
      <c r="B1622" s="195" t="s">
        <v>893</v>
      </c>
      <c r="C1622" s="193" t="s">
        <v>361</v>
      </c>
      <c r="D1622" s="20" t="s">
        <v>1314</v>
      </c>
      <c r="E1622" s="193">
        <v>110.3</v>
      </c>
      <c r="F1622" s="193">
        <v>82.1</v>
      </c>
      <c r="G1622" s="193">
        <v>96</v>
      </c>
    </row>
    <row r="1623" spans="1:7" x14ac:dyDescent="0.3">
      <c r="A1623" s="195" t="s">
        <v>892</v>
      </c>
      <c r="B1623" s="195" t="s">
        <v>893</v>
      </c>
      <c r="C1623" s="193" t="s">
        <v>1315</v>
      </c>
      <c r="D1623" s="20" t="s">
        <v>1316</v>
      </c>
      <c r="E1623" s="193">
        <v>131.1</v>
      </c>
      <c r="F1623" s="193">
        <v>87.7</v>
      </c>
      <c r="G1623" s="193">
        <v>128.69999999999999</v>
      </c>
    </row>
    <row r="1624" spans="1:7" x14ac:dyDescent="0.3">
      <c r="A1624" s="195" t="s">
        <v>892</v>
      </c>
      <c r="B1624" s="195" t="s">
        <v>893</v>
      </c>
      <c r="C1624" s="193" t="s">
        <v>1317</v>
      </c>
      <c r="D1624" s="20" t="s">
        <v>1318</v>
      </c>
      <c r="E1624" s="193">
        <v>124.6</v>
      </c>
      <c r="F1624" s="193">
        <v>106.7</v>
      </c>
      <c r="G1624" s="193">
        <v>112.4</v>
      </c>
    </row>
    <row r="1625" spans="1:7" x14ac:dyDescent="0.3">
      <c r="A1625" s="195" t="s">
        <v>892</v>
      </c>
      <c r="B1625" s="195" t="s">
        <v>893</v>
      </c>
      <c r="C1625" s="196" t="s">
        <v>1319</v>
      </c>
      <c r="D1625" s="203" t="s">
        <v>1320</v>
      </c>
      <c r="E1625" s="193">
        <v>116.6</v>
      </c>
      <c r="F1625" s="193">
        <v>86.7</v>
      </c>
      <c r="G1625" s="193">
        <v>103.4</v>
      </c>
    </row>
    <row r="1626" spans="1:7" x14ac:dyDescent="0.3">
      <c r="A1626" s="195" t="s">
        <v>888</v>
      </c>
      <c r="B1626" s="195" t="s">
        <v>894</v>
      </c>
      <c r="C1626" s="193" t="s">
        <v>1302</v>
      </c>
      <c r="D1626" s="20" t="s">
        <v>1303</v>
      </c>
      <c r="E1626" s="193">
        <v>125.7</v>
      </c>
      <c r="F1626" s="193">
        <v>68.7</v>
      </c>
      <c r="G1626" s="193">
        <v>91.3</v>
      </c>
    </row>
    <row r="1627" spans="1:7" x14ac:dyDescent="0.3">
      <c r="A1627" s="195" t="s">
        <v>888</v>
      </c>
      <c r="B1627" s="195" t="s">
        <v>894</v>
      </c>
      <c r="C1627" s="193" t="s">
        <v>1304</v>
      </c>
      <c r="D1627" s="20" t="s">
        <v>1305</v>
      </c>
      <c r="E1627" s="193">
        <v>113.2</v>
      </c>
      <c r="F1627" s="193">
        <v>66.7</v>
      </c>
      <c r="G1627" s="193">
        <v>94.6</v>
      </c>
    </row>
    <row r="1628" spans="1:7" x14ac:dyDescent="0.3">
      <c r="A1628" s="195" t="s">
        <v>888</v>
      </c>
      <c r="B1628" s="195" t="s">
        <v>894</v>
      </c>
      <c r="C1628" s="193" t="s">
        <v>1306</v>
      </c>
      <c r="D1628" s="20" t="s">
        <v>1307</v>
      </c>
      <c r="E1628" s="193">
        <v>128.1</v>
      </c>
      <c r="F1628" s="193">
        <v>63.3</v>
      </c>
      <c r="G1628" s="193">
        <v>97.5</v>
      </c>
    </row>
    <row r="1629" spans="1:7" x14ac:dyDescent="0.3">
      <c r="A1629" s="195" t="s">
        <v>888</v>
      </c>
      <c r="B1629" s="195" t="s">
        <v>894</v>
      </c>
      <c r="C1629" s="193" t="s">
        <v>1308</v>
      </c>
      <c r="D1629" s="20" t="s">
        <v>1309</v>
      </c>
      <c r="E1629" s="193">
        <v>109.2</v>
      </c>
      <c r="F1629" s="193">
        <v>60.4</v>
      </c>
      <c r="G1629" s="193">
        <v>90.2</v>
      </c>
    </row>
    <row r="1630" spans="1:7" x14ac:dyDescent="0.3">
      <c r="A1630" s="195" t="s">
        <v>888</v>
      </c>
      <c r="B1630" s="195" t="s">
        <v>894</v>
      </c>
      <c r="C1630" s="193" t="s">
        <v>1310</v>
      </c>
      <c r="D1630" s="20" t="s">
        <v>27</v>
      </c>
      <c r="E1630" s="193">
        <v>99.5</v>
      </c>
      <c r="F1630" s="193">
        <v>57.8</v>
      </c>
      <c r="G1630" s="193">
        <v>82</v>
      </c>
    </row>
    <row r="1631" spans="1:7" x14ac:dyDescent="0.3">
      <c r="A1631" s="195" t="s">
        <v>888</v>
      </c>
      <c r="B1631" s="195" t="s">
        <v>894</v>
      </c>
      <c r="C1631" s="193" t="s">
        <v>1311</v>
      </c>
      <c r="D1631" s="20" t="s">
        <v>1312</v>
      </c>
      <c r="E1631" s="193">
        <v>131.1</v>
      </c>
      <c r="F1631" s="193">
        <v>63.7</v>
      </c>
      <c r="G1631" s="193">
        <v>111.4</v>
      </c>
    </row>
    <row r="1632" spans="1:7" x14ac:dyDescent="0.3">
      <c r="A1632" s="195" t="s">
        <v>888</v>
      </c>
      <c r="B1632" s="195" t="s">
        <v>894</v>
      </c>
      <c r="C1632" s="193" t="s">
        <v>1313</v>
      </c>
      <c r="D1632" s="20" t="s">
        <v>1321</v>
      </c>
      <c r="E1632" s="193">
        <v>103.6</v>
      </c>
      <c r="F1632" s="193">
        <v>69</v>
      </c>
      <c r="G1632" s="193">
        <v>89</v>
      </c>
    </row>
    <row r="1633" spans="1:7" x14ac:dyDescent="0.3">
      <c r="A1633" s="195" t="s">
        <v>888</v>
      </c>
      <c r="B1633" s="195" t="s">
        <v>894</v>
      </c>
      <c r="C1633" s="193" t="s">
        <v>361</v>
      </c>
      <c r="D1633" s="20" t="s">
        <v>1314</v>
      </c>
      <c r="E1633" s="193">
        <v>109.3</v>
      </c>
      <c r="F1633" s="193">
        <v>61.4</v>
      </c>
      <c r="G1633" s="193">
        <v>85.1</v>
      </c>
    </row>
    <row r="1634" spans="1:7" x14ac:dyDescent="0.3">
      <c r="A1634" s="195" t="s">
        <v>888</v>
      </c>
      <c r="B1634" s="195" t="s">
        <v>894</v>
      </c>
      <c r="C1634" s="193" t="s">
        <v>1315</v>
      </c>
      <c r="D1634" s="20" t="s">
        <v>1316</v>
      </c>
      <c r="E1634" s="193">
        <v>131.1</v>
      </c>
      <c r="F1634" s="193">
        <v>61.2</v>
      </c>
      <c r="G1634" s="193">
        <v>127.2</v>
      </c>
    </row>
    <row r="1635" spans="1:7" x14ac:dyDescent="0.3">
      <c r="A1635" s="195" t="s">
        <v>888</v>
      </c>
      <c r="B1635" s="195" t="s">
        <v>894</v>
      </c>
      <c r="C1635" s="193" t="s">
        <v>1317</v>
      </c>
      <c r="D1635" s="20" t="s">
        <v>1318</v>
      </c>
      <c r="E1635" s="193">
        <v>107.7</v>
      </c>
      <c r="F1635" s="193">
        <v>95.7</v>
      </c>
      <c r="G1635" s="193">
        <v>99.5</v>
      </c>
    </row>
    <row r="1636" spans="1:7" x14ac:dyDescent="0.3">
      <c r="A1636" s="195" t="s">
        <v>888</v>
      </c>
      <c r="B1636" s="195" t="s">
        <v>894</v>
      </c>
      <c r="C1636" s="196" t="s">
        <v>1319</v>
      </c>
      <c r="D1636" s="203" t="s">
        <v>1320</v>
      </c>
      <c r="E1636" s="193">
        <v>111.8</v>
      </c>
      <c r="F1636" s="193">
        <v>66.3</v>
      </c>
      <c r="G1636" s="193">
        <v>91.8</v>
      </c>
    </row>
    <row r="1637" spans="1:7" x14ac:dyDescent="0.3">
      <c r="A1637" s="195" t="s">
        <v>837</v>
      </c>
      <c r="B1637" s="195" t="s">
        <v>895</v>
      </c>
      <c r="C1637" s="193" t="s">
        <v>1302</v>
      </c>
      <c r="D1637" s="20" t="s">
        <v>1303</v>
      </c>
      <c r="E1637" s="193">
        <v>145.5</v>
      </c>
      <c r="F1637" s="193">
        <v>97.9</v>
      </c>
      <c r="G1637" s="193">
        <v>116.8</v>
      </c>
    </row>
    <row r="1638" spans="1:7" x14ac:dyDescent="0.3">
      <c r="A1638" s="195" t="s">
        <v>837</v>
      </c>
      <c r="B1638" s="195" t="s">
        <v>895</v>
      </c>
      <c r="C1638" s="193" t="s">
        <v>1304</v>
      </c>
      <c r="D1638" s="20" t="s">
        <v>1305</v>
      </c>
      <c r="E1638" s="193">
        <v>118.3</v>
      </c>
      <c r="F1638" s="193">
        <v>93.1</v>
      </c>
      <c r="G1638" s="193">
        <v>108.3</v>
      </c>
    </row>
    <row r="1639" spans="1:7" x14ac:dyDescent="0.3">
      <c r="A1639" s="195" t="s">
        <v>837</v>
      </c>
      <c r="B1639" s="195" t="s">
        <v>895</v>
      </c>
      <c r="C1639" s="193" t="s">
        <v>1306</v>
      </c>
      <c r="D1639" s="20" t="s">
        <v>1307</v>
      </c>
      <c r="E1639" s="193">
        <v>133.30000000000001</v>
      </c>
      <c r="F1639" s="193">
        <v>100.2</v>
      </c>
      <c r="G1639" s="193">
        <v>117.7</v>
      </c>
    </row>
    <row r="1640" spans="1:7" x14ac:dyDescent="0.3">
      <c r="A1640" s="195" t="s">
        <v>837</v>
      </c>
      <c r="B1640" s="195" t="s">
        <v>895</v>
      </c>
      <c r="C1640" s="193" t="s">
        <v>1308</v>
      </c>
      <c r="D1640" s="20" t="s">
        <v>1309</v>
      </c>
      <c r="E1640" s="193">
        <v>117.1</v>
      </c>
      <c r="F1640" s="193">
        <v>91.6</v>
      </c>
      <c r="G1640" s="193">
        <v>107.2</v>
      </c>
    </row>
    <row r="1641" spans="1:7" x14ac:dyDescent="0.3">
      <c r="A1641" s="195" t="s">
        <v>837</v>
      </c>
      <c r="B1641" s="195" t="s">
        <v>895</v>
      </c>
      <c r="C1641" s="193" t="s">
        <v>1310</v>
      </c>
      <c r="D1641" s="20" t="s">
        <v>27</v>
      </c>
      <c r="E1641" s="193">
        <v>103.4</v>
      </c>
      <c r="F1641" s="193">
        <v>94</v>
      </c>
      <c r="G1641" s="193">
        <v>99.5</v>
      </c>
    </row>
    <row r="1642" spans="1:7" x14ac:dyDescent="0.3">
      <c r="A1642" s="195" t="s">
        <v>837</v>
      </c>
      <c r="B1642" s="195" t="s">
        <v>895</v>
      </c>
      <c r="C1642" s="193" t="s">
        <v>1311</v>
      </c>
      <c r="D1642" s="20" t="s">
        <v>1312</v>
      </c>
      <c r="E1642" s="193">
        <v>131.1</v>
      </c>
      <c r="F1642" s="193">
        <v>72</v>
      </c>
      <c r="G1642" s="193">
        <v>113.9</v>
      </c>
    </row>
    <row r="1643" spans="1:7" x14ac:dyDescent="0.3">
      <c r="A1643" s="195" t="s">
        <v>837</v>
      </c>
      <c r="B1643" s="195" t="s">
        <v>895</v>
      </c>
      <c r="C1643" s="193" t="s">
        <v>1313</v>
      </c>
      <c r="D1643" s="20" t="s">
        <v>1321</v>
      </c>
      <c r="E1643" s="193">
        <v>103.6</v>
      </c>
      <c r="F1643" s="193">
        <v>101.2</v>
      </c>
      <c r="G1643" s="193">
        <v>102.6</v>
      </c>
    </row>
    <row r="1644" spans="1:7" x14ac:dyDescent="0.3">
      <c r="A1644" s="195" t="s">
        <v>837</v>
      </c>
      <c r="B1644" s="195" t="s">
        <v>895</v>
      </c>
      <c r="C1644" s="193" t="s">
        <v>361</v>
      </c>
      <c r="D1644" s="20" t="s">
        <v>1314</v>
      </c>
      <c r="E1644" s="193">
        <v>108.9</v>
      </c>
      <c r="F1644" s="193">
        <v>89.3</v>
      </c>
      <c r="G1644" s="193">
        <v>99</v>
      </c>
    </row>
    <row r="1645" spans="1:7" x14ac:dyDescent="0.3">
      <c r="A1645" s="195" t="s">
        <v>837</v>
      </c>
      <c r="B1645" s="195" t="s">
        <v>895</v>
      </c>
      <c r="C1645" s="193" t="s">
        <v>1315</v>
      </c>
      <c r="D1645" s="20" t="s">
        <v>1316</v>
      </c>
      <c r="E1645" s="193">
        <v>131.1</v>
      </c>
      <c r="F1645" s="193">
        <v>92.4</v>
      </c>
      <c r="G1645" s="193">
        <v>129</v>
      </c>
    </row>
    <row r="1646" spans="1:7" x14ac:dyDescent="0.3">
      <c r="A1646" s="195" t="s">
        <v>837</v>
      </c>
      <c r="B1646" s="195" t="s">
        <v>895</v>
      </c>
      <c r="C1646" s="193" t="s">
        <v>1317</v>
      </c>
      <c r="D1646" s="20" t="s">
        <v>1318</v>
      </c>
      <c r="E1646" s="193">
        <v>122.5</v>
      </c>
      <c r="F1646" s="193">
        <v>100.2</v>
      </c>
      <c r="G1646" s="193">
        <v>107.3</v>
      </c>
    </row>
    <row r="1647" spans="1:7" x14ac:dyDescent="0.3">
      <c r="A1647" s="195" t="s">
        <v>837</v>
      </c>
      <c r="B1647" s="195" t="s">
        <v>895</v>
      </c>
      <c r="C1647" s="196" t="s">
        <v>1319</v>
      </c>
      <c r="D1647" s="203" t="s">
        <v>1320</v>
      </c>
      <c r="E1647" s="193">
        <v>115.5</v>
      </c>
      <c r="F1647" s="193">
        <v>95.5</v>
      </c>
      <c r="G1647" s="193">
        <v>106.7</v>
      </c>
    </row>
    <row r="1648" spans="1:7" x14ac:dyDescent="0.3">
      <c r="A1648" s="195" t="s">
        <v>884</v>
      </c>
      <c r="B1648" s="195" t="s">
        <v>896</v>
      </c>
      <c r="C1648" s="193" t="s">
        <v>1302</v>
      </c>
      <c r="D1648" s="20" t="s">
        <v>1303</v>
      </c>
      <c r="E1648" s="193">
        <v>116.4</v>
      </c>
      <c r="F1648" s="193">
        <v>95.2</v>
      </c>
      <c r="G1648" s="193">
        <v>103.6</v>
      </c>
    </row>
    <row r="1649" spans="1:7" x14ac:dyDescent="0.3">
      <c r="A1649" s="195" t="s">
        <v>884</v>
      </c>
      <c r="B1649" s="195" t="s">
        <v>896</v>
      </c>
      <c r="C1649" s="193" t="s">
        <v>1304</v>
      </c>
      <c r="D1649" s="20" t="s">
        <v>1305</v>
      </c>
      <c r="E1649" s="193">
        <v>112.5</v>
      </c>
      <c r="F1649" s="193">
        <v>92.5</v>
      </c>
      <c r="G1649" s="193">
        <v>104.5</v>
      </c>
    </row>
    <row r="1650" spans="1:7" x14ac:dyDescent="0.3">
      <c r="A1650" s="195" t="s">
        <v>884</v>
      </c>
      <c r="B1650" s="195" t="s">
        <v>896</v>
      </c>
      <c r="C1650" s="193" t="s">
        <v>1306</v>
      </c>
      <c r="D1650" s="20" t="s">
        <v>1307</v>
      </c>
      <c r="E1650" s="193">
        <v>127</v>
      </c>
      <c r="F1650" s="193">
        <v>90.2</v>
      </c>
      <c r="G1650" s="193">
        <v>109.6</v>
      </c>
    </row>
    <row r="1651" spans="1:7" x14ac:dyDescent="0.3">
      <c r="A1651" s="195" t="s">
        <v>884</v>
      </c>
      <c r="B1651" s="195" t="s">
        <v>896</v>
      </c>
      <c r="C1651" s="193" t="s">
        <v>1308</v>
      </c>
      <c r="D1651" s="20" t="s">
        <v>1309</v>
      </c>
      <c r="E1651" s="193">
        <v>109.6</v>
      </c>
      <c r="F1651" s="193">
        <v>93.9</v>
      </c>
      <c r="G1651" s="193">
        <v>103.5</v>
      </c>
    </row>
    <row r="1652" spans="1:7" x14ac:dyDescent="0.3">
      <c r="A1652" s="195" t="s">
        <v>884</v>
      </c>
      <c r="B1652" s="195" t="s">
        <v>896</v>
      </c>
      <c r="C1652" s="193" t="s">
        <v>1310</v>
      </c>
      <c r="D1652" s="20" t="s">
        <v>27</v>
      </c>
      <c r="E1652" s="193">
        <v>105</v>
      </c>
      <c r="F1652" s="193">
        <v>92.9</v>
      </c>
      <c r="G1652" s="193">
        <v>99.9</v>
      </c>
    </row>
    <row r="1653" spans="1:7" x14ac:dyDescent="0.3">
      <c r="A1653" s="195" t="s">
        <v>884</v>
      </c>
      <c r="B1653" s="195" t="s">
        <v>896</v>
      </c>
      <c r="C1653" s="193" t="s">
        <v>1311</v>
      </c>
      <c r="D1653" s="20" t="s">
        <v>1312</v>
      </c>
      <c r="E1653" s="193">
        <v>131.1</v>
      </c>
      <c r="F1653" s="193">
        <v>85.3</v>
      </c>
      <c r="G1653" s="193">
        <v>117.7</v>
      </c>
    </row>
    <row r="1654" spans="1:7" x14ac:dyDescent="0.3">
      <c r="A1654" s="195" t="s">
        <v>884</v>
      </c>
      <c r="B1654" s="195" t="s">
        <v>896</v>
      </c>
      <c r="C1654" s="193" t="s">
        <v>1313</v>
      </c>
      <c r="D1654" s="20" t="s">
        <v>1321</v>
      </c>
      <c r="E1654" s="193">
        <v>103.6</v>
      </c>
      <c r="F1654" s="193">
        <v>93.5</v>
      </c>
      <c r="G1654" s="193">
        <v>99.3</v>
      </c>
    </row>
    <row r="1655" spans="1:7" x14ac:dyDescent="0.3">
      <c r="A1655" s="195" t="s">
        <v>884</v>
      </c>
      <c r="B1655" s="195" t="s">
        <v>896</v>
      </c>
      <c r="C1655" s="193" t="s">
        <v>361</v>
      </c>
      <c r="D1655" s="20" t="s">
        <v>1314</v>
      </c>
      <c r="E1655" s="193">
        <v>106.5</v>
      </c>
      <c r="F1655" s="193">
        <v>86.1</v>
      </c>
      <c r="G1655" s="193">
        <v>96.2</v>
      </c>
    </row>
    <row r="1656" spans="1:7" x14ac:dyDescent="0.3">
      <c r="A1656" s="195" t="s">
        <v>884</v>
      </c>
      <c r="B1656" s="195" t="s">
        <v>896</v>
      </c>
      <c r="C1656" s="193" t="s">
        <v>1315</v>
      </c>
      <c r="D1656" s="20" t="s">
        <v>1316</v>
      </c>
      <c r="E1656" s="193">
        <v>131.1</v>
      </c>
      <c r="F1656" s="193">
        <v>90</v>
      </c>
      <c r="G1656" s="193">
        <v>128.80000000000001</v>
      </c>
    </row>
    <row r="1657" spans="1:7" x14ac:dyDescent="0.3">
      <c r="A1657" s="195" t="s">
        <v>884</v>
      </c>
      <c r="B1657" s="195" t="s">
        <v>896</v>
      </c>
      <c r="C1657" s="193" t="s">
        <v>1317</v>
      </c>
      <c r="D1657" s="20" t="s">
        <v>1318</v>
      </c>
      <c r="E1657" s="193">
        <v>105.3</v>
      </c>
      <c r="F1657" s="193">
        <v>98.4</v>
      </c>
      <c r="G1657" s="193">
        <v>100.6</v>
      </c>
    </row>
    <row r="1658" spans="1:7" x14ac:dyDescent="0.3">
      <c r="A1658" s="195" t="s">
        <v>884</v>
      </c>
      <c r="B1658" s="195" t="s">
        <v>896</v>
      </c>
      <c r="C1658" s="196" t="s">
        <v>1319</v>
      </c>
      <c r="D1658" s="203" t="s">
        <v>1320</v>
      </c>
      <c r="E1658" s="193">
        <v>111.7</v>
      </c>
      <c r="F1658" s="193">
        <v>92</v>
      </c>
      <c r="G1658" s="193">
        <v>103</v>
      </c>
    </row>
    <row r="1659" spans="1:7" x14ac:dyDescent="0.3">
      <c r="A1659" s="195" t="s">
        <v>881</v>
      </c>
      <c r="B1659" s="195" t="s">
        <v>897</v>
      </c>
      <c r="C1659" s="193" t="s">
        <v>1302</v>
      </c>
      <c r="D1659" s="20" t="s">
        <v>1303</v>
      </c>
      <c r="E1659" s="193">
        <v>174.6</v>
      </c>
      <c r="F1659" s="193">
        <v>94.1</v>
      </c>
      <c r="G1659" s="193">
        <v>126.1</v>
      </c>
    </row>
    <row r="1660" spans="1:7" x14ac:dyDescent="0.3">
      <c r="A1660" s="195" t="s">
        <v>881</v>
      </c>
      <c r="B1660" s="195" t="s">
        <v>897</v>
      </c>
      <c r="C1660" s="193" t="s">
        <v>1304</v>
      </c>
      <c r="D1660" s="20" t="s">
        <v>1305</v>
      </c>
      <c r="E1660" s="193">
        <v>145.19999999999999</v>
      </c>
      <c r="F1660" s="193">
        <v>90</v>
      </c>
      <c r="G1660" s="193">
        <v>123.1</v>
      </c>
    </row>
    <row r="1661" spans="1:7" x14ac:dyDescent="0.3">
      <c r="A1661" s="195" t="s">
        <v>881</v>
      </c>
      <c r="B1661" s="195" t="s">
        <v>897</v>
      </c>
      <c r="C1661" s="193" t="s">
        <v>1306</v>
      </c>
      <c r="D1661" s="20" t="s">
        <v>1307</v>
      </c>
      <c r="E1661" s="193">
        <v>152.5</v>
      </c>
      <c r="F1661" s="193">
        <v>86.8</v>
      </c>
      <c r="G1661" s="193">
        <v>121.4</v>
      </c>
    </row>
    <row r="1662" spans="1:7" x14ac:dyDescent="0.3">
      <c r="A1662" s="195" t="s">
        <v>881</v>
      </c>
      <c r="B1662" s="195" t="s">
        <v>897</v>
      </c>
      <c r="C1662" s="193" t="s">
        <v>1308</v>
      </c>
      <c r="D1662" s="20" t="s">
        <v>1309</v>
      </c>
      <c r="E1662" s="193">
        <v>125.8</v>
      </c>
      <c r="F1662" s="193">
        <v>90.9</v>
      </c>
      <c r="G1662" s="193">
        <v>112.2</v>
      </c>
    </row>
    <row r="1663" spans="1:7" x14ac:dyDescent="0.3">
      <c r="A1663" s="195" t="s">
        <v>881</v>
      </c>
      <c r="B1663" s="195" t="s">
        <v>897</v>
      </c>
      <c r="C1663" s="193" t="s">
        <v>1310</v>
      </c>
      <c r="D1663" s="20" t="s">
        <v>27</v>
      </c>
      <c r="E1663" s="193">
        <v>104.7</v>
      </c>
      <c r="F1663" s="193">
        <v>89.7</v>
      </c>
      <c r="G1663" s="193">
        <v>98.4</v>
      </c>
    </row>
    <row r="1664" spans="1:7" x14ac:dyDescent="0.3">
      <c r="A1664" s="195" t="s">
        <v>881</v>
      </c>
      <c r="B1664" s="195" t="s">
        <v>897</v>
      </c>
      <c r="C1664" s="193" t="s">
        <v>1311</v>
      </c>
      <c r="D1664" s="20" t="s">
        <v>1312</v>
      </c>
      <c r="E1664" s="193">
        <v>131.1</v>
      </c>
      <c r="F1664" s="193">
        <v>95.4</v>
      </c>
      <c r="G1664" s="193">
        <v>120.7</v>
      </c>
    </row>
    <row r="1665" spans="1:7" x14ac:dyDescent="0.3">
      <c r="A1665" s="195" t="s">
        <v>881</v>
      </c>
      <c r="B1665" s="195" t="s">
        <v>897</v>
      </c>
      <c r="C1665" s="193" t="s">
        <v>1313</v>
      </c>
      <c r="D1665" s="20" t="s">
        <v>1321</v>
      </c>
      <c r="E1665" s="193">
        <v>104.1</v>
      </c>
      <c r="F1665" s="193">
        <v>97.9</v>
      </c>
      <c r="G1665" s="193">
        <v>101.5</v>
      </c>
    </row>
    <row r="1666" spans="1:7" x14ac:dyDescent="0.3">
      <c r="A1666" s="195" t="s">
        <v>881</v>
      </c>
      <c r="B1666" s="195" t="s">
        <v>897</v>
      </c>
      <c r="C1666" s="193" t="s">
        <v>361</v>
      </c>
      <c r="D1666" s="20" t="s">
        <v>1314</v>
      </c>
      <c r="E1666" s="193">
        <v>103.7</v>
      </c>
      <c r="F1666" s="193">
        <v>84.8</v>
      </c>
      <c r="G1666" s="193">
        <v>94.2</v>
      </c>
    </row>
    <row r="1667" spans="1:7" x14ac:dyDescent="0.3">
      <c r="A1667" s="195" t="s">
        <v>881</v>
      </c>
      <c r="B1667" s="195" t="s">
        <v>897</v>
      </c>
      <c r="C1667" s="193" t="s">
        <v>1315</v>
      </c>
      <c r="D1667" s="20" t="s">
        <v>1316</v>
      </c>
      <c r="E1667" s="193">
        <v>131.1</v>
      </c>
      <c r="F1667" s="193">
        <v>88.4</v>
      </c>
      <c r="G1667" s="193">
        <v>128.69999999999999</v>
      </c>
    </row>
    <row r="1668" spans="1:7" x14ac:dyDescent="0.3">
      <c r="A1668" s="195" t="s">
        <v>881</v>
      </c>
      <c r="B1668" s="195" t="s">
        <v>897</v>
      </c>
      <c r="C1668" s="193" t="s">
        <v>1317</v>
      </c>
      <c r="D1668" s="20" t="s">
        <v>1318</v>
      </c>
      <c r="E1668" s="193">
        <v>128</v>
      </c>
      <c r="F1668" s="193">
        <v>100.9</v>
      </c>
      <c r="G1668" s="193">
        <v>109.5</v>
      </c>
    </row>
    <row r="1669" spans="1:7" x14ac:dyDescent="0.3">
      <c r="A1669" s="195" t="s">
        <v>881</v>
      </c>
      <c r="B1669" s="195" t="s">
        <v>897</v>
      </c>
      <c r="C1669" s="196" t="s">
        <v>1319</v>
      </c>
      <c r="D1669" s="203" t="s">
        <v>1320</v>
      </c>
      <c r="E1669" s="193">
        <v>124.5</v>
      </c>
      <c r="F1669" s="193">
        <v>91.7</v>
      </c>
      <c r="G1669" s="193">
        <v>110</v>
      </c>
    </row>
    <row r="1670" spans="1:7" x14ac:dyDescent="0.3">
      <c r="A1670" s="195" t="s">
        <v>884</v>
      </c>
      <c r="B1670" s="195" t="s">
        <v>898</v>
      </c>
      <c r="C1670" s="193" t="s">
        <v>1302</v>
      </c>
      <c r="D1670" s="20" t="s">
        <v>1303</v>
      </c>
      <c r="E1670" s="193">
        <v>121.7</v>
      </c>
      <c r="F1670" s="193">
        <v>90.6</v>
      </c>
      <c r="G1670" s="193">
        <v>103</v>
      </c>
    </row>
    <row r="1671" spans="1:7" x14ac:dyDescent="0.3">
      <c r="A1671" s="195" t="s">
        <v>884</v>
      </c>
      <c r="B1671" s="195" t="s">
        <v>898</v>
      </c>
      <c r="C1671" s="193" t="s">
        <v>1304</v>
      </c>
      <c r="D1671" s="20" t="s">
        <v>1305</v>
      </c>
      <c r="E1671" s="193">
        <v>112.8</v>
      </c>
      <c r="F1671" s="193">
        <v>87.2</v>
      </c>
      <c r="G1671" s="193">
        <v>102.5</v>
      </c>
    </row>
    <row r="1672" spans="1:7" x14ac:dyDescent="0.3">
      <c r="A1672" s="195" t="s">
        <v>884</v>
      </c>
      <c r="B1672" s="195" t="s">
        <v>898</v>
      </c>
      <c r="C1672" s="193" t="s">
        <v>1306</v>
      </c>
      <c r="D1672" s="20" t="s">
        <v>1307</v>
      </c>
      <c r="E1672" s="193">
        <v>132.69999999999999</v>
      </c>
      <c r="F1672" s="193">
        <v>83.5</v>
      </c>
      <c r="G1672" s="193">
        <v>109.4</v>
      </c>
    </row>
    <row r="1673" spans="1:7" x14ac:dyDescent="0.3">
      <c r="A1673" s="195" t="s">
        <v>884</v>
      </c>
      <c r="B1673" s="195" t="s">
        <v>898</v>
      </c>
      <c r="C1673" s="193" t="s">
        <v>1308</v>
      </c>
      <c r="D1673" s="20" t="s">
        <v>1309</v>
      </c>
      <c r="E1673" s="193">
        <v>110.5</v>
      </c>
      <c r="F1673" s="193">
        <v>88.2</v>
      </c>
      <c r="G1673" s="193">
        <v>101.8</v>
      </c>
    </row>
    <row r="1674" spans="1:7" x14ac:dyDescent="0.3">
      <c r="A1674" s="195" t="s">
        <v>884</v>
      </c>
      <c r="B1674" s="195" t="s">
        <v>898</v>
      </c>
      <c r="C1674" s="193" t="s">
        <v>1310</v>
      </c>
      <c r="D1674" s="20" t="s">
        <v>27</v>
      </c>
      <c r="E1674" s="193">
        <v>102.9</v>
      </c>
      <c r="F1674" s="193">
        <v>87</v>
      </c>
      <c r="G1674" s="193">
        <v>96.3</v>
      </c>
    </row>
    <row r="1675" spans="1:7" x14ac:dyDescent="0.3">
      <c r="A1675" s="195" t="s">
        <v>884</v>
      </c>
      <c r="B1675" s="195" t="s">
        <v>898</v>
      </c>
      <c r="C1675" s="193" t="s">
        <v>1311</v>
      </c>
      <c r="D1675" s="20" t="s">
        <v>1312</v>
      </c>
      <c r="E1675" s="193">
        <v>131.1</v>
      </c>
      <c r="F1675" s="193">
        <v>82.6</v>
      </c>
      <c r="G1675" s="193">
        <v>116.9</v>
      </c>
    </row>
    <row r="1676" spans="1:7" x14ac:dyDescent="0.3">
      <c r="A1676" s="195" t="s">
        <v>884</v>
      </c>
      <c r="B1676" s="195" t="s">
        <v>898</v>
      </c>
      <c r="C1676" s="193" t="s">
        <v>1313</v>
      </c>
      <c r="D1676" s="20" t="s">
        <v>1321</v>
      </c>
      <c r="E1676" s="193">
        <v>103.6</v>
      </c>
      <c r="F1676" s="193">
        <v>90</v>
      </c>
      <c r="G1676" s="193">
        <v>97.8</v>
      </c>
    </row>
    <row r="1677" spans="1:7" x14ac:dyDescent="0.3">
      <c r="A1677" s="195" t="s">
        <v>884</v>
      </c>
      <c r="B1677" s="195" t="s">
        <v>898</v>
      </c>
      <c r="C1677" s="193" t="s">
        <v>361</v>
      </c>
      <c r="D1677" s="20" t="s">
        <v>1314</v>
      </c>
      <c r="E1677" s="193">
        <v>110</v>
      </c>
      <c r="F1677" s="193">
        <v>72.099999999999994</v>
      </c>
      <c r="G1677" s="193">
        <v>90.8</v>
      </c>
    </row>
    <row r="1678" spans="1:7" x14ac:dyDescent="0.3">
      <c r="A1678" s="195" t="s">
        <v>884</v>
      </c>
      <c r="B1678" s="195" t="s">
        <v>898</v>
      </c>
      <c r="C1678" s="193" t="s">
        <v>1315</v>
      </c>
      <c r="D1678" s="20" t="s">
        <v>1316</v>
      </c>
      <c r="E1678" s="193">
        <v>131.1</v>
      </c>
      <c r="F1678" s="193">
        <v>84.3</v>
      </c>
      <c r="G1678" s="193">
        <v>128.5</v>
      </c>
    </row>
    <row r="1679" spans="1:7" x14ac:dyDescent="0.3">
      <c r="A1679" s="195" t="s">
        <v>884</v>
      </c>
      <c r="B1679" s="195" t="s">
        <v>898</v>
      </c>
      <c r="C1679" s="193" t="s">
        <v>1317</v>
      </c>
      <c r="D1679" s="20" t="s">
        <v>1318</v>
      </c>
      <c r="E1679" s="193">
        <v>102.5</v>
      </c>
      <c r="F1679" s="193">
        <v>99</v>
      </c>
      <c r="G1679" s="193">
        <v>100.1</v>
      </c>
    </row>
    <row r="1680" spans="1:7" x14ac:dyDescent="0.3">
      <c r="A1680" s="195" t="s">
        <v>884</v>
      </c>
      <c r="B1680" s="195" t="s">
        <v>898</v>
      </c>
      <c r="C1680" s="196" t="s">
        <v>1319</v>
      </c>
      <c r="D1680" s="203" t="s">
        <v>1320</v>
      </c>
      <c r="E1680" s="193">
        <v>112.6</v>
      </c>
      <c r="F1680" s="193">
        <v>86.1</v>
      </c>
      <c r="G1680" s="193">
        <v>100.9</v>
      </c>
    </row>
    <row r="1681" spans="1:7" x14ac:dyDescent="0.3">
      <c r="A1681" s="195" t="s">
        <v>881</v>
      </c>
      <c r="B1681" s="195" t="s">
        <v>899</v>
      </c>
      <c r="C1681" s="193" t="s">
        <v>1302</v>
      </c>
      <c r="D1681" s="20" t="s">
        <v>1303</v>
      </c>
      <c r="E1681" s="193">
        <v>142.80000000000001</v>
      </c>
      <c r="F1681" s="193">
        <v>94.3</v>
      </c>
      <c r="G1681" s="193">
        <v>113.6</v>
      </c>
    </row>
    <row r="1682" spans="1:7" x14ac:dyDescent="0.3">
      <c r="A1682" s="195" t="s">
        <v>881</v>
      </c>
      <c r="B1682" s="195" t="s">
        <v>899</v>
      </c>
      <c r="C1682" s="193" t="s">
        <v>1304</v>
      </c>
      <c r="D1682" s="20" t="s">
        <v>1305</v>
      </c>
      <c r="E1682" s="193">
        <v>133.69999999999999</v>
      </c>
      <c r="F1682" s="193">
        <v>90</v>
      </c>
      <c r="G1682" s="193">
        <v>116.3</v>
      </c>
    </row>
    <row r="1683" spans="1:7" x14ac:dyDescent="0.3">
      <c r="A1683" s="195" t="s">
        <v>881</v>
      </c>
      <c r="B1683" s="195" t="s">
        <v>899</v>
      </c>
      <c r="C1683" s="193" t="s">
        <v>1306</v>
      </c>
      <c r="D1683" s="20" t="s">
        <v>1307</v>
      </c>
      <c r="E1683" s="193">
        <v>140.69999999999999</v>
      </c>
      <c r="F1683" s="193">
        <v>86.8</v>
      </c>
      <c r="G1683" s="193">
        <v>115.2</v>
      </c>
    </row>
    <row r="1684" spans="1:7" x14ac:dyDescent="0.3">
      <c r="A1684" s="195" t="s">
        <v>881</v>
      </c>
      <c r="B1684" s="195" t="s">
        <v>899</v>
      </c>
      <c r="C1684" s="193" t="s">
        <v>1308</v>
      </c>
      <c r="D1684" s="20" t="s">
        <v>1309</v>
      </c>
      <c r="E1684" s="193">
        <v>122.9</v>
      </c>
      <c r="F1684" s="193">
        <v>90.9</v>
      </c>
      <c r="G1684" s="193">
        <v>110.5</v>
      </c>
    </row>
    <row r="1685" spans="1:7" x14ac:dyDescent="0.3">
      <c r="A1685" s="195" t="s">
        <v>881</v>
      </c>
      <c r="B1685" s="195" t="s">
        <v>899</v>
      </c>
      <c r="C1685" s="193" t="s">
        <v>1310</v>
      </c>
      <c r="D1685" s="20" t="s">
        <v>27</v>
      </c>
      <c r="E1685" s="193">
        <v>103.7</v>
      </c>
      <c r="F1685" s="193">
        <v>90.5</v>
      </c>
      <c r="G1685" s="193">
        <v>98.1</v>
      </c>
    </row>
    <row r="1686" spans="1:7" x14ac:dyDescent="0.3">
      <c r="A1686" s="195" t="s">
        <v>881</v>
      </c>
      <c r="B1686" s="195" t="s">
        <v>899</v>
      </c>
      <c r="C1686" s="193" t="s">
        <v>1311</v>
      </c>
      <c r="D1686" s="20" t="s">
        <v>1312</v>
      </c>
      <c r="E1686" s="193">
        <v>131.1</v>
      </c>
      <c r="F1686" s="193">
        <v>95.4</v>
      </c>
      <c r="G1686" s="193">
        <v>120.7</v>
      </c>
    </row>
    <row r="1687" spans="1:7" x14ac:dyDescent="0.3">
      <c r="A1687" s="195" t="s">
        <v>881</v>
      </c>
      <c r="B1687" s="195" t="s">
        <v>899</v>
      </c>
      <c r="C1687" s="193" t="s">
        <v>1313</v>
      </c>
      <c r="D1687" s="20" t="s">
        <v>1321</v>
      </c>
      <c r="E1687" s="193">
        <v>103.9</v>
      </c>
      <c r="F1687" s="193">
        <v>94.6</v>
      </c>
      <c r="G1687" s="193">
        <v>100</v>
      </c>
    </row>
    <row r="1688" spans="1:7" x14ac:dyDescent="0.3">
      <c r="A1688" s="195" t="s">
        <v>881</v>
      </c>
      <c r="B1688" s="195" t="s">
        <v>899</v>
      </c>
      <c r="C1688" s="193" t="s">
        <v>361</v>
      </c>
      <c r="D1688" s="20" t="s">
        <v>1314</v>
      </c>
      <c r="E1688" s="193">
        <v>104.9</v>
      </c>
      <c r="F1688" s="193">
        <v>84.8</v>
      </c>
      <c r="G1688" s="193">
        <v>94.8</v>
      </c>
    </row>
    <row r="1689" spans="1:7" x14ac:dyDescent="0.3">
      <c r="A1689" s="195" t="s">
        <v>881</v>
      </c>
      <c r="B1689" s="195" t="s">
        <v>899</v>
      </c>
      <c r="C1689" s="193" t="s">
        <v>1315</v>
      </c>
      <c r="D1689" s="20" t="s">
        <v>1316</v>
      </c>
      <c r="E1689" s="193">
        <v>131.1</v>
      </c>
      <c r="F1689" s="193">
        <v>88.5</v>
      </c>
      <c r="G1689" s="193">
        <v>128.80000000000001</v>
      </c>
    </row>
    <row r="1690" spans="1:7" x14ac:dyDescent="0.3">
      <c r="A1690" s="195" t="s">
        <v>881</v>
      </c>
      <c r="B1690" s="195" t="s">
        <v>899</v>
      </c>
      <c r="C1690" s="193" t="s">
        <v>1317</v>
      </c>
      <c r="D1690" s="20" t="s">
        <v>1318</v>
      </c>
      <c r="E1690" s="193">
        <v>119.3</v>
      </c>
      <c r="F1690" s="193">
        <v>101.5</v>
      </c>
      <c r="G1690" s="193">
        <v>107.2</v>
      </c>
    </row>
    <row r="1691" spans="1:7" x14ac:dyDescent="0.3">
      <c r="A1691" s="195" t="s">
        <v>881</v>
      </c>
      <c r="B1691" s="195" t="s">
        <v>899</v>
      </c>
      <c r="C1691" s="196" t="s">
        <v>1319</v>
      </c>
      <c r="D1691" s="203" t="s">
        <v>1320</v>
      </c>
      <c r="E1691" s="193">
        <v>119.1</v>
      </c>
      <c r="F1691" s="193">
        <v>91.2</v>
      </c>
      <c r="G1691" s="193">
        <v>106.8</v>
      </c>
    </row>
    <row r="1692" spans="1:7" x14ac:dyDescent="0.3">
      <c r="A1692" s="195" t="s">
        <v>900</v>
      </c>
      <c r="B1692" s="195" t="s">
        <v>901</v>
      </c>
      <c r="C1692" s="193" t="s">
        <v>1302</v>
      </c>
      <c r="D1692" s="20" t="s">
        <v>1303</v>
      </c>
      <c r="E1692" s="193">
        <v>123.3</v>
      </c>
      <c r="F1692" s="193">
        <v>70.7</v>
      </c>
      <c r="G1692" s="193">
        <v>91.6</v>
      </c>
    </row>
    <row r="1693" spans="1:7" x14ac:dyDescent="0.3">
      <c r="A1693" s="195" t="s">
        <v>900</v>
      </c>
      <c r="B1693" s="195" t="s">
        <v>901</v>
      </c>
      <c r="C1693" s="193" t="s">
        <v>1304</v>
      </c>
      <c r="D1693" s="20" t="s">
        <v>1305</v>
      </c>
      <c r="E1693" s="193">
        <v>110.7</v>
      </c>
      <c r="F1693" s="193">
        <v>68.7</v>
      </c>
      <c r="G1693" s="193">
        <v>93.9</v>
      </c>
    </row>
    <row r="1694" spans="1:7" x14ac:dyDescent="0.3">
      <c r="A1694" s="195" t="s">
        <v>900</v>
      </c>
      <c r="B1694" s="195" t="s">
        <v>901</v>
      </c>
      <c r="C1694" s="193" t="s">
        <v>1306</v>
      </c>
      <c r="D1694" s="20" t="s">
        <v>1307</v>
      </c>
      <c r="E1694" s="193">
        <v>124.5</v>
      </c>
      <c r="F1694" s="193">
        <v>63.5</v>
      </c>
      <c r="G1694" s="193">
        <v>95.6</v>
      </c>
    </row>
    <row r="1695" spans="1:7" x14ac:dyDescent="0.3">
      <c r="A1695" s="195" t="s">
        <v>900</v>
      </c>
      <c r="B1695" s="195" t="s">
        <v>901</v>
      </c>
      <c r="C1695" s="193" t="s">
        <v>1308</v>
      </c>
      <c r="D1695" s="20" t="s">
        <v>1309</v>
      </c>
      <c r="E1695" s="193">
        <v>109.8</v>
      </c>
      <c r="F1695" s="193">
        <v>62.5</v>
      </c>
      <c r="G1695" s="193">
        <v>91.4</v>
      </c>
    </row>
    <row r="1696" spans="1:7" x14ac:dyDescent="0.3">
      <c r="A1696" s="195" t="s">
        <v>900</v>
      </c>
      <c r="B1696" s="195" t="s">
        <v>901</v>
      </c>
      <c r="C1696" s="193" t="s">
        <v>1310</v>
      </c>
      <c r="D1696" s="20" t="s">
        <v>27</v>
      </c>
      <c r="E1696" s="193">
        <v>98.8</v>
      </c>
      <c r="F1696" s="193">
        <v>59</v>
      </c>
      <c r="G1696" s="193">
        <v>82.1</v>
      </c>
    </row>
    <row r="1697" spans="1:7" x14ac:dyDescent="0.3">
      <c r="A1697" s="195" t="s">
        <v>900</v>
      </c>
      <c r="B1697" s="195" t="s">
        <v>901</v>
      </c>
      <c r="C1697" s="193" t="s">
        <v>1311</v>
      </c>
      <c r="D1697" s="20" t="s">
        <v>1312</v>
      </c>
      <c r="E1697" s="193">
        <v>131.1</v>
      </c>
      <c r="F1697" s="193">
        <v>63.5</v>
      </c>
      <c r="G1697" s="193">
        <v>111.3</v>
      </c>
    </row>
    <row r="1698" spans="1:7" x14ac:dyDescent="0.3">
      <c r="A1698" s="195" t="s">
        <v>900</v>
      </c>
      <c r="B1698" s="195" t="s">
        <v>901</v>
      </c>
      <c r="C1698" s="193" t="s">
        <v>1313</v>
      </c>
      <c r="D1698" s="20" t="s">
        <v>1321</v>
      </c>
      <c r="E1698" s="193">
        <v>103.9</v>
      </c>
      <c r="F1698" s="193">
        <v>75.3</v>
      </c>
      <c r="G1698" s="193">
        <v>91.8</v>
      </c>
    </row>
    <row r="1699" spans="1:7" x14ac:dyDescent="0.3">
      <c r="A1699" s="195" t="s">
        <v>900</v>
      </c>
      <c r="B1699" s="195" t="s">
        <v>901</v>
      </c>
      <c r="C1699" s="193" t="s">
        <v>361</v>
      </c>
      <c r="D1699" s="20" t="s">
        <v>1314</v>
      </c>
      <c r="E1699" s="193">
        <v>110.9</v>
      </c>
      <c r="F1699" s="193">
        <v>62.3</v>
      </c>
      <c r="G1699" s="193">
        <v>86.3</v>
      </c>
    </row>
    <row r="1700" spans="1:7" x14ac:dyDescent="0.3">
      <c r="A1700" s="195" t="s">
        <v>900</v>
      </c>
      <c r="B1700" s="195" t="s">
        <v>901</v>
      </c>
      <c r="C1700" s="193" t="s">
        <v>1315</v>
      </c>
      <c r="D1700" s="20" t="s">
        <v>1316</v>
      </c>
      <c r="E1700" s="193">
        <v>131.1</v>
      </c>
      <c r="F1700" s="193">
        <v>57</v>
      </c>
      <c r="G1700" s="193">
        <v>127</v>
      </c>
    </row>
    <row r="1701" spans="1:7" x14ac:dyDescent="0.3">
      <c r="A1701" s="195" t="s">
        <v>900</v>
      </c>
      <c r="B1701" s="195" t="s">
        <v>901</v>
      </c>
      <c r="C1701" s="193" t="s">
        <v>1317</v>
      </c>
      <c r="D1701" s="20" t="s">
        <v>1318</v>
      </c>
      <c r="E1701" s="193">
        <v>119.9</v>
      </c>
      <c r="F1701" s="193">
        <v>95.2</v>
      </c>
      <c r="G1701" s="193">
        <v>103.1</v>
      </c>
    </row>
    <row r="1702" spans="1:7" x14ac:dyDescent="0.3">
      <c r="A1702" s="195" t="s">
        <v>900</v>
      </c>
      <c r="B1702" s="195" t="s">
        <v>901</v>
      </c>
      <c r="C1702" s="196" t="s">
        <v>1319</v>
      </c>
      <c r="D1702" s="203" t="s">
        <v>1320</v>
      </c>
      <c r="E1702" s="193">
        <v>111.2</v>
      </c>
      <c r="F1702" s="193">
        <v>68.5</v>
      </c>
      <c r="G1702" s="193">
        <v>92.4</v>
      </c>
    </row>
    <row r="1703" spans="1:7" x14ac:dyDescent="0.3">
      <c r="A1703" s="195" t="s">
        <v>837</v>
      </c>
      <c r="B1703" s="195" t="s">
        <v>902</v>
      </c>
      <c r="C1703" s="193" t="s">
        <v>1302</v>
      </c>
      <c r="D1703" s="20" t="s">
        <v>1303</v>
      </c>
      <c r="E1703" s="193">
        <v>157.1</v>
      </c>
      <c r="F1703" s="193">
        <v>86.6</v>
      </c>
      <c r="G1703" s="193">
        <v>114.6</v>
      </c>
    </row>
    <row r="1704" spans="1:7" x14ac:dyDescent="0.3">
      <c r="A1704" s="195" t="s">
        <v>837</v>
      </c>
      <c r="B1704" s="195" t="s">
        <v>902</v>
      </c>
      <c r="C1704" s="193" t="s">
        <v>1304</v>
      </c>
      <c r="D1704" s="20" t="s">
        <v>1305</v>
      </c>
      <c r="E1704" s="193">
        <v>120.2</v>
      </c>
      <c r="F1704" s="193">
        <v>86.3</v>
      </c>
      <c r="G1704" s="193">
        <v>106.7</v>
      </c>
    </row>
    <row r="1705" spans="1:7" x14ac:dyDescent="0.3">
      <c r="A1705" s="195" t="s">
        <v>837</v>
      </c>
      <c r="B1705" s="195" t="s">
        <v>902</v>
      </c>
      <c r="C1705" s="193" t="s">
        <v>1306</v>
      </c>
      <c r="D1705" s="20" t="s">
        <v>1307</v>
      </c>
      <c r="E1705" s="193">
        <v>137.5</v>
      </c>
      <c r="F1705" s="193">
        <v>93.1</v>
      </c>
      <c r="G1705" s="193">
        <v>116.5</v>
      </c>
    </row>
    <row r="1706" spans="1:7" x14ac:dyDescent="0.3">
      <c r="A1706" s="195" t="s">
        <v>837</v>
      </c>
      <c r="B1706" s="195" t="s">
        <v>902</v>
      </c>
      <c r="C1706" s="193" t="s">
        <v>1308</v>
      </c>
      <c r="D1706" s="20" t="s">
        <v>1309</v>
      </c>
      <c r="E1706" s="193">
        <v>113.6</v>
      </c>
      <c r="F1706" s="193">
        <v>82.5</v>
      </c>
      <c r="G1706" s="193">
        <v>101.5</v>
      </c>
    </row>
    <row r="1707" spans="1:7" x14ac:dyDescent="0.3">
      <c r="A1707" s="195" t="s">
        <v>837</v>
      </c>
      <c r="B1707" s="195" t="s">
        <v>902</v>
      </c>
      <c r="C1707" s="193" t="s">
        <v>1310</v>
      </c>
      <c r="D1707" s="20" t="s">
        <v>27</v>
      </c>
      <c r="E1707" s="193">
        <v>104.8</v>
      </c>
      <c r="F1707" s="193">
        <v>85.1</v>
      </c>
      <c r="G1707" s="193">
        <v>96.5</v>
      </c>
    </row>
    <row r="1708" spans="1:7" x14ac:dyDescent="0.3">
      <c r="A1708" s="195" t="s">
        <v>837</v>
      </c>
      <c r="B1708" s="195" t="s">
        <v>902</v>
      </c>
      <c r="C1708" s="193" t="s">
        <v>1311</v>
      </c>
      <c r="D1708" s="20" t="s">
        <v>1312</v>
      </c>
      <c r="E1708" s="193">
        <v>139.19999999999999</v>
      </c>
      <c r="F1708" s="193">
        <v>69.7</v>
      </c>
      <c r="G1708" s="193">
        <v>118.9</v>
      </c>
    </row>
    <row r="1709" spans="1:7" x14ac:dyDescent="0.3">
      <c r="A1709" s="195" t="s">
        <v>837</v>
      </c>
      <c r="B1709" s="195" t="s">
        <v>902</v>
      </c>
      <c r="C1709" s="193" t="s">
        <v>1313</v>
      </c>
      <c r="D1709" s="20" t="s">
        <v>1321</v>
      </c>
      <c r="E1709" s="193">
        <v>103.5</v>
      </c>
      <c r="F1709" s="193">
        <v>97</v>
      </c>
      <c r="G1709" s="193">
        <v>100.8</v>
      </c>
    </row>
    <row r="1710" spans="1:7" x14ac:dyDescent="0.3">
      <c r="A1710" s="195" t="s">
        <v>837</v>
      </c>
      <c r="B1710" s="195" t="s">
        <v>902</v>
      </c>
      <c r="C1710" s="193" t="s">
        <v>361</v>
      </c>
      <c r="D1710" s="20" t="s">
        <v>1314</v>
      </c>
      <c r="E1710" s="193">
        <v>115.9</v>
      </c>
      <c r="F1710" s="193">
        <v>88.9</v>
      </c>
      <c r="G1710" s="193">
        <v>102.2</v>
      </c>
    </row>
    <row r="1711" spans="1:7" x14ac:dyDescent="0.3">
      <c r="A1711" s="195" t="s">
        <v>837</v>
      </c>
      <c r="B1711" s="195" t="s">
        <v>902</v>
      </c>
      <c r="C1711" s="193" t="s">
        <v>1315</v>
      </c>
      <c r="D1711" s="20" t="s">
        <v>1316</v>
      </c>
      <c r="E1711" s="193">
        <v>139.19999999999999</v>
      </c>
      <c r="F1711" s="193">
        <v>81.7</v>
      </c>
      <c r="G1711" s="193">
        <v>136</v>
      </c>
    </row>
    <row r="1712" spans="1:7" x14ac:dyDescent="0.3">
      <c r="A1712" s="195" t="s">
        <v>837</v>
      </c>
      <c r="B1712" s="195" t="s">
        <v>902</v>
      </c>
      <c r="C1712" s="193" t="s">
        <v>1317</v>
      </c>
      <c r="D1712" s="20" t="s">
        <v>1318</v>
      </c>
      <c r="E1712" s="193">
        <v>123.4</v>
      </c>
      <c r="F1712" s="193">
        <v>99.7</v>
      </c>
      <c r="G1712" s="193">
        <v>107.3</v>
      </c>
    </row>
    <row r="1713" spans="1:7" x14ac:dyDescent="0.3">
      <c r="A1713" s="195" t="s">
        <v>837</v>
      </c>
      <c r="B1713" s="195" t="s">
        <v>902</v>
      </c>
      <c r="C1713" s="196" t="s">
        <v>1319</v>
      </c>
      <c r="D1713" s="203" t="s">
        <v>1320</v>
      </c>
      <c r="E1713" s="193">
        <v>118.4</v>
      </c>
      <c r="F1713" s="193">
        <v>89.9</v>
      </c>
      <c r="G1713" s="193">
        <v>105.8</v>
      </c>
    </row>
    <row r="1714" spans="1:7" x14ac:dyDescent="0.3">
      <c r="A1714" s="195" t="s">
        <v>881</v>
      </c>
      <c r="B1714" s="195" t="s">
        <v>903</v>
      </c>
      <c r="C1714" s="193" t="s">
        <v>1302</v>
      </c>
      <c r="D1714" s="20" t="s">
        <v>1303</v>
      </c>
      <c r="E1714" s="193">
        <v>137.30000000000001</v>
      </c>
      <c r="F1714" s="193">
        <v>89.7</v>
      </c>
      <c r="G1714" s="193">
        <v>108.6</v>
      </c>
    </row>
    <row r="1715" spans="1:7" x14ac:dyDescent="0.3">
      <c r="A1715" s="195" t="s">
        <v>881</v>
      </c>
      <c r="B1715" s="195" t="s">
        <v>903</v>
      </c>
      <c r="C1715" s="193" t="s">
        <v>1304</v>
      </c>
      <c r="D1715" s="20" t="s">
        <v>1305</v>
      </c>
      <c r="E1715" s="193">
        <v>117.1</v>
      </c>
      <c r="F1715" s="193">
        <v>87</v>
      </c>
      <c r="G1715" s="193">
        <v>105.1</v>
      </c>
    </row>
    <row r="1716" spans="1:7" x14ac:dyDescent="0.3">
      <c r="A1716" s="195" t="s">
        <v>881</v>
      </c>
      <c r="B1716" s="195" t="s">
        <v>903</v>
      </c>
      <c r="C1716" s="193" t="s">
        <v>1306</v>
      </c>
      <c r="D1716" s="20" t="s">
        <v>1307</v>
      </c>
      <c r="E1716" s="193">
        <v>132.5</v>
      </c>
      <c r="F1716" s="193">
        <v>81.3</v>
      </c>
      <c r="G1716" s="193">
        <v>108.3</v>
      </c>
    </row>
    <row r="1717" spans="1:7" x14ac:dyDescent="0.3">
      <c r="A1717" s="195" t="s">
        <v>881</v>
      </c>
      <c r="B1717" s="195" t="s">
        <v>903</v>
      </c>
      <c r="C1717" s="193" t="s">
        <v>1308</v>
      </c>
      <c r="D1717" s="20" t="s">
        <v>1309</v>
      </c>
      <c r="E1717" s="193">
        <v>136.1</v>
      </c>
      <c r="F1717" s="193">
        <v>85.9</v>
      </c>
      <c r="G1717" s="193">
        <v>116.6</v>
      </c>
    </row>
    <row r="1718" spans="1:7" x14ac:dyDescent="0.3">
      <c r="A1718" s="195" t="s">
        <v>881</v>
      </c>
      <c r="B1718" s="195" t="s">
        <v>903</v>
      </c>
      <c r="C1718" s="193" t="s">
        <v>1310</v>
      </c>
      <c r="D1718" s="20" t="s">
        <v>27</v>
      </c>
      <c r="E1718" s="193">
        <v>103.1</v>
      </c>
      <c r="F1718" s="193">
        <v>81.3</v>
      </c>
      <c r="G1718" s="193">
        <v>93.9</v>
      </c>
    </row>
    <row r="1719" spans="1:7" x14ac:dyDescent="0.3">
      <c r="A1719" s="195" t="s">
        <v>881</v>
      </c>
      <c r="B1719" s="195" t="s">
        <v>903</v>
      </c>
      <c r="C1719" s="193" t="s">
        <v>1311</v>
      </c>
      <c r="D1719" s="20" t="s">
        <v>1312</v>
      </c>
      <c r="E1719" s="193">
        <v>131.1</v>
      </c>
      <c r="F1719" s="193">
        <v>93</v>
      </c>
      <c r="G1719" s="193">
        <v>120</v>
      </c>
    </row>
    <row r="1720" spans="1:7" x14ac:dyDescent="0.3">
      <c r="A1720" s="195" t="s">
        <v>881</v>
      </c>
      <c r="B1720" s="195" t="s">
        <v>903</v>
      </c>
      <c r="C1720" s="193" t="s">
        <v>1313</v>
      </c>
      <c r="D1720" s="20" t="s">
        <v>1321</v>
      </c>
      <c r="E1720" s="193">
        <v>103.6</v>
      </c>
      <c r="F1720" s="193">
        <v>91.3</v>
      </c>
      <c r="G1720" s="193">
        <v>98.4</v>
      </c>
    </row>
    <row r="1721" spans="1:7" x14ac:dyDescent="0.3">
      <c r="A1721" s="195" t="s">
        <v>881</v>
      </c>
      <c r="B1721" s="195" t="s">
        <v>903</v>
      </c>
      <c r="C1721" s="193" t="s">
        <v>361</v>
      </c>
      <c r="D1721" s="20" t="s">
        <v>1314</v>
      </c>
      <c r="E1721" s="193">
        <v>102.9</v>
      </c>
      <c r="F1721" s="193">
        <v>84.8</v>
      </c>
      <c r="G1721" s="193">
        <v>93.8</v>
      </c>
    </row>
    <row r="1722" spans="1:7" x14ac:dyDescent="0.3">
      <c r="A1722" s="195" t="s">
        <v>881</v>
      </c>
      <c r="B1722" s="195" t="s">
        <v>903</v>
      </c>
      <c r="C1722" s="193" t="s">
        <v>1315</v>
      </c>
      <c r="D1722" s="20" t="s">
        <v>1316</v>
      </c>
      <c r="E1722" s="193">
        <v>131.1</v>
      </c>
      <c r="F1722" s="193">
        <v>79.3</v>
      </c>
      <c r="G1722" s="193">
        <v>128.19999999999999</v>
      </c>
    </row>
    <row r="1723" spans="1:7" x14ac:dyDescent="0.3">
      <c r="A1723" s="195" t="s">
        <v>881</v>
      </c>
      <c r="B1723" s="195" t="s">
        <v>903</v>
      </c>
      <c r="C1723" s="193" t="s">
        <v>1317</v>
      </c>
      <c r="D1723" s="20" t="s">
        <v>1318</v>
      </c>
      <c r="E1723" s="193">
        <v>117.6</v>
      </c>
      <c r="F1723" s="193">
        <v>100.9</v>
      </c>
      <c r="G1723" s="193">
        <v>106.3</v>
      </c>
    </row>
    <row r="1724" spans="1:7" x14ac:dyDescent="0.3">
      <c r="A1724" s="195" t="s">
        <v>881</v>
      </c>
      <c r="B1724" s="195" t="s">
        <v>903</v>
      </c>
      <c r="C1724" s="196" t="s">
        <v>1319</v>
      </c>
      <c r="D1724" s="203" t="s">
        <v>1320</v>
      </c>
      <c r="E1724" s="193">
        <v>114.6</v>
      </c>
      <c r="F1724" s="193">
        <v>87.2</v>
      </c>
      <c r="G1724" s="193">
        <v>102.5</v>
      </c>
    </row>
    <row r="1725" spans="1:7" x14ac:dyDescent="0.3">
      <c r="A1725" s="195" t="s">
        <v>837</v>
      </c>
      <c r="B1725" s="195" t="s">
        <v>904</v>
      </c>
      <c r="C1725" s="193" t="s">
        <v>1302</v>
      </c>
      <c r="D1725" s="20" t="s">
        <v>1303</v>
      </c>
      <c r="E1725" s="193">
        <v>129.1</v>
      </c>
      <c r="F1725" s="193">
        <v>95.2</v>
      </c>
      <c r="G1725" s="193">
        <v>108.7</v>
      </c>
    </row>
    <row r="1726" spans="1:7" x14ac:dyDescent="0.3">
      <c r="A1726" s="195" t="s">
        <v>837</v>
      </c>
      <c r="B1726" s="195" t="s">
        <v>904</v>
      </c>
      <c r="C1726" s="193" t="s">
        <v>1304</v>
      </c>
      <c r="D1726" s="20" t="s">
        <v>1305</v>
      </c>
      <c r="E1726" s="193">
        <v>114.7</v>
      </c>
      <c r="F1726" s="193">
        <v>91.3</v>
      </c>
      <c r="G1726" s="193">
        <v>105.4</v>
      </c>
    </row>
    <row r="1727" spans="1:7" x14ac:dyDescent="0.3">
      <c r="A1727" s="195" t="s">
        <v>837</v>
      </c>
      <c r="B1727" s="195" t="s">
        <v>904</v>
      </c>
      <c r="C1727" s="193" t="s">
        <v>1306</v>
      </c>
      <c r="D1727" s="20" t="s">
        <v>1307</v>
      </c>
      <c r="E1727" s="193">
        <v>140.69999999999999</v>
      </c>
      <c r="F1727" s="193">
        <v>96.7</v>
      </c>
      <c r="G1727" s="193">
        <v>119.9</v>
      </c>
    </row>
    <row r="1728" spans="1:7" x14ac:dyDescent="0.3">
      <c r="A1728" s="195" t="s">
        <v>837</v>
      </c>
      <c r="B1728" s="195" t="s">
        <v>904</v>
      </c>
      <c r="C1728" s="193" t="s">
        <v>1308</v>
      </c>
      <c r="D1728" s="20" t="s">
        <v>1309</v>
      </c>
      <c r="E1728" s="193">
        <v>117.2</v>
      </c>
      <c r="F1728" s="193">
        <v>91.8</v>
      </c>
      <c r="G1728" s="193">
        <v>107.3</v>
      </c>
    </row>
    <row r="1729" spans="1:7" x14ac:dyDescent="0.3">
      <c r="A1729" s="195" t="s">
        <v>837</v>
      </c>
      <c r="B1729" s="195" t="s">
        <v>904</v>
      </c>
      <c r="C1729" s="193" t="s">
        <v>1310</v>
      </c>
      <c r="D1729" s="20" t="s">
        <v>27</v>
      </c>
      <c r="E1729" s="193">
        <v>105.2</v>
      </c>
      <c r="F1729" s="193">
        <v>94.6</v>
      </c>
      <c r="G1729" s="193">
        <v>100.7</v>
      </c>
    </row>
    <row r="1730" spans="1:7" x14ac:dyDescent="0.3">
      <c r="A1730" s="195" t="s">
        <v>837</v>
      </c>
      <c r="B1730" s="195" t="s">
        <v>904</v>
      </c>
      <c r="C1730" s="193" t="s">
        <v>1311</v>
      </c>
      <c r="D1730" s="20" t="s">
        <v>1312</v>
      </c>
      <c r="E1730" s="193">
        <v>131.1</v>
      </c>
      <c r="F1730" s="193">
        <v>71.2</v>
      </c>
      <c r="G1730" s="193">
        <v>113.6</v>
      </c>
    </row>
    <row r="1731" spans="1:7" x14ac:dyDescent="0.3">
      <c r="A1731" s="195" t="s">
        <v>837</v>
      </c>
      <c r="B1731" s="195" t="s">
        <v>904</v>
      </c>
      <c r="C1731" s="193" t="s">
        <v>1313</v>
      </c>
      <c r="D1731" s="20" t="s">
        <v>1321</v>
      </c>
      <c r="E1731" s="193">
        <v>103.6</v>
      </c>
      <c r="F1731" s="193">
        <v>106.6</v>
      </c>
      <c r="G1731" s="193">
        <v>104.9</v>
      </c>
    </row>
    <row r="1732" spans="1:7" x14ac:dyDescent="0.3">
      <c r="A1732" s="195" t="s">
        <v>837</v>
      </c>
      <c r="B1732" s="195" t="s">
        <v>904</v>
      </c>
      <c r="C1732" s="193" t="s">
        <v>361</v>
      </c>
      <c r="D1732" s="20" t="s">
        <v>1314</v>
      </c>
      <c r="E1732" s="193">
        <v>111.4</v>
      </c>
      <c r="F1732" s="193">
        <v>92</v>
      </c>
      <c r="G1732" s="193">
        <v>101.6</v>
      </c>
    </row>
    <row r="1733" spans="1:7" x14ac:dyDescent="0.3">
      <c r="A1733" s="195" t="s">
        <v>837</v>
      </c>
      <c r="B1733" s="195" t="s">
        <v>904</v>
      </c>
      <c r="C1733" s="193" t="s">
        <v>1315</v>
      </c>
      <c r="D1733" s="20" t="s">
        <v>1316</v>
      </c>
      <c r="E1733" s="193">
        <v>131.1</v>
      </c>
      <c r="F1733" s="193">
        <v>91.4</v>
      </c>
      <c r="G1733" s="193">
        <v>128.9</v>
      </c>
    </row>
    <row r="1734" spans="1:7" x14ac:dyDescent="0.3">
      <c r="A1734" s="195" t="s">
        <v>837</v>
      </c>
      <c r="B1734" s="195" t="s">
        <v>904</v>
      </c>
      <c r="C1734" s="193" t="s">
        <v>1317</v>
      </c>
      <c r="D1734" s="20" t="s">
        <v>1318</v>
      </c>
      <c r="E1734" s="193">
        <v>120.7</v>
      </c>
      <c r="F1734" s="193">
        <v>99.7</v>
      </c>
      <c r="G1734" s="193">
        <v>106.4</v>
      </c>
    </row>
    <row r="1735" spans="1:7" x14ac:dyDescent="0.3">
      <c r="A1735" s="195" t="s">
        <v>837</v>
      </c>
      <c r="B1735" s="195" t="s">
        <v>904</v>
      </c>
      <c r="C1735" s="196" t="s">
        <v>1319</v>
      </c>
      <c r="D1735" s="203" t="s">
        <v>1320</v>
      </c>
      <c r="E1735" s="193">
        <v>115.3</v>
      </c>
      <c r="F1735" s="193">
        <v>96.1</v>
      </c>
      <c r="G1735" s="193">
        <v>106.9</v>
      </c>
    </row>
    <row r="1736" spans="1:7" x14ac:dyDescent="0.3">
      <c r="A1736" s="195" t="s">
        <v>884</v>
      </c>
      <c r="B1736" s="195" t="s">
        <v>905</v>
      </c>
      <c r="C1736" s="193" t="s">
        <v>1302</v>
      </c>
      <c r="D1736" s="20" t="s">
        <v>1303</v>
      </c>
      <c r="E1736" s="193">
        <v>121.7</v>
      </c>
      <c r="F1736" s="193">
        <v>90.6</v>
      </c>
      <c r="G1736" s="193">
        <v>103</v>
      </c>
    </row>
    <row r="1737" spans="1:7" x14ac:dyDescent="0.3">
      <c r="A1737" s="195" t="s">
        <v>884</v>
      </c>
      <c r="B1737" s="195" t="s">
        <v>905</v>
      </c>
      <c r="C1737" s="193" t="s">
        <v>1304</v>
      </c>
      <c r="D1737" s="20" t="s">
        <v>1305</v>
      </c>
      <c r="E1737" s="193">
        <v>112.8</v>
      </c>
      <c r="F1737" s="193">
        <v>87.2</v>
      </c>
      <c r="G1737" s="193">
        <v>102.5</v>
      </c>
    </row>
    <row r="1738" spans="1:7" x14ac:dyDescent="0.3">
      <c r="A1738" s="195" t="s">
        <v>884</v>
      </c>
      <c r="B1738" s="195" t="s">
        <v>905</v>
      </c>
      <c r="C1738" s="193" t="s">
        <v>1306</v>
      </c>
      <c r="D1738" s="20" t="s">
        <v>1307</v>
      </c>
      <c r="E1738" s="193">
        <v>132.69999999999999</v>
      </c>
      <c r="F1738" s="193">
        <v>83.5</v>
      </c>
      <c r="G1738" s="193">
        <v>109.4</v>
      </c>
    </row>
    <row r="1739" spans="1:7" x14ac:dyDescent="0.3">
      <c r="A1739" s="195" t="s">
        <v>884</v>
      </c>
      <c r="B1739" s="195" t="s">
        <v>905</v>
      </c>
      <c r="C1739" s="193" t="s">
        <v>1308</v>
      </c>
      <c r="D1739" s="20" t="s">
        <v>1309</v>
      </c>
      <c r="E1739" s="193">
        <v>110.5</v>
      </c>
      <c r="F1739" s="193">
        <v>88.2</v>
      </c>
      <c r="G1739" s="193">
        <v>101.8</v>
      </c>
    </row>
    <row r="1740" spans="1:7" x14ac:dyDescent="0.3">
      <c r="A1740" s="195" t="s">
        <v>884</v>
      </c>
      <c r="B1740" s="195" t="s">
        <v>905</v>
      </c>
      <c r="C1740" s="193" t="s">
        <v>1310</v>
      </c>
      <c r="D1740" s="20" t="s">
        <v>27</v>
      </c>
      <c r="E1740" s="193">
        <v>102.8</v>
      </c>
      <c r="F1740" s="193">
        <v>87</v>
      </c>
      <c r="G1740" s="193">
        <v>96.2</v>
      </c>
    </row>
    <row r="1741" spans="1:7" x14ac:dyDescent="0.3">
      <c r="A1741" s="195" t="s">
        <v>884</v>
      </c>
      <c r="B1741" s="195" t="s">
        <v>905</v>
      </c>
      <c r="C1741" s="193" t="s">
        <v>1311</v>
      </c>
      <c r="D1741" s="20" t="s">
        <v>1312</v>
      </c>
      <c r="E1741" s="193">
        <v>131.1</v>
      </c>
      <c r="F1741" s="193">
        <v>82.6</v>
      </c>
      <c r="G1741" s="193">
        <v>116.9</v>
      </c>
    </row>
    <row r="1742" spans="1:7" x14ac:dyDescent="0.3">
      <c r="A1742" s="195" t="s">
        <v>884</v>
      </c>
      <c r="B1742" s="195" t="s">
        <v>905</v>
      </c>
      <c r="C1742" s="193" t="s">
        <v>1313</v>
      </c>
      <c r="D1742" s="20" t="s">
        <v>1321</v>
      </c>
      <c r="E1742" s="193">
        <v>103.6</v>
      </c>
      <c r="F1742" s="193">
        <v>90</v>
      </c>
      <c r="G1742" s="193">
        <v>97.8</v>
      </c>
    </row>
    <row r="1743" spans="1:7" x14ac:dyDescent="0.3">
      <c r="A1743" s="195" t="s">
        <v>884</v>
      </c>
      <c r="B1743" s="195" t="s">
        <v>905</v>
      </c>
      <c r="C1743" s="193" t="s">
        <v>361</v>
      </c>
      <c r="D1743" s="20" t="s">
        <v>1314</v>
      </c>
      <c r="E1743" s="193">
        <v>109.5</v>
      </c>
      <c r="F1743" s="193">
        <v>72.099999999999994</v>
      </c>
      <c r="G1743" s="193">
        <v>90.6</v>
      </c>
    </row>
    <row r="1744" spans="1:7" x14ac:dyDescent="0.3">
      <c r="A1744" s="195" t="s">
        <v>884</v>
      </c>
      <c r="B1744" s="195" t="s">
        <v>905</v>
      </c>
      <c r="C1744" s="193" t="s">
        <v>1315</v>
      </c>
      <c r="D1744" s="20" t="s">
        <v>1316</v>
      </c>
      <c r="E1744" s="193">
        <v>131.1</v>
      </c>
      <c r="F1744" s="193">
        <v>84.3</v>
      </c>
      <c r="G1744" s="193">
        <v>128.5</v>
      </c>
    </row>
    <row r="1745" spans="1:7" x14ac:dyDescent="0.3">
      <c r="A1745" s="195" t="s">
        <v>884</v>
      </c>
      <c r="B1745" s="195" t="s">
        <v>905</v>
      </c>
      <c r="C1745" s="193" t="s">
        <v>1317</v>
      </c>
      <c r="D1745" s="20" t="s">
        <v>1318</v>
      </c>
      <c r="E1745" s="193">
        <v>102.5</v>
      </c>
      <c r="F1745" s="193">
        <v>99</v>
      </c>
      <c r="G1745" s="193">
        <v>100.1</v>
      </c>
    </row>
    <row r="1746" spans="1:7" x14ac:dyDescent="0.3">
      <c r="A1746" s="195" t="s">
        <v>884</v>
      </c>
      <c r="B1746" s="195" t="s">
        <v>905</v>
      </c>
      <c r="C1746" s="196" t="s">
        <v>1319</v>
      </c>
      <c r="D1746" s="203" t="s">
        <v>1320</v>
      </c>
      <c r="E1746" s="193">
        <v>112.5</v>
      </c>
      <c r="F1746" s="193">
        <v>86.1</v>
      </c>
      <c r="G1746" s="193">
        <v>100.9</v>
      </c>
    </row>
    <row r="1747" spans="1:7" x14ac:dyDescent="0.3">
      <c r="A1747" s="195" t="s">
        <v>837</v>
      </c>
      <c r="B1747" s="195" t="s">
        <v>906</v>
      </c>
      <c r="C1747" s="193" t="s">
        <v>1302</v>
      </c>
      <c r="D1747" s="20" t="s">
        <v>1303</v>
      </c>
      <c r="E1747" s="193">
        <v>145.5</v>
      </c>
      <c r="F1747" s="193">
        <v>87.9</v>
      </c>
      <c r="G1747" s="193">
        <v>110.7</v>
      </c>
    </row>
    <row r="1748" spans="1:7" x14ac:dyDescent="0.3">
      <c r="A1748" s="195" t="s">
        <v>837</v>
      </c>
      <c r="B1748" s="195" t="s">
        <v>906</v>
      </c>
      <c r="C1748" s="193" t="s">
        <v>1304</v>
      </c>
      <c r="D1748" s="20" t="s">
        <v>1305</v>
      </c>
      <c r="E1748" s="193">
        <v>118.3</v>
      </c>
      <c r="F1748" s="193">
        <v>86.8</v>
      </c>
      <c r="G1748" s="193">
        <v>105.7</v>
      </c>
    </row>
    <row r="1749" spans="1:7" x14ac:dyDescent="0.3">
      <c r="A1749" s="195" t="s">
        <v>837</v>
      </c>
      <c r="B1749" s="195" t="s">
        <v>906</v>
      </c>
      <c r="C1749" s="193" t="s">
        <v>1306</v>
      </c>
      <c r="D1749" s="20" t="s">
        <v>1307</v>
      </c>
      <c r="E1749" s="193">
        <v>133.30000000000001</v>
      </c>
      <c r="F1749" s="193">
        <v>88.2</v>
      </c>
      <c r="G1749" s="193">
        <v>112</v>
      </c>
    </row>
    <row r="1750" spans="1:7" x14ac:dyDescent="0.3">
      <c r="A1750" s="195" t="s">
        <v>837</v>
      </c>
      <c r="B1750" s="195" t="s">
        <v>906</v>
      </c>
      <c r="C1750" s="193" t="s">
        <v>1308</v>
      </c>
      <c r="D1750" s="20" t="s">
        <v>1309</v>
      </c>
      <c r="E1750" s="193">
        <v>117.1</v>
      </c>
      <c r="F1750" s="193">
        <v>82.4</v>
      </c>
      <c r="G1750" s="193">
        <v>103.6</v>
      </c>
    </row>
    <row r="1751" spans="1:7" x14ac:dyDescent="0.3">
      <c r="A1751" s="195" t="s">
        <v>837</v>
      </c>
      <c r="B1751" s="195" t="s">
        <v>906</v>
      </c>
      <c r="C1751" s="193" t="s">
        <v>1310</v>
      </c>
      <c r="D1751" s="20" t="s">
        <v>27</v>
      </c>
      <c r="E1751" s="193">
        <v>103.4</v>
      </c>
      <c r="F1751" s="193">
        <v>86.5</v>
      </c>
      <c r="G1751" s="193">
        <v>96.3</v>
      </c>
    </row>
    <row r="1752" spans="1:7" x14ac:dyDescent="0.3">
      <c r="A1752" s="195" t="s">
        <v>837</v>
      </c>
      <c r="B1752" s="195" t="s">
        <v>906</v>
      </c>
      <c r="C1752" s="193" t="s">
        <v>1311</v>
      </c>
      <c r="D1752" s="20" t="s">
        <v>1312</v>
      </c>
      <c r="E1752" s="193">
        <v>131.1</v>
      </c>
      <c r="F1752" s="193">
        <v>68.900000000000006</v>
      </c>
      <c r="G1752" s="193">
        <v>112.9</v>
      </c>
    </row>
    <row r="1753" spans="1:7" x14ac:dyDescent="0.3">
      <c r="A1753" s="195" t="s">
        <v>837</v>
      </c>
      <c r="B1753" s="195" t="s">
        <v>906</v>
      </c>
      <c r="C1753" s="193" t="s">
        <v>1313</v>
      </c>
      <c r="D1753" s="20" t="s">
        <v>1321</v>
      </c>
      <c r="E1753" s="193">
        <v>103.6</v>
      </c>
      <c r="F1753" s="193">
        <v>97.1</v>
      </c>
      <c r="G1753" s="193">
        <v>100.8</v>
      </c>
    </row>
    <row r="1754" spans="1:7" x14ac:dyDescent="0.3">
      <c r="A1754" s="195" t="s">
        <v>837</v>
      </c>
      <c r="B1754" s="195" t="s">
        <v>906</v>
      </c>
      <c r="C1754" s="193" t="s">
        <v>361</v>
      </c>
      <c r="D1754" s="20" t="s">
        <v>1314</v>
      </c>
      <c r="E1754" s="193">
        <v>110.2</v>
      </c>
      <c r="F1754" s="193">
        <v>90.1</v>
      </c>
      <c r="G1754" s="193">
        <v>100.1</v>
      </c>
    </row>
    <row r="1755" spans="1:7" x14ac:dyDescent="0.3">
      <c r="A1755" s="195" t="s">
        <v>837</v>
      </c>
      <c r="B1755" s="195" t="s">
        <v>906</v>
      </c>
      <c r="C1755" s="193" t="s">
        <v>1315</v>
      </c>
      <c r="D1755" s="20" t="s">
        <v>1316</v>
      </c>
      <c r="E1755" s="193">
        <v>131.1</v>
      </c>
      <c r="F1755" s="193">
        <v>84.6</v>
      </c>
      <c r="G1755" s="193">
        <v>128.5</v>
      </c>
    </row>
    <row r="1756" spans="1:7" x14ac:dyDescent="0.3">
      <c r="A1756" s="195" t="s">
        <v>837</v>
      </c>
      <c r="B1756" s="195" t="s">
        <v>906</v>
      </c>
      <c r="C1756" s="193" t="s">
        <v>1317</v>
      </c>
      <c r="D1756" s="20" t="s">
        <v>1318</v>
      </c>
      <c r="E1756" s="193">
        <v>122.5</v>
      </c>
      <c r="F1756" s="193">
        <v>99.2</v>
      </c>
      <c r="G1756" s="193">
        <v>106.7</v>
      </c>
    </row>
    <row r="1757" spans="1:7" x14ac:dyDescent="0.3">
      <c r="A1757" s="195" t="s">
        <v>837</v>
      </c>
      <c r="B1757" s="195" t="s">
        <v>906</v>
      </c>
      <c r="C1757" s="196" t="s">
        <v>1319</v>
      </c>
      <c r="D1757" s="203" t="s">
        <v>1320</v>
      </c>
      <c r="E1757" s="193">
        <v>115.6</v>
      </c>
      <c r="F1757" s="193">
        <v>89.8</v>
      </c>
      <c r="G1757" s="193">
        <v>104.2</v>
      </c>
    </row>
    <row r="1758" spans="1:7" x14ac:dyDescent="0.3">
      <c r="A1758" s="195" t="s">
        <v>907</v>
      </c>
      <c r="B1758" s="195" t="s">
        <v>908</v>
      </c>
      <c r="C1758" s="193" t="s">
        <v>1302</v>
      </c>
      <c r="D1758" s="20" t="s">
        <v>1303</v>
      </c>
      <c r="E1758" s="193">
        <v>168.8</v>
      </c>
      <c r="F1758" s="193">
        <v>70.099999999999994</v>
      </c>
      <c r="G1758" s="193">
        <v>109.2</v>
      </c>
    </row>
    <row r="1759" spans="1:7" x14ac:dyDescent="0.3">
      <c r="A1759" s="195" t="s">
        <v>907</v>
      </c>
      <c r="B1759" s="195" t="s">
        <v>908</v>
      </c>
      <c r="C1759" s="193" t="s">
        <v>1304</v>
      </c>
      <c r="D1759" s="20" t="s">
        <v>1305</v>
      </c>
      <c r="E1759" s="193">
        <v>146.19999999999999</v>
      </c>
      <c r="F1759" s="193">
        <v>68</v>
      </c>
      <c r="G1759" s="193">
        <v>115</v>
      </c>
    </row>
    <row r="1760" spans="1:7" x14ac:dyDescent="0.3">
      <c r="A1760" s="195" t="s">
        <v>907</v>
      </c>
      <c r="B1760" s="195" t="s">
        <v>908</v>
      </c>
      <c r="C1760" s="193" t="s">
        <v>1306</v>
      </c>
      <c r="D1760" s="20" t="s">
        <v>1307</v>
      </c>
      <c r="E1760" s="193">
        <v>200.7</v>
      </c>
      <c r="F1760" s="193">
        <v>61.9</v>
      </c>
      <c r="G1760" s="193">
        <v>135.1</v>
      </c>
    </row>
    <row r="1761" spans="1:7" x14ac:dyDescent="0.3">
      <c r="A1761" s="195" t="s">
        <v>907</v>
      </c>
      <c r="B1761" s="195" t="s">
        <v>908</v>
      </c>
      <c r="C1761" s="193" t="s">
        <v>1308</v>
      </c>
      <c r="D1761" s="20" t="s">
        <v>1309</v>
      </c>
      <c r="E1761" s="193">
        <v>145.9</v>
      </c>
      <c r="F1761" s="193">
        <v>60.5</v>
      </c>
      <c r="G1761" s="193">
        <v>112.7</v>
      </c>
    </row>
    <row r="1762" spans="1:7" x14ac:dyDescent="0.3">
      <c r="A1762" s="195" t="s">
        <v>907</v>
      </c>
      <c r="B1762" s="195" t="s">
        <v>908</v>
      </c>
      <c r="C1762" s="193" t="s">
        <v>1310</v>
      </c>
      <c r="D1762" s="20" t="s">
        <v>27</v>
      </c>
      <c r="E1762" s="193">
        <v>129.19999999999999</v>
      </c>
      <c r="F1762" s="193">
        <v>57.1</v>
      </c>
      <c r="G1762" s="193">
        <v>98.9</v>
      </c>
    </row>
    <row r="1763" spans="1:7" x14ac:dyDescent="0.3">
      <c r="A1763" s="195" t="s">
        <v>907</v>
      </c>
      <c r="B1763" s="195" t="s">
        <v>908</v>
      </c>
      <c r="C1763" s="193" t="s">
        <v>1311</v>
      </c>
      <c r="D1763" s="20" t="s">
        <v>1312</v>
      </c>
      <c r="E1763" s="193">
        <v>131.1</v>
      </c>
      <c r="F1763" s="193">
        <v>62.8</v>
      </c>
      <c r="G1763" s="193">
        <v>111.2</v>
      </c>
    </row>
    <row r="1764" spans="1:7" x14ac:dyDescent="0.3">
      <c r="A1764" s="195" t="s">
        <v>907</v>
      </c>
      <c r="B1764" s="195" t="s">
        <v>908</v>
      </c>
      <c r="C1764" s="193" t="s">
        <v>1313</v>
      </c>
      <c r="D1764" s="20" t="s">
        <v>1321</v>
      </c>
      <c r="E1764" s="193">
        <v>104.2</v>
      </c>
      <c r="F1764" s="193">
        <v>74</v>
      </c>
      <c r="G1764" s="193">
        <v>91.4</v>
      </c>
    </row>
    <row r="1765" spans="1:7" x14ac:dyDescent="0.3">
      <c r="A1765" s="195" t="s">
        <v>907</v>
      </c>
      <c r="B1765" s="195" t="s">
        <v>908</v>
      </c>
      <c r="C1765" s="193" t="s">
        <v>361</v>
      </c>
      <c r="D1765" s="20" t="s">
        <v>1314</v>
      </c>
      <c r="E1765" s="193">
        <v>124.4</v>
      </c>
      <c r="F1765" s="193">
        <v>61.8</v>
      </c>
      <c r="G1765" s="193">
        <v>92.8</v>
      </c>
    </row>
    <row r="1766" spans="1:7" x14ac:dyDescent="0.3">
      <c r="A1766" s="195" t="s">
        <v>907</v>
      </c>
      <c r="B1766" s="195" t="s">
        <v>908</v>
      </c>
      <c r="C1766" s="193" t="s">
        <v>1315</v>
      </c>
      <c r="D1766" s="20" t="s">
        <v>1316</v>
      </c>
      <c r="E1766" s="193">
        <v>131.1</v>
      </c>
      <c r="F1766" s="193">
        <v>56.1</v>
      </c>
      <c r="G1766" s="193">
        <v>126.9</v>
      </c>
    </row>
    <row r="1767" spans="1:7" x14ac:dyDescent="0.3">
      <c r="A1767" s="195" t="s">
        <v>907</v>
      </c>
      <c r="B1767" s="195" t="s">
        <v>908</v>
      </c>
      <c r="C1767" s="193" t="s">
        <v>1317</v>
      </c>
      <c r="D1767" s="20" t="s">
        <v>1318</v>
      </c>
      <c r="E1767" s="193">
        <v>149.30000000000001</v>
      </c>
      <c r="F1767" s="193">
        <v>95.9</v>
      </c>
      <c r="G1767" s="193">
        <v>112.9</v>
      </c>
    </row>
    <row r="1768" spans="1:7" x14ac:dyDescent="0.3">
      <c r="A1768" s="195" t="s">
        <v>907</v>
      </c>
      <c r="B1768" s="195" t="s">
        <v>908</v>
      </c>
      <c r="C1768" s="196" t="s">
        <v>1319</v>
      </c>
      <c r="D1768" s="203" t="s">
        <v>1320</v>
      </c>
      <c r="E1768" s="193">
        <v>137.1</v>
      </c>
      <c r="F1768" s="193">
        <v>67.5</v>
      </c>
      <c r="G1768" s="193">
        <v>106.4</v>
      </c>
    </row>
    <row r="1769" spans="1:7" x14ac:dyDescent="0.3">
      <c r="A1769" s="195" t="s">
        <v>909</v>
      </c>
      <c r="B1769" s="195" t="s">
        <v>910</v>
      </c>
      <c r="C1769" s="193" t="s">
        <v>1302</v>
      </c>
      <c r="D1769" s="20" t="s">
        <v>1303</v>
      </c>
      <c r="E1769" s="193">
        <v>139.6</v>
      </c>
      <c r="F1769" s="193">
        <v>73.400000000000006</v>
      </c>
      <c r="G1769" s="193">
        <v>99.7</v>
      </c>
    </row>
    <row r="1770" spans="1:7" x14ac:dyDescent="0.3">
      <c r="A1770" s="195" t="s">
        <v>909</v>
      </c>
      <c r="B1770" s="195" t="s">
        <v>910</v>
      </c>
      <c r="C1770" s="193" t="s">
        <v>1304</v>
      </c>
      <c r="D1770" s="20" t="s">
        <v>1305</v>
      </c>
      <c r="E1770" s="193">
        <v>115.6</v>
      </c>
      <c r="F1770" s="193">
        <v>70.7</v>
      </c>
      <c r="G1770" s="193">
        <v>97.7</v>
      </c>
    </row>
    <row r="1771" spans="1:7" x14ac:dyDescent="0.3">
      <c r="A1771" s="195" t="s">
        <v>909</v>
      </c>
      <c r="B1771" s="195" t="s">
        <v>910</v>
      </c>
      <c r="C1771" s="193" t="s">
        <v>1306</v>
      </c>
      <c r="D1771" s="20" t="s">
        <v>1307</v>
      </c>
      <c r="E1771" s="193">
        <v>132.1</v>
      </c>
      <c r="F1771" s="193">
        <v>70.7</v>
      </c>
      <c r="G1771" s="193">
        <v>103.1</v>
      </c>
    </row>
    <row r="1772" spans="1:7" x14ac:dyDescent="0.3">
      <c r="A1772" s="195" t="s">
        <v>909</v>
      </c>
      <c r="B1772" s="195" t="s">
        <v>910</v>
      </c>
      <c r="C1772" s="193" t="s">
        <v>1308</v>
      </c>
      <c r="D1772" s="20" t="s">
        <v>1309</v>
      </c>
      <c r="E1772" s="193">
        <v>111.7</v>
      </c>
      <c r="F1772" s="193">
        <v>68.400000000000006</v>
      </c>
      <c r="G1772" s="193">
        <v>94.9</v>
      </c>
    </row>
    <row r="1773" spans="1:7" x14ac:dyDescent="0.3">
      <c r="A1773" s="195" t="s">
        <v>909</v>
      </c>
      <c r="B1773" s="195" t="s">
        <v>910</v>
      </c>
      <c r="C1773" s="193" t="s">
        <v>1310</v>
      </c>
      <c r="D1773" s="20" t="s">
        <v>27</v>
      </c>
      <c r="E1773" s="193">
        <v>96.9</v>
      </c>
      <c r="F1773" s="193">
        <v>67.3</v>
      </c>
      <c r="G1773" s="193">
        <v>84.5</v>
      </c>
    </row>
    <row r="1774" spans="1:7" x14ac:dyDescent="0.3">
      <c r="A1774" s="195" t="s">
        <v>909</v>
      </c>
      <c r="B1774" s="195" t="s">
        <v>910</v>
      </c>
      <c r="C1774" s="193" t="s">
        <v>1311</v>
      </c>
      <c r="D1774" s="20" t="s">
        <v>1312</v>
      </c>
      <c r="E1774" s="193">
        <v>131.1</v>
      </c>
      <c r="F1774" s="193">
        <v>64.099999999999994</v>
      </c>
      <c r="G1774" s="193">
        <v>111.5</v>
      </c>
    </row>
    <row r="1775" spans="1:7" x14ac:dyDescent="0.3">
      <c r="A1775" s="195" t="s">
        <v>909</v>
      </c>
      <c r="B1775" s="195" t="s">
        <v>910</v>
      </c>
      <c r="C1775" s="193" t="s">
        <v>1313</v>
      </c>
      <c r="D1775" s="20" t="s">
        <v>1321</v>
      </c>
      <c r="E1775" s="193">
        <v>103.6</v>
      </c>
      <c r="F1775" s="193">
        <v>83.5</v>
      </c>
      <c r="G1775" s="193">
        <v>95.1</v>
      </c>
    </row>
    <row r="1776" spans="1:7" x14ac:dyDescent="0.3">
      <c r="A1776" s="195" t="s">
        <v>909</v>
      </c>
      <c r="B1776" s="195" t="s">
        <v>910</v>
      </c>
      <c r="C1776" s="193" t="s">
        <v>361</v>
      </c>
      <c r="D1776" s="20" t="s">
        <v>1314</v>
      </c>
      <c r="E1776" s="193">
        <v>113.6</v>
      </c>
      <c r="F1776" s="193">
        <v>63.9</v>
      </c>
      <c r="G1776" s="193">
        <v>88.5</v>
      </c>
    </row>
    <row r="1777" spans="1:7" x14ac:dyDescent="0.3">
      <c r="A1777" s="195" t="s">
        <v>909</v>
      </c>
      <c r="B1777" s="195" t="s">
        <v>910</v>
      </c>
      <c r="C1777" s="193" t="s">
        <v>1315</v>
      </c>
      <c r="D1777" s="20" t="s">
        <v>1316</v>
      </c>
      <c r="E1777" s="193">
        <v>131.1</v>
      </c>
      <c r="F1777" s="193">
        <v>68.3</v>
      </c>
      <c r="G1777" s="193">
        <v>127.6</v>
      </c>
    </row>
    <row r="1778" spans="1:7" x14ac:dyDescent="0.3">
      <c r="A1778" s="195" t="s">
        <v>909</v>
      </c>
      <c r="B1778" s="195" t="s">
        <v>910</v>
      </c>
      <c r="C1778" s="193" t="s">
        <v>1317</v>
      </c>
      <c r="D1778" s="20" t="s">
        <v>1318</v>
      </c>
      <c r="E1778" s="193">
        <v>107.8</v>
      </c>
      <c r="F1778" s="193">
        <v>97.4</v>
      </c>
      <c r="G1778" s="193">
        <v>100.7</v>
      </c>
    </row>
    <row r="1779" spans="1:7" x14ac:dyDescent="0.3">
      <c r="A1779" s="195" t="s">
        <v>909</v>
      </c>
      <c r="B1779" s="195" t="s">
        <v>910</v>
      </c>
      <c r="C1779" s="196" t="s">
        <v>1319</v>
      </c>
      <c r="D1779" s="203" t="s">
        <v>1320</v>
      </c>
      <c r="E1779" s="193">
        <v>113.4</v>
      </c>
      <c r="F1779" s="193">
        <v>73.599999999999994</v>
      </c>
      <c r="G1779" s="193">
        <v>95.9</v>
      </c>
    </row>
    <row r="1780" spans="1:7" x14ac:dyDescent="0.3">
      <c r="A1780" s="195" t="s">
        <v>911</v>
      </c>
      <c r="B1780" s="195" t="s">
        <v>912</v>
      </c>
      <c r="C1780" s="193" t="s">
        <v>1302</v>
      </c>
      <c r="D1780" s="20" t="s">
        <v>1303</v>
      </c>
      <c r="E1780" s="193">
        <v>147.30000000000001</v>
      </c>
      <c r="F1780" s="193">
        <v>69.400000000000006</v>
      </c>
      <c r="G1780" s="193">
        <v>100.3</v>
      </c>
    </row>
    <row r="1781" spans="1:7" x14ac:dyDescent="0.3">
      <c r="A1781" s="195" t="s">
        <v>911</v>
      </c>
      <c r="B1781" s="195" t="s">
        <v>912</v>
      </c>
      <c r="C1781" s="193" t="s">
        <v>1304</v>
      </c>
      <c r="D1781" s="20" t="s">
        <v>1305</v>
      </c>
      <c r="E1781" s="193">
        <v>130.69999999999999</v>
      </c>
      <c r="F1781" s="193">
        <v>67.400000000000006</v>
      </c>
      <c r="G1781" s="193">
        <v>105.4</v>
      </c>
    </row>
    <row r="1782" spans="1:7" x14ac:dyDescent="0.3">
      <c r="A1782" s="195" t="s">
        <v>911</v>
      </c>
      <c r="B1782" s="195" t="s">
        <v>912</v>
      </c>
      <c r="C1782" s="193" t="s">
        <v>1306</v>
      </c>
      <c r="D1782" s="20" t="s">
        <v>1307</v>
      </c>
      <c r="E1782" s="193">
        <v>213.7</v>
      </c>
      <c r="F1782" s="193">
        <v>63.5</v>
      </c>
      <c r="G1782" s="193">
        <v>142.69999999999999</v>
      </c>
    </row>
    <row r="1783" spans="1:7" x14ac:dyDescent="0.3">
      <c r="A1783" s="195" t="s">
        <v>911</v>
      </c>
      <c r="B1783" s="195" t="s">
        <v>912</v>
      </c>
      <c r="C1783" s="193" t="s">
        <v>1308</v>
      </c>
      <c r="D1783" s="20" t="s">
        <v>1309</v>
      </c>
      <c r="E1783" s="193">
        <v>146.80000000000001</v>
      </c>
      <c r="F1783" s="193">
        <v>60.2</v>
      </c>
      <c r="G1783" s="193">
        <v>113.1</v>
      </c>
    </row>
    <row r="1784" spans="1:7" x14ac:dyDescent="0.3">
      <c r="A1784" s="195" t="s">
        <v>911</v>
      </c>
      <c r="B1784" s="195" t="s">
        <v>912</v>
      </c>
      <c r="C1784" s="193" t="s">
        <v>1310</v>
      </c>
      <c r="D1784" s="20" t="s">
        <v>27</v>
      </c>
      <c r="E1784" s="193">
        <v>117</v>
      </c>
      <c r="F1784" s="193">
        <v>58.4</v>
      </c>
      <c r="G1784" s="193">
        <v>92.4</v>
      </c>
    </row>
    <row r="1785" spans="1:7" x14ac:dyDescent="0.3">
      <c r="A1785" s="195" t="s">
        <v>911</v>
      </c>
      <c r="B1785" s="195" t="s">
        <v>912</v>
      </c>
      <c r="C1785" s="193" t="s">
        <v>1311</v>
      </c>
      <c r="D1785" s="20" t="s">
        <v>1312</v>
      </c>
      <c r="E1785" s="193">
        <v>131.1</v>
      </c>
      <c r="F1785" s="193">
        <v>64.400000000000006</v>
      </c>
      <c r="G1785" s="193">
        <v>111.6</v>
      </c>
    </row>
    <row r="1786" spans="1:7" x14ac:dyDescent="0.3">
      <c r="A1786" s="195" t="s">
        <v>911</v>
      </c>
      <c r="B1786" s="195" t="s">
        <v>912</v>
      </c>
      <c r="C1786" s="193" t="s">
        <v>1313</v>
      </c>
      <c r="D1786" s="20" t="s">
        <v>1321</v>
      </c>
      <c r="E1786" s="193">
        <v>103.7</v>
      </c>
      <c r="F1786" s="193">
        <v>71</v>
      </c>
      <c r="G1786" s="193">
        <v>89.9</v>
      </c>
    </row>
    <row r="1787" spans="1:7" x14ac:dyDescent="0.3">
      <c r="A1787" s="195" t="s">
        <v>911</v>
      </c>
      <c r="B1787" s="195" t="s">
        <v>912</v>
      </c>
      <c r="C1787" s="193" t="s">
        <v>361</v>
      </c>
      <c r="D1787" s="20" t="s">
        <v>1314</v>
      </c>
      <c r="E1787" s="193">
        <v>113.8</v>
      </c>
      <c r="F1787" s="193">
        <v>57.8</v>
      </c>
      <c r="G1787" s="193">
        <v>85.5</v>
      </c>
    </row>
    <row r="1788" spans="1:7" x14ac:dyDescent="0.3">
      <c r="A1788" s="195" t="s">
        <v>911</v>
      </c>
      <c r="B1788" s="195" t="s">
        <v>912</v>
      </c>
      <c r="C1788" s="193" t="s">
        <v>1315</v>
      </c>
      <c r="D1788" s="20" t="s">
        <v>1316</v>
      </c>
      <c r="E1788" s="193">
        <v>131.1</v>
      </c>
      <c r="F1788" s="193">
        <v>58</v>
      </c>
      <c r="G1788" s="193">
        <v>127</v>
      </c>
    </row>
    <row r="1789" spans="1:7" x14ac:dyDescent="0.3">
      <c r="A1789" s="195" t="s">
        <v>911</v>
      </c>
      <c r="B1789" s="195" t="s">
        <v>912</v>
      </c>
      <c r="C1789" s="193" t="s">
        <v>1317</v>
      </c>
      <c r="D1789" s="20" t="s">
        <v>1318</v>
      </c>
      <c r="E1789" s="193">
        <v>150.9</v>
      </c>
      <c r="F1789" s="193">
        <v>96.1</v>
      </c>
      <c r="G1789" s="193">
        <v>113.6</v>
      </c>
    </row>
    <row r="1790" spans="1:7" x14ac:dyDescent="0.3">
      <c r="A1790" s="195" t="s">
        <v>911</v>
      </c>
      <c r="B1790" s="195" t="s">
        <v>912</v>
      </c>
      <c r="C1790" s="196" t="s">
        <v>1319</v>
      </c>
      <c r="D1790" s="203" t="s">
        <v>1320</v>
      </c>
      <c r="E1790" s="193">
        <v>131.19999999999999</v>
      </c>
      <c r="F1790" s="193">
        <v>66.599999999999994</v>
      </c>
      <c r="G1790" s="193">
        <v>102.7</v>
      </c>
    </row>
    <row r="1791" spans="1:7" x14ac:dyDescent="0.3">
      <c r="A1791" s="195" t="s">
        <v>888</v>
      </c>
      <c r="B1791" s="195" t="s">
        <v>913</v>
      </c>
      <c r="C1791" s="193" t="s">
        <v>1302</v>
      </c>
      <c r="D1791" s="20" t="s">
        <v>1303</v>
      </c>
      <c r="E1791" s="193">
        <v>123</v>
      </c>
      <c r="F1791" s="193">
        <v>69</v>
      </c>
      <c r="G1791" s="193">
        <v>90.4</v>
      </c>
    </row>
    <row r="1792" spans="1:7" x14ac:dyDescent="0.3">
      <c r="A1792" s="195" t="s">
        <v>888</v>
      </c>
      <c r="B1792" s="195" t="s">
        <v>913</v>
      </c>
      <c r="C1792" s="193" t="s">
        <v>1304</v>
      </c>
      <c r="D1792" s="20" t="s">
        <v>1305</v>
      </c>
      <c r="E1792" s="193">
        <v>129.1</v>
      </c>
      <c r="F1792" s="193">
        <v>67.2</v>
      </c>
      <c r="G1792" s="193">
        <v>104.4</v>
      </c>
    </row>
    <row r="1793" spans="1:7" x14ac:dyDescent="0.3">
      <c r="A1793" s="195" t="s">
        <v>888</v>
      </c>
      <c r="B1793" s="195" t="s">
        <v>913</v>
      </c>
      <c r="C1793" s="193" t="s">
        <v>1306</v>
      </c>
      <c r="D1793" s="20" t="s">
        <v>1307</v>
      </c>
      <c r="E1793" s="193">
        <v>144.9</v>
      </c>
      <c r="F1793" s="193">
        <v>64.2</v>
      </c>
      <c r="G1793" s="193">
        <v>106.7</v>
      </c>
    </row>
    <row r="1794" spans="1:7" x14ac:dyDescent="0.3">
      <c r="A1794" s="195" t="s">
        <v>888</v>
      </c>
      <c r="B1794" s="195" t="s">
        <v>913</v>
      </c>
      <c r="C1794" s="193" t="s">
        <v>1308</v>
      </c>
      <c r="D1794" s="20" t="s">
        <v>1309</v>
      </c>
      <c r="E1794" s="193">
        <v>123.6</v>
      </c>
      <c r="F1794" s="193">
        <v>61.1</v>
      </c>
      <c r="G1794" s="193">
        <v>99.3</v>
      </c>
    </row>
    <row r="1795" spans="1:7" x14ac:dyDescent="0.3">
      <c r="A1795" s="195" t="s">
        <v>888</v>
      </c>
      <c r="B1795" s="195" t="s">
        <v>913</v>
      </c>
      <c r="C1795" s="193" t="s">
        <v>1310</v>
      </c>
      <c r="D1795" s="20" t="s">
        <v>27</v>
      </c>
      <c r="E1795" s="193">
        <v>105.8</v>
      </c>
      <c r="F1795" s="193">
        <v>63.4</v>
      </c>
      <c r="G1795" s="193">
        <v>88</v>
      </c>
    </row>
    <row r="1796" spans="1:7" x14ac:dyDescent="0.3">
      <c r="A1796" s="195" t="s">
        <v>888</v>
      </c>
      <c r="B1796" s="195" t="s">
        <v>913</v>
      </c>
      <c r="C1796" s="193" t="s">
        <v>1311</v>
      </c>
      <c r="D1796" s="20" t="s">
        <v>1312</v>
      </c>
      <c r="E1796" s="193">
        <v>131.1</v>
      </c>
      <c r="F1796" s="193">
        <v>63.6</v>
      </c>
      <c r="G1796" s="193">
        <v>111.4</v>
      </c>
    </row>
    <row r="1797" spans="1:7" x14ac:dyDescent="0.3">
      <c r="A1797" s="195" t="s">
        <v>888</v>
      </c>
      <c r="B1797" s="195" t="s">
        <v>913</v>
      </c>
      <c r="C1797" s="193" t="s">
        <v>1313</v>
      </c>
      <c r="D1797" s="20" t="s">
        <v>1321</v>
      </c>
      <c r="E1797" s="193">
        <v>104</v>
      </c>
      <c r="F1797" s="193">
        <v>78.5</v>
      </c>
      <c r="G1797" s="193">
        <v>93.2</v>
      </c>
    </row>
    <row r="1798" spans="1:7" x14ac:dyDescent="0.3">
      <c r="A1798" s="195" t="s">
        <v>888</v>
      </c>
      <c r="B1798" s="195" t="s">
        <v>913</v>
      </c>
      <c r="C1798" s="193" t="s">
        <v>361</v>
      </c>
      <c r="D1798" s="20" t="s">
        <v>1314</v>
      </c>
      <c r="E1798" s="193">
        <v>112.8</v>
      </c>
      <c r="F1798" s="193">
        <v>76.5</v>
      </c>
      <c r="G1798" s="193">
        <v>94.4</v>
      </c>
    </row>
    <row r="1799" spans="1:7" x14ac:dyDescent="0.3">
      <c r="A1799" s="195" t="s">
        <v>888</v>
      </c>
      <c r="B1799" s="195" t="s">
        <v>913</v>
      </c>
      <c r="C1799" s="193" t="s">
        <v>1315</v>
      </c>
      <c r="D1799" s="20" t="s">
        <v>1316</v>
      </c>
      <c r="E1799" s="193">
        <v>131.1</v>
      </c>
      <c r="F1799" s="193">
        <v>61.9</v>
      </c>
      <c r="G1799" s="193">
        <v>127.3</v>
      </c>
    </row>
    <row r="1800" spans="1:7" x14ac:dyDescent="0.3">
      <c r="A1800" s="195" t="s">
        <v>888</v>
      </c>
      <c r="B1800" s="195" t="s">
        <v>913</v>
      </c>
      <c r="C1800" s="193" t="s">
        <v>1317</v>
      </c>
      <c r="D1800" s="20" t="s">
        <v>1318</v>
      </c>
      <c r="E1800" s="193">
        <v>109.9</v>
      </c>
      <c r="F1800" s="193">
        <v>95.8</v>
      </c>
      <c r="G1800" s="193">
        <v>100.3</v>
      </c>
    </row>
    <row r="1801" spans="1:7" x14ac:dyDescent="0.3">
      <c r="A1801" s="195" t="s">
        <v>888</v>
      </c>
      <c r="B1801" s="195" t="s">
        <v>913</v>
      </c>
      <c r="C1801" s="196" t="s">
        <v>1319</v>
      </c>
      <c r="D1801" s="203" t="s">
        <v>1320</v>
      </c>
      <c r="E1801" s="193">
        <v>118.8</v>
      </c>
      <c r="F1801" s="193">
        <v>71.5</v>
      </c>
      <c r="G1801" s="193">
        <v>97.9</v>
      </c>
    </row>
    <row r="1802" spans="1:7" x14ac:dyDescent="0.3">
      <c r="A1802" s="195" t="s">
        <v>884</v>
      </c>
      <c r="B1802" s="195" t="s">
        <v>914</v>
      </c>
      <c r="C1802" s="193" t="s">
        <v>1302</v>
      </c>
      <c r="D1802" s="20" t="s">
        <v>1303</v>
      </c>
      <c r="E1802" s="193">
        <v>123.3</v>
      </c>
      <c r="F1802" s="193">
        <v>90.7</v>
      </c>
      <c r="G1802" s="193">
        <v>103.7</v>
      </c>
    </row>
    <row r="1803" spans="1:7" x14ac:dyDescent="0.3">
      <c r="A1803" s="195" t="s">
        <v>884</v>
      </c>
      <c r="B1803" s="195" t="s">
        <v>914</v>
      </c>
      <c r="C1803" s="193" t="s">
        <v>1304</v>
      </c>
      <c r="D1803" s="20" t="s">
        <v>1305</v>
      </c>
      <c r="E1803" s="193">
        <v>113.1</v>
      </c>
      <c r="F1803" s="193">
        <v>87.3</v>
      </c>
      <c r="G1803" s="193">
        <v>102.8</v>
      </c>
    </row>
    <row r="1804" spans="1:7" x14ac:dyDescent="0.3">
      <c r="A1804" s="195" t="s">
        <v>884</v>
      </c>
      <c r="B1804" s="195" t="s">
        <v>914</v>
      </c>
      <c r="C1804" s="193" t="s">
        <v>1306</v>
      </c>
      <c r="D1804" s="20" t="s">
        <v>1307</v>
      </c>
      <c r="E1804" s="193">
        <v>132.80000000000001</v>
      </c>
      <c r="F1804" s="193">
        <v>85.1</v>
      </c>
      <c r="G1804" s="193">
        <v>110.3</v>
      </c>
    </row>
    <row r="1805" spans="1:7" x14ac:dyDescent="0.3">
      <c r="A1805" s="195" t="s">
        <v>884</v>
      </c>
      <c r="B1805" s="195" t="s">
        <v>914</v>
      </c>
      <c r="C1805" s="193" t="s">
        <v>1308</v>
      </c>
      <c r="D1805" s="20" t="s">
        <v>1309</v>
      </c>
      <c r="E1805" s="193">
        <v>110.5</v>
      </c>
      <c r="F1805" s="193">
        <v>88.2</v>
      </c>
      <c r="G1805" s="193">
        <v>101.8</v>
      </c>
    </row>
    <row r="1806" spans="1:7" x14ac:dyDescent="0.3">
      <c r="A1806" s="195" t="s">
        <v>884</v>
      </c>
      <c r="B1806" s="195" t="s">
        <v>914</v>
      </c>
      <c r="C1806" s="193" t="s">
        <v>1310</v>
      </c>
      <c r="D1806" s="20" t="s">
        <v>27</v>
      </c>
      <c r="E1806" s="193">
        <v>104.7</v>
      </c>
      <c r="F1806" s="193">
        <v>87</v>
      </c>
      <c r="G1806" s="193">
        <v>97.3</v>
      </c>
    </row>
    <row r="1807" spans="1:7" x14ac:dyDescent="0.3">
      <c r="A1807" s="195" t="s">
        <v>884</v>
      </c>
      <c r="B1807" s="195" t="s">
        <v>914</v>
      </c>
      <c r="C1807" s="193" t="s">
        <v>1311</v>
      </c>
      <c r="D1807" s="20" t="s">
        <v>1312</v>
      </c>
      <c r="E1807" s="193">
        <v>131.1</v>
      </c>
      <c r="F1807" s="193">
        <v>82.6</v>
      </c>
      <c r="G1807" s="193">
        <v>116.9</v>
      </c>
    </row>
    <row r="1808" spans="1:7" x14ac:dyDescent="0.3">
      <c r="A1808" s="195" t="s">
        <v>884</v>
      </c>
      <c r="B1808" s="195" t="s">
        <v>914</v>
      </c>
      <c r="C1808" s="193" t="s">
        <v>1313</v>
      </c>
      <c r="D1808" s="20" t="s">
        <v>1321</v>
      </c>
      <c r="E1808" s="193">
        <v>103.6</v>
      </c>
      <c r="F1808" s="193">
        <v>90</v>
      </c>
      <c r="G1808" s="193">
        <v>97.9</v>
      </c>
    </row>
    <row r="1809" spans="1:7" x14ac:dyDescent="0.3">
      <c r="A1809" s="195" t="s">
        <v>884</v>
      </c>
      <c r="B1809" s="195" t="s">
        <v>914</v>
      </c>
      <c r="C1809" s="193" t="s">
        <v>361</v>
      </c>
      <c r="D1809" s="20" t="s">
        <v>1314</v>
      </c>
      <c r="E1809" s="193">
        <v>108.9</v>
      </c>
      <c r="F1809" s="193">
        <v>72.099999999999994</v>
      </c>
      <c r="G1809" s="193">
        <v>90.3</v>
      </c>
    </row>
    <row r="1810" spans="1:7" x14ac:dyDescent="0.3">
      <c r="A1810" s="195" t="s">
        <v>884</v>
      </c>
      <c r="B1810" s="195" t="s">
        <v>914</v>
      </c>
      <c r="C1810" s="193" t="s">
        <v>1315</v>
      </c>
      <c r="D1810" s="20" t="s">
        <v>1316</v>
      </c>
      <c r="E1810" s="193">
        <v>131.1</v>
      </c>
      <c r="F1810" s="193">
        <v>84.3</v>
      </c>
      <c r="G1810" s="193">
        <v>128.5</v>
      </c>
    </row>
    <row r="1811" spans="1:7" x14ac:dyDescent="0.3">
      <c r="A1811" s="195" t="s">
        <v>884</v>
      </c>
      <c r="B1811" s="195" t="s">
        <v>914</v>
      </c>
      <c r="C1811" s="193" t="s">
        <v>1317</v>
      </c>
      <c r="D1811" s="20" t="s">
        <v>1318</v>
      </c>
      <c r="E1811" s="193">
        <v>103.3</v>
      </c>
      <c r="F1811" s="193">
        <v>99</v>
      </c>
      <c r="G1811" s="193">
        <v>100.4</v>
      </c>
    </row>
    <row r="1812" spans="1:7" x14ac:dyDescent="0.3">
      <c r="A1812" s="195" t="s">
        <v>884</v>
      </c>
      <c r="B1812" s="195" t="s">
        <v>914</v>
      </c>
      <c r="C1812" s="196" t="s">
        <v>1319</v>
      </c>
      <c r="D1812" s="203" t="s">
        <v>1320</v>
      </c>
      <c r="E1812" s="193">
        <v>113</v>
      </c>
      <c r="F1812" s="193">
        <v>86.4</v>
      </c>
      <c r="G1812" s="193">
        <v>101.3</v>
      </c>
    </row>
    <row r="1813" spans="1:7" x14ac:dyDescent="0.3">
      <c r="A1813" s="195" t="s">
        <v>881</v>
      </c>
      <c r="B1813" s="195" t="s">
        <v>915</v>
      </c>
      <c r="C1813" s="193" t="s">
        <v>1302</v>
      </c>
      <c r="D1813" s="20" t="s">
        <v>1303</v>
      </c>
      <c r="E1813" s="193">
        <v>135.9</v>
      </c>
      <c r="F1813" s="193">
        <v>89.7</v>
      </c>
      <c r="G1813" s="193">
        <v>108.1</v>
      </c>
    </row>
    <row r="1814" spans="1:7" x14ac:dyDescent="0.3">
      <c r="A1814" s="195" t="s">
        <v>881</v>
      </c>
      <c r="B1814" s="195" t="s">
        <v>915</v>
      </c>
      <c r="C1814" s="193" t="s">
        <v>1304</v>
      </c>
      <c r="D1814" s="20" t="s">
        <v>1305</v>
      </c>
      <c r="E1814" s="193">
        <v>116.6</v>
      </c>
      <c r="F1814" s="193">
        <v>87</v>
      </c>
      <c r="G1814" s="193">
        <v>104.8</v>
      </c>
    </row>
    <row r="1815" spans="1:7" x14ac:dyDescent="0.3">
      <c r="A1815" s="195" t="s">
        <v>881</v>
      </c>
      <c r="B1815" s="195" t="s">
        <v>915</v>
      </c>
      <c r="C1815" s="193" t="s">
        <v>1306</v>
      </c>
      <c r="D1815" s="20" t="s">
        <v>1307</v>
      </c>
      <c r="E1815" s="193">
        <v>132.5</v>
      </c>
      <c r="F1815" s="193">
        <v>81.3</v>
      </c>
      <c r="G1815" s="193">
        <v>108.3</v>
      </c>
    </row>
    <row r="1816" spans="1:7" x14ac:dyDescent="0.3">
      <c r="A1816" s="195" t="s">
        <v>881</v>
      </c>
      <c r="B1816" s="195" t="s">
        <v>915</v>
      </c>
      <c r="C1816" s="193" t="s">
        <v>1308</v>
      </c>
      <c r="D1816" s="20" t="s">
        <v>1309</v>
      </c>
      <c r="E1816" s="193">
        <v>119.5</v>
      </c>
      <c r="F1816" s="193">
        <v>85.9</v>
      </c>
      <c r="G1816" s="193">
        <v>106.5</v>
      </c>
    </row>
    <row r="1817" spans="1:7" x14ac:dyDescent="0.3">
      <c r="A1817" s="195" t="s">
        <v>881</v>
      </c>
      <c r="B1817" s="195" t="s">
        <v>915</v>
      </c>
      <c r="C1817" s="193" t="s">
        <v>1310</v>
      </c>
      <c r="D1817" s="20" t="s">
        <v>27</v>
      </c>
      <c r="E1817" s="193">
        <v>102.7</v>
      </c>
      <c r="F1817" s="193">
        <v>81.3</v>
      </c>
      <c r="G1817" s="193">
        <v>93.7</v>
      </c>
    </row>
    <row r="1818" spans="1:7" x14ac:dyDescent="0.3">
      <c r="A1818" s="195" t="s">
        <v>881</v>
      </c>
      <c r="B1818" s="195" t="s">
        <v>915</v>
      </c>
      <c r="C1818" s="193" t="s">
        <v>1311</v>
      </c>
      <c r="D1818" s="20" t="s">
        <v>1312</v>
      </c>
      <c r="E1818" s="193">
        <v>131.1</v>
      </c>
      <c r="F1818" s="193">
        <v>93</v>
      </c>
      <c r="G1818" s="193">
        <v>120</v>
      </c>
    </row>
    <row r="1819" spans="1:7" x14ac:dyDescent="0.3">
      <c r="A1819" s="195" t="s">
        <v>881</v>
      </c>
      <c r="B1819" s="195" t="s">
        <v>915</v>
      </c>
      <c r="C1819" s="193" t="s">
        <v>1313</v>
      </c>
      <c r="D1819" s="20" t="s">
        <v>1321</v>
      </c>
      <c r="E1819" s="193">
        <v>103.9</v>
      </c>
      <c r="F1819" s="193">
        <v>94.6</v>
      </c>
      <c r="G1819" s="193">
        <v>100</v>
      </c>
    </row>
    <row r="1820" spans="1:7" x14ac:dyDescent="0.3">
      <c r="A1820" s="195" t="s">
        <v>881</v>
      </c>
      <c r="B1820" s="195" t="s">
        <v>915</v>
      </c>
      <c r="C1820" s="193" t="s">
        <v>361</v>
      </c>
      <c r="D1820" s="20" t="s">
        <v>1314</v>
      </c>
      <c r="E1820" s="193">
        <v>102.9</v>
      </c>
      <c r="F1820" s="193">
        <v>84.8</v>
      </c>
      <c r="G1820" s="193">
        <v>93.8</v>
      </c>
    </row>
    <row r="1821" spans="1:7" x14ac:dyDescent="0.3">
      <c r="A1821" s="195" t="s">
        <v>881</v>
      </c>
      <c r="B1821" s="195" t="s">
        <v>915</v>
      </c>
      <c r="C1821" s="193" t="s">
        <v>1315</v>
      </c>
      <c r="D1821" s="20" t="s">
        <v>1316</v>
      </c>
      <c r="E1821" s="193">
        <v>131.1</v>
      </c>
      <c r="F1821" s="193">
        <v>79.3</v>
      </c>
      <c r="G1821" s="193">
        <v>128.19999999999999</v>
      </c>
    </row>
    <row r="1822" spans="1:7" x14ac:dyDescent="0.3">
      <c r="A1822" s="195" t="s">
        <v>881</v>
      </c>
      <c r="B1822" s="195" t="s">
        <v>915</v>
      </c>
      <c r="C1822" s="193" t="s">
        <v>1317</v>
      </c>
      <c r="D1822" s="20" t="s">
        <v>1318</v>
      </c>
      <c r="E1822" s="193">
        <v>118.8</v>
      </c>
      <c r="F1822" s="193">
        <v>100.9</v>
      </c>
      <c r="G1822" s="193">
        <v>106.6</v>
      </c>
    </row>
    <row r="1823" spans="1:7" x14ac:dyDescent="0.3">
      <c r="A1823" s="195" t="s">
        <v>881</v>
      </c>
      <c r="B1823" s="195" t="s">
        <v>915</v>
      </c>
      <c r="C1823" s="196" t="s">
        <v>1319</v>
      </c>
      <c r="D1823" s="203" t="s">
        <v>1320</v>
      </c>
      <c r="E1823" s="193">
        <v>113.9</v>
      </c>
      <c r="F1823" s="193">
        <v>87.9</v>
      </c>
      <c r="G1823" s="193">
        <v>102.5</v>
      </c>
    </row>
    <row r="1824" spans="1:7" x14ac:dyDescent="0.3">
      <c r="A1824" s="195" t="s">
        <v>909</v>
      </c>
      <c r="B1824" s="195" t="s">
        <v>916</v>
      </c>
      <c r="C1824" s="193" t="s">
        <v>1302</v>
      </c>
      <c r="D1824" s="20" t="s">
        <v>1303</v>
      </c>
      <c r="E1824" s="193">
        <v>141.69999999999999</v>
      </c>
      <c r="F1824" s="193">
        <v>73.400000000000006</v>
      </c>
      <c r="G1824" s="193">
        <v>100.5</v>
      </c>
    </row>
    <row r="1825" spans="1:7" x14ac:dyDescent="0.3">
      <c r="A1825" s="195" t="s">
        <v>909</v>
      </c>
      <c r="B1825" s="195" t="s">
        <v>916</v>
      </c>
      <c r="C1825" s="193" t="s">
        <v>1304</v>
      </c>
      <c r="D1825" s="20" t="s">
        <v>1305</v>
      </c>
      <c r="E1825" s="193">
        <v>127.6</v>
      </c>
      <c r="F1825" s="193">
        <v>70.7</v>
      </c>
      <c r="G1825" s="193">
        <v>104.9</v>
      </c>
    </row>
    <row r="1826" spans="1:7" x14ac:dyDescent="0.3">
      <c r="A1826" s="195" t="s">
        <v>909</v>
      </c>
      <c r="B1826" s="195" t="s">
        <v>916</v>
      </c>
      <c r="C1826" s="193" t="s">
        <v>1306</v>
      </c>
      <c r="D1826" s="20" t="s">
        <v>1307</v>
      </c>
      <c r="E1826" s="193">
        <v>189.9</v>
      </c>
      <c r="F1826" s="193">
        <v>70.7</v>
      </c>
      <c r="G1826" s="193">
        <v>133.6</v>
      </c>
    </row>
    <row r="1827" spans="1:7" x14ac:dyDescent="0.3">
      <c r="A1827" s="195" t="s">
        <v>909</v>
      </c>
      <c r="B1827" s="195" t="s">
        <v>916</v>
      </c>
      <c r="C1827" s="193" t="s">
        <v>1308</v>
      </c>
      <c r="D1827" s="20" t="s">
        <v>1309</v>
      </c>
      <c r="E1827" s="193">
        <v>143.69999999999999</v>
      </c>
      <c r="F1827" s="193">
        <v>68.400000000000006</v>
      </c>
      <c r="G1827" s="193">
        <v>114.4</v>
      </c>
    </row>
    <row r="1828" spans="1:7" x14ac:dyDescent="0.3">
      <c r="A1828" s="195" t="s">
        <v>909</v>
      </c>
      <c r="B1828" s="195" t="s">
        <v>916</v>
      </c>
      <c r="C1828" s="193" t="s">
        <v>1310</v>
      </c>
      <c r="D1828" s="20" t="s">
        <v>27</v>
      </c>
      <c r="E1828" s="193">
        <v>106.9</v>
      </c>
      <c r="F1828" s="193">
        <v>67.3</v>
      </c>
      <c r="G1828" s="193">
        <v>90.3</v>
      </c>
    </row>
    <row r="1829" spans="1:7" x14ac:dyDescent="0.3">
      <c r="A1829" s="195" t="s">
        <v>909</v>
      </c>
      <c r="B1829" s="195" t="s">
        <v>916</v>
      </c>
      <c r="C1829" s="193" t="s">
        <v>1311</v>
      </c>
      <c r="D1829" s="20" t="s">
        <v>1312</v>
      </c>
      <c r="E1829" s="193">
        <v>131.1</v>
      </c>
      <c r="F1829" s="193">
        <v>64.099999999999994</v>
      </c>
      <c r="G1829" s="193">
        <v>111.5</v>
      </c>
    </row>
    <row r="1830" spans="1:7" x14ac:dyDescent="0.3">
      <c r="A1830" s="195" t="s">
        <v>909</v>
      </c>
      <c r="B1830" s="195" t="s">
        <v>916</v>
      </c>
      <c r="C1830" s="193" t="s">
        <v>1313</v>
      </c>
      <c r="D1830" s="20" t="s">
        <v>1321</v>
      </c>
      <c r="E1830" s="193">
        <v>103.7</v>
      </c>
      <c r="F1830" s="193">
        <v>83.5</v>
      </c>
      <c r="G1830" s="193">
        <v>95.1</v>
      </c>
    </row>
    <row r="1831" spans="1:7" x14ac:dyDescent="0.3">
      <c r="A1831" s="195" t="s">
        <v>909</v>
      </c>
      <c r="B1831" s="195" t="s">
        <v>916</v>
      </c>
      <c r="C1831" s="193" t="s">
        <v>361</v>
      </c>
      <c r="D1831" s="20" t="s">
        <v>1314</v>
      </c>
      <c r="E1831" s="193">
        <v>114.1</v>
      </c>
      <c r="F1831" s="193">
        <v>63.9</v>
      </c>
      <c r="G1831" s="193">
        <v>88.7</v>
      </c>
    </row>
    <row r="1832" spans="1:7" x14ac:dyDescent="0.3">
      <c r="A1832" s="195" t="s">
        <v>909</v>
      </c>
      <c r="B1832" s="195" t="s">
        <v>916</v>
      </c>
      <c r="C1832" s="193" t="s">
        <v>1315</v>
      </c>
      <c r="D1832" s="20" t="s">
        <v>1316</v>
      </c>
      <c r="E1832" s="193">
        <v>131.1</v>
      </c>
      <c r="F1832" s="193">
        <v>68.3</v>
      </c>
      <c r="G1832" s="193">
        <v>127.6</v>
      </c>
    </row>
    <row r="1833" spans="1:7" x14ac:dyDescent="0.3">
      <c r="A1833" s="195" t="s">
        <v>909</v>
      </c>
      <c r="B1833" s="195" t="s">
        <v>916</v>
      </c>
      <c r="C1833" s="193" t="s">
        <v>1317</v>
      </c>
      <c r="D1833" s="20" t="s">
        <v>1318</v>
      </c>
      <c r="E1833" s="193">
        <v>129.5</v>
      </c>
      <c r="F1833" s="193">
        <v>97.4</v>
      </c>
      <c r="G1833" s="193">
        <v>107.6</v>
      </c>
    </row>
    <row r="1834" spans="1:7" x14ac:dyDescent="0.3">
      <c r="A1834" s="195" t="s">
        <v>909</v>
      </c>
      <c r="B1834" s="195" t="s">
        <v>916</v>
      </c>
      <c r="C1834" s="196" t="s">
        <v>1319</v>
      </c>
      <c r="D1834" s="203" t="s">
        <v>1320</v>
      </c>
      <c r="E1834" s="193">
        <v>125.5</v>
      </c>
      <c r="F1834" s="193">
        <v>73.599999999999994</v>
      </c>
      <c r="G1834" s="193">
        <v>102.6</v>
      </c>
    </row>
    <row r="1835" spans="1:7" x14ac:dyDescent="0.3">
      <c r="A1835" s="195" t="s">
        <v>837</v>
      </c>
      <c r="B1835" s="195" t="s">
        <v>917</v>
      </c>
      <c r="C1835" s="193" t="s">
        <v>1302</v>
      </c>
      <c r="D1835" s="20" t="s">
        <v>1303</v>
      </c>
      <c r="E1835" s="193">
        <v>145.5</v>
      </c>
      <c r="F1835" s="193">
        <v>88.8</v>
      </c>
      <c r="G1835" s="193">
        <v>111.3</v>
      </c>
    </row>
    <row r="1836" spans="1:7" x14ac:dyDescent="0.3">
      <c r="A1836" s="195" t="s">
        <v>837</v>
      </c>
      <c r="B1836" s="195" t="s">
        <v>917</v>
      </c>
      <c r="C1836" s="193" t="s">
        <v>1304</v>
      </c>
      <c r="D1836" s="20" t="s">
        <v>1305</v>
      </c>
      <c r="E1836" s="193">
        <v>118.3</v>
      </c>
      <c r="F1836" s="193">
        <v>87.4</v>
      </c>
      <c r="G1836" s="193">
        <v>106</v>
      </c>
    </row>
    <row r="1837" spans="1:7" x14ac:dyDescent="0.3">
      <c r="A1837" s="195" t="s">
        <v>837</v>
      </c>
      <c r="B1837" s="195" t="s">
        <v>917</v>
      </c>
      <c r="C1837" s="193" t="s">
        <v>1306</v>
      </c>
      <c r="D1837" s="20" t="s">
        <v>1307</v>
      </c>
      <c r="E1837" s="193">
        <v>133.30000000000001</v>
      </c>
      <c r="F1837" s="193">
        <v>94.4</v>
      </c>
      <c r="G1837" s="193">
        <v>114.9</v>
      </c>
    </row>
    <row r="1838" spans="1:7" x14ac:dyDescent="0.3">
      <c r="A1838" s="195" t="s">
        <v>837</v>
      </c>
      <c r="B1838" s="195" t="s">
        <v>917</v>
      </c>
      <c r="C1838" s="193" t="s">
        <v>1308</v>
      </c>
      <c r="D1838" s="20" t="s">
        <v>1309</v>
      </c>
      <c r="E1838" s="193">
        <v>117.1</v>
      </c>
      <c r="F1838" s="193">
        <v>88.1</v>
      </c>
      <c r="G1838" s="193">
        <v>105.8</v>
      </c>
    </row>
    <row r="1839" spans="1:7" x14ac:dyDescent="0.3">
      <c r="A1839" s="195" t="s">
        <v>837</v>
      </c>
      <c r="B1839" s="195" t="s">
        <v>917</v>
      </c>
      <c r="C1839" s="193" t="s">
        <v>1310</v>
      </c>
      <c r="D1839" s="20" t="s">
        <v>27</v>
      </c>
      <c r="E1839" s="193">
        <v>103.4</v>
      </c>
      <c r="F1839" s="193">
        <v>86.9</v>
      </c>
      <c r="G1839" s="193">
        <v>96.5</v>
      </c>
    </row>
    <row r="1840" spans="1:7" x14ac:dyDescent="0.3">
      <c r="A1840" s="195" t="s">
        <v>837</v>
      </c>
      <c r="B1840" s="195" t="s">
        <v>917</v>
      </c>
      <c r="C1840" s="193" t="s">
        <v>1311</v>
      </c>
      <c r="D1840" s="20" t="s">
        <v>1312</v>
      </c>
      <c r="E1840" s="193">
        <v>131.1</v>
      </c>
      <c r="F1840" s="193">
        <v>70.599999999999994</v>
      </c>
      <c r="G1840" s="193">
        <v>113.4</v>
      </c>
    </row>
    <row r="1841" spans="1:7" x14ac:dyDescent="0.3">
      <c r="A1841" s="195" t="s">
        <v>837</v>
      </c>
      <c r="B1841" s="195" t="s">
        <v>917</v>
      </c>
      <c r="C1841" s="193" t="s">
        <v>1313</v>
      </c>
      <c r="D1841" s="20" t="s">
        <v>1321</v>
      </c>
      <c r="E1841" s="193">
        <v>103.6</v>
      </c>
      <c r="F1841" s="193">
        <v>100.6</v>
      </c>
      <c r="G1841" s="193">
        <v>102.3</v>
      </c>
    </row>
    <row r="1842" spans="1:7" x14ac:dyDescent="0.3">
      <c r="A1842" s="195" t="s">
        <v>837</v>
      </c>
      <c r="B1842" s="195" t="s">
        <v>917</v>
      </c>
      <c r="C1842" s="193" t="s">
        <v>361</v>
      </c>
      <c r="D1842" s="20" t="s">
        <v>1314</v>
      </c>
      <c r="E1842" s="193">
        <v>108.9</v>
      </c>
      <c r="F1842" s="193">
        <v>89.8</v>
      </c>
      <c r="G1842" s="193">
        <v>99.2</v>
      </c>
    </row>
    <row r="1843" spans="1:7" x14ac:dyDescent="0.3">
      <c r="A1843" s="195" t="s">
        <v>837</v>
      </c>
      <c r="B1843" s="195" t="s">
        <v>917</v>
      </c>
      <c r="C1843" s="193" t="s">
        <v>1315</v>
      </c>
      <c r="D1843" s="20" t="s">
        <v>1316</v>
      </c>
      <c r="E1843" s="193">
        <v>131.1</v>
      </c>
      <c r="F1843" s="193">
        <v>83.7</v>
      </c>
      <c r="G1843" s="193">
        <v>128.5</v>
      </c>
    </row>
    <row r="1844" spans="1:7" x14ac:dyDescent="0.3">
      <c r="A1844" s="195" t="s">
        <v>837</v>
      </c>
      <c r="B1844" s="195" t="s">
        <v>917</v>
      </c>
      <c r="C1844" s="193" t="s">
        <v>1317</v>
      </c>
      <c r="D1844" s="20" t="s">
        <v>1318</v>
      </c>
      <c r="E1844" s="193">
        <v>122.5</v>
      </c>
      <c r="F1844" s="193">
        <v>99.6</v>
      </c>
      <c r="G1844" s="193">
        <v>106.9</v>
      </c>
    </row>
    <row r="1845" spans="1:7" x14ac:dyDescent="0.3">
      <c r="A1845" s="195" t="s">
        <v>837</v>
      </c>
      <c r="B1845" s="195" t="s">
        <v>917</v>
      </c>
      <c r="C1845" s="196" t="s">
        <v>1319</v>
      </c>
      <c r="D1845" s="203" t="s">
        <v>1320</v>
      </c>
      <c r="E1845" s="193">
        <v>115.5</v>
      </c>
      <c r="F1845" s="193">
        <v>91.7</v>
      </c>
      <c r="G1845" s="193">
        <v>105</v>
      </c>
    </row>
    <row r="1846" spans="1:7" x14ac:dyDescent="0.3">
      <c r="A1846" s="195" t="s">
        <v>900</v>
      </c>
      <c r="B1846" s="195" t="s">
        <v>918</v>
      </c>
      <c r="C1846" s="193" t="s">
        <v>1302</v>
      </c>
      <c r="D1846" s="20" t="s">
        <v>1303</v>
      </c>
      <c r="E1846" s="193">
        <v>140.5</v>
      </c>
      <c r="F1846" s="193">
        <v>91.9</v>
      </c>
      <c r="G1846" s="193">
        <v>111.2</v>
      </c>
    </row>
    <row r="1847" spans="1:7" x14ac:dyDescent="0.3">
      <c r="A1847" s="195" t="s">
        <v>900</v>
      </c>
      <c r="B1847" s="195" t="s">
        <v>918</v>
      </c>
      <c r="C1847" s="193" t="s">
        <v>1304</v>
      </c>
      <c r="D1847" s="20" t="s">
        <v>1305</v>
      </c>
      <c r="E1847" s="193">
        <v>139.9</v>
      </c>
      <c r="F1847" s="193">
        <v>88.1</v>
      </c>
      <c r="G1847" s="193">
        <v>119.2</v>
      </c>
    </row>
    <row r="1848" spans="1:7" x14ac:dyDescent="0.3">
      <c r="A1848" s="195" t="s">
        <v>900</v>
      </c>
      <c r="B1848" s="195" t="s">
        <v>918</v>
      </c>
      <c r="C1848" s="193" t="s">
        <v>1306</v>
      </c>
      <c r="D1848" s="20" t="s">
        <v>1307</v>
      </c>
      <c r="E1848" s="193">
        <v>145.30000000000001</v>
      </c>
      <c r="F1848" s="193">
        <v>92.1</v>
      </c>
      <c r="G1848" s="193">
        <v>120.2</v>
      </c>
    </row>
    <row r="1849" spans="1:7" x14ac:dyDescent="0.3">
      <c r="A1849" s="195" t="s">
        <v>900</v>
      </c>
      <c r="B1849" s="195" t="s">
        <v>918</v>
      </c>
      <c r="C1849" s="193" t="s">
        <v>1308</v>
      </c>
      <c r="D1849" s="20" t="s">
        <v>1309</v>
      </c>
      <c r="E1849" s="193">
        <v>126.2</v>
      </c>
      <c r="F1849" s="193">
        <v>82</v>
      </c>
      <c r="G1849" s="193">
        <v>109</v>
      </c>
    </row>
    <row r="1850" spans="1:7" x14ac:dyDescent="0.3">
      <c r="A1850" s="195" t="s">
        <v>900</v>
      </c>
      <c r="B1850" s="195" t="s">
        <v>918</v>
      </c>
      <c r="C1850" s="193" t="s">
        <v>1310</v>
      </c>
      <c r="D1850" s="20" t="s">
        <v>27</v>
      </c>
      <c r="E1850" s="193">
        <v>109.3</v>
      </c>
      <c r="F1850" s="193">
        <v>91.7</v>
      </c>
      <c r="G1850" s="193">
        <v>101.9</v>
      </c>
    </row>
    <row r="1851" spans="1:7" x14ac:dyDescent="0.3">
      <c r="A1851" s="195" t="s">
        <v>900</v>
      </c>
      <c r="B1851" s="195" t="s">
        <v>918</v>
      </c>
      <c r="C1851" s="193" t="s">
        <v>1311</v>
      </c>
      <c r="D1851" s="20" t="s">
        <v>1312</v>
      </c>
      <c r="E1851" s="193">
        <v>131.1</v>
      </c>
      <c r="F1851" s="193">
        <v>69.3</v>
      </c>
      <c r="G1851" s="193">
        <v>113.1</v>
      </c>
    </row>
    <row r="1852" spans="1:7" x14ac:dyDescent="0.3">
      <c r="A1852" s="195" t="s">
        <v>900</v>
      </c>
      <c r="B1852" s="195" t="s">
        <v>918</v>
      </c>
      <c r="C1852" s="193" t="s">
        <v>1313</v>
      </c>
      <c r="D1852" s="20" t="s">
        <v>1321</v>
      </c>
      <c r="E1852" s="193">
        <v>105</v>
      </c>
      <c r="F1852" s="193">
        <v>84</v>
      </c>
      <c r="G1852" s="193">
        <v>96.1</v>
      </c>
    </row>
    <row r="1853" spans="1:7" x14ac:dyDescent="0.3">
      <c r="A1853" s="195" t="s">
        <v>900</v>
      </c>
      <c r="B1853" s="195" t="s">
        <v>918</v>
      </c>
      <c r="C1853" s="193" t="s">
        <v>361</v>
      </c>
      <c r="D1853" s="20" t="s">
        <v>1314</v>
      </c>
      <c r="E1853" s="193">
        <v>112.7</v>
      </c>
      <c r="F1853" s="193">
        <v>91.7</v>
      </c>
      <c r="G1853" s="193">
        <v>102.1</v>
      </c>
    </row>
    <row r="1854" spans="1:7" x14ac:dyDescent="0.3">
      <c r="A1854" s="195" t="s">
        <v>900</v>
      </c>
      <c r="B1854" s="195" t="s">
        <v>918</v>
      </c>
      <c r="C1854" s="193" t="s">
        <v>1315</v>
      </c>
      <c r="D1854" s="20" t="s">
        <v>1316</v>
      </c>
      <c r="E1854" s="193">
        <v>131.1</v>
      </c>
      <c r="F1854" s="193">
        <v>89</v>
      </c>
      <c r="G1854" s="193">
        <v>128.80000000000001</v>
      </c>
    </row>
    <row r="1855" spans="1:7" x14ac:dyDescent="0.3">
      <c r="A1855" s="195" t="s">
        <v>900</v>
      </c>
      <c r="B1855" s="195" t="s">
        <v>918</v>
      </c>
      <c r="C1855" s="193" t="s">
        <v>1317</v>
      </c>
      <c r="D1855" s="20" t="s">
        <v>1318</v>
      </c>
      <c r="E1855" s="193">
        <v>124.1</v>
      </c>
      <c r="F1855" s="193">
        <v>97.4</v>
      </c>
      <c r="G1855" s="193">
        <v>105.9</v>
      </c>
    </row>
    <row r="1856" spans="1:7" x14ac:dyDescent="0.3">
      <c r="A1856" s="195" t="s">
        <v>900</v>
      </c>
      <c r="B1856" s="195" t="s">
        <v>918</v>
      </c>
      <c r="C1856" s="196" t="s">
        <v>1319</v>
      </c>
      <c r="D1856" s="203" t="s">
        <v>1320</v>
      </c>
      <c r="E1856" s="193">
        <v>123</v>
      </c>
      <c r="F1856" s="193">
        <v>89</v>
      </c>
      <c r="G1856" s="193">
        <v>108</v>
      </c>
    </row>
    <row r="1857" spans="1:7" x14ac:dyDescent="0.3">
      <c r="A1857" s="195" t="s">
        <v>900</v>
      </c>
      <c r="B1857" s="195" t="s">
        <v>919</v>
      </c>
      <c r="C1857" s="193" t="s">
        <v>1302</v>
      </c>
      <c r="D1857" s="20" t="s">
        <v>1303</v>
      </c>
      <c r="E1857" s="193">
        <v>121.9</v>
      </c>
      <c r="F1857" s="193">
        <v>91.9</v>
      </c>
      <c r="G1857" s="193">
        <v>103.8</v>
      </c>
    </row>
    <row r="1858" spans="1:7" x14ac:dyDescent="0.3">
      <c r="A1858" s="195" t="s">
        <v>900</v>
      </c>
      <c r="B1858" s="195" t="s">
        <v>919</v>
      </c>
      <c r="C1858" s="193" t="s">
        <v>1304</v>
      </c>
      <c r="D1858" s="20" t="s">
        <v>1305</v>
      </c>
      <c r="E1858" s="193">
        <v>109.9</v>
      </c>
      <c r="F1858" s="193">
        <v>88.1</v>
      </c>
      <c r="G1858" s="193">
        <v>101.2</v>
      </c>
    </row>
    <row r="1859" spans="1:7" x14ac:dyDescent="0.3">
      <c r="A1859" s="195" t="s">
        <v>900</v>
      </c>
      <c r="B1859" s="195" t="s">
        <v>919</v>
      </c>
      <c r="C1859" s="193" t="s">
        <v>1306</v>
      </c>
      <c r="D1859" s="20" t="s">
        <v>1307</v>
      </c>
      <c r="E1859" s="193">
        <v>130.19999999999999</v>
      </c>
      <c r="F1859" s="193">
        <v>92.1</v>
      </c>
      <c r="G1859" s="193">
        <v>112.2</v>
      </c>
    </row>
    <row r="1860" spans="1:7" x14ac:dyDescent="0.3">
      <c r="A1860" s="195" t="s">
        <v>900</v>
      </c>
      <c r="B1860" s="195" t="s">
        <v>919</v>
      </c>
      <c r="C1860" s="193" t="s">
        <v>1308</v>
      </c>
      <c r="D1860" s="20" t="s">
        <v>1309</v>
      </c>
      <c r="E1860" s="193">
        <v>109.9</v>
      </c>
      <c r="F1860" s="193">
        <v>82.4</v>
      </c>
      <c r="G1860" s="193">
        <v>99.2</v>
      </c>
    </row>
    <row r="1861" spans="1:7" x14ac:dyDescent="0.3">
      <c r="A1861" s="195" t="s">
        <v>900</v>
      </c>
      <c r="B1861" s="195" t="s">
        <v>919</v>
      </c>
      <c r="C1861" s="193" t="s">
        <v>1310</v>
      </c>
      <c r="D1861" s="20" t="s">
        <v>27</v>
      </c>
      <c r="E1861" s="193">
        <v>102.5</v>
      </c>
      <c r="F1861" s="193">
        <v>91.7</v>
      </c>
      <c r="G1861" s="193">
        <v>97.9</v>
      </c>
    </row>
    <row r="1862" spans="1:7" x14ac:dyDescent="0.3">
      <c r="A1862" s="195" t="s">
        <v>900</v>
      </c>
      <c r="B1862" s="195" t="s">
        <v>919</v>
      </c>
      <c r="C1862" s="193" t="s">
        <v>1311</v>
      </c>
      <c r="D1862" s="20" t="s">
        <v>1312</v>
      </c>
      <c r="E1862" s="193">
        <v>131.1</v>
      </c>
      <c r="F1862" s="193">
        <v>69.8</v>
      </c>
      <c r="G1862" s="193">
        <v>113.2</v>
      </c>
    </row>
    <row r="1863" spans="1:7" x14ac:dyDescent="0.3">
      <c r="A1863" s="195" t="s">
        <v>900</v>
      </c>
      <c r="B1863" s="195" t="s">
        <v>919</v>
      </c>
      <c r="C1863" s="193" t="s">
        <v>1313</v>
      </c>
      <c r="D1863" s="20" t="s">
        <v>1321</v>
      </c>
      <c r="E1863" s="193">
        <v>104.9</v>
      </c>
      <c r="F1863" s="193">
        <v>84</v>
      </c>
      <c r="G1863" s="193">
        <v>96</v>
      </c>
    </row>
    <row r="1864" spans="1:7" x14ac:dyDescent="0.3">
      <c r="A1864" s="195" t="s">
        <v>900</v>
      </c>
      <c r="B1864" s="195" t="s">
        <v>919</v>
      </c>
      <c r="C1864" s="193" t="s">
        <v>361</v>
      </c>
      <c r="D1864" s="20" t="s">
        <v>1314</v>
      </c>
      <c r="E1864" s="193">
        <v>110.1</v>
      </c>
      <c r="F1864" s="193">
        <v>91.7</v>
      </c>
      <c r="G1864" s="193">
        <v>100.8</v>
      </c>
    </row>
    <row r="1865" spans="1:7" x14ac:dyDescent="0.3">
      <c r="A1865" s="195" t="s">
        <v>900</v>
      </c>
      <c r="B1865" s="195" t="s">
        <v>919</v>
      </c>
      <c r="C1865" s="193" t="s">
        <v>1315</v>
      </c>
      <c r="D1865" s="20" t="s">
        <v>1316</v>
      </c>
      <c r="E1865" s="193">
        <v>131.1</v>
      </c>
      <c r="F1865" s="193">
        <v>89</v>
      </c>
      <c r="G1865" s="193">
        <v>128.80000000000001</v>
      </c>
    </row>
    <row r="1866" spans="1:7" x14ac:dyDescent="0.3">
      <c r="A1866" s="195" t="s">
        <v>900</v>
      </c>
      <c r="B1866" s="195" t="s">
        <v>919</v>
      </c>
      <c r="C1866" s="193" t="s">
        <v>1317</v>
      </c>
      <c r="D1866" s="20" t="s">
        <v>1318</v>
      </c>
      <c r="E1866" s="193">
        <v>115.4</v>
      </c>
      <c r="F1866" s="193">
        <v>97.4</v>
      </c>
      <c r="G1866" s="193">
        <v>103.2</v>
      </c>
    </row>
    <row r="1867" spans="1:7" x14ac:dyDescent="0.3">
      <c r="A1867" s="195" t="s">
        <v>900</v>
      </c>
      <c r="B1867" s="195" t="s">
        <v>919</v>
      </c>
      <c r="C1867" s="196" t="s">
        <v>1319</v>
      </c>
      <c r="D1867" s="203" t="s">
        <v>1320</v>
      </c>
      <c r="E1867" s="193">
        <v>112.3</v>
      </c>
      <c r="F1867" s="193">
        <v>89</v>
      </c>
      <c r="G1867" s="193">
        <v>102</v>
      </c>
    </row>
    <row r="1868" spans="1:7" x14ac:dyDescent="0.3">
      <c r="A1868" s="195" t="s">
        <v>911</v>
      </c>
      <c r="B1868" s="195" t="s">
        <v>920</v>
      </c>
      <c r="C1868" s="193" t="s">
        <v>1302</v>
      </c>
      <c r="D1868" s="20" t="s">
        <v>1303</v>
      </c>
      <c r="E1868" s="193">
        <v>150.4</v>
      </c>
      <c r="F1868" s="193">
        <v>88.7</v>
      </c>
      <c r="G1868" s="193">
        <v>113.2</v>
      </c>
    </row>
    <row r="1869" spans="1:7" x14ac:dyDescent="0.3">
      <c r="A1869" s="195" t="s">
        <v>911</v>
      </c>
      <c r="B1869" s="195" t="s">
        <v>920</v>
      </c>
      <c r="C1869" s="193" t="s">
        <v>1304</v>
      </c>
      <c r="D1869" s="20" t="s">
        <v>1305</v>
      </c>
      <c r="E1869" s="193">
        <v>141.19999999999999</v>
      </c>
      <c r="F1869" s="193">
        <v>84.2</v>
      </c>
      <c r="G1869" s="193">
        <v>118.5</v>
      </c>
    </row>
    <row r="1870" spans="1:7" x14ac:dyDescent="0.3">
      <c r="A1870" s="195" t="s">
        <v>911</v>
      </c>
      <c r="B1870" s="195" t="s">
        <v>920</v>
      </c>
      <c r="C1870" s="193" t="s">
        <v>1306</v>
      </c>
      <c r="D1870" s="20" t="s">
        <v>1307</v>
      </c>
      <c r="E1870" s="193">
        <v>147.30000000000001</v>
      </c>
      <c r="F1870" s="193">
        <v>88.2</v>
      </c>
      <c r="G1870" s="193">
        <v>119.3</v>
      </c>
    </row>
    <row r="1871" spans="1:7" x14ac:dyDescent="0.3">
      <c r="A1871" s="195" t="s">
        <v>911</v>
      </c>
      <c r="B1871" s="195" t="s">
        <v>920</v>
      </c>
      <c r="C1871" s="193" t="s">
        <v>1308</v>
      </c>
      <c r="D1871" s="20" t="s">
        <v>1309</v>
      </c>
      <c r="E1871" s="193">
        <v>137.69999999999999</v>
      </c>
      <c r="F1871" s="193">
        <v>89.6</v>
      </c>
      <c r="G1871" s="193">
        <v>119</v>
      </c>
    </row>
    <row r="1872" spans="1:7" x14ac:dyDescent="0.3">
      <c r="A1872" s="195" t="s">
        <v>911</v>
      </c>
      <c r="B1872" s="195" t="s">
        <v>920</v>
      </c>
      <c r="C1872" s="193" t="s">
        <v>1310</v>
      </c>
      <c r="D1872" s="20" t="s">
        <v>27</v>
      </c>
      <c r="E1872" s="193">
        <v>106.9</v>
      </c>
      <c r="F1872" s="193">
        <v>78.599999999999994</v>
      </c>
      <c r="G1872" s="193">
        <v>95</v>
      </c>
    </row>
    <row r="1873" spans="1:7" x14ac:dyDescent="0.3">
      <c r="A1873" s="195" t="s">
        <v>911</v>
      </c>
      <c r="B1873" s="195" t="s">
        <v>920</v>
      </c>
      <c r="C1873" s="193" t="s">
        <v>1311</v>
      </c>
      <c r="D1873" s="20" t="s">
        <v>1312</v>
      </c>
      <c r="E1873" s="193">
        <v>131.1</v>
      </c>
      <c r="F1873" s="193">
        <v>69.2</v>
      </c>
      <c r="G1873" s="193">
        <v>113</v>
      </c>
    </row>
    <row r="1874" spans="1:7" x14ac:dyDescent="0.3">
      <c r="A1874" s="195" t="s">
        <v>911</v>
      </c>
      <c r="B1874" s="195" t="s">
        <v>920</v>
      </c>
      <c r="C1874" s="193" t="s">
        <v>1313</v>
      </c>
      <c r="D1874" s="20" t="s">
        <v>1321</v>
      </c>
      <c r="E1874" s="193">
        <v>105.2</v>
      </c>
      <c r="F1874" s="193">
        <v>81.2</v>
      </c>
      <c r="G1874" s="193">
        <v>95</v>
      </c>
    </row>
    <row r="1875" spans="1:7" x14ac:dyDescent="0.3">
      <c r="A1875" s="195" t="s">
        <v>911</v>
      </c>
      <c r="B1875" s="195" t="s">
        <v>920</v>
      </c>
      <c r="C1875" s="193" t="s">
        <v>361</v>
      </c>
      <c r="D1875" s="20" t="s">
        <v>1314</v>
      </c>
      <c r="E1875" s="193">
        <v>111.9</v>
      </c>
      <c r="F1875" s="193">
        <v>82.5</v>
      </c>
      <c r="G1875" s="193">
        <v>97</v>
      </c>
    </row>
    <row r="1876" spans="1:7" x14ac:dyDescent="0.3">
      <c r="A1876" s="195" t="s">
        <v>911</v>
      </c>
      <c r="B1876" s="195" t="s">
        <v>920</v>
      </c>
      <c r="C1876" s="193" t="s">
        <v>1315</v>
      </c>
      <c r="D1876" s="20" t="s">
        <v>1316</v>
      </c>
      <c r="E1876" s="193">
        <v>131.1</v>
      </c>
      <c r="F1876" s="193">
        <v>80.2</v>
      </c>
      <c r="G1876" s="193">
        <v>128.30000000000001</v>
      </c>
    </row>
    <row r="1877" spans="1:7" x14ac:dyDescent="0.3">
      <c r="A1877" s="195" t="s">
        <v>911</v>
      </c>
      <c r="B1877" s="195" t="s">
        <v>920</v>
      </c>
      <c r="C1877" s="193" t="s">
        <v>1317</v>
      </c>
      <c r="D1877" s="20" t="s">
        <v>1318</v>
      </c>
      <c r="E1877" s="193">
        <v>127</v>
      </c>
      <c r="F1877" s="193">
        <v>98.9</v>
      </c>
      <c r="G1877" s="193">
        <v>107.9</v>
      </c>
    </row>
    <row r="1878" spans="1:7" x14ac:dyDescent="0.3">
      <c r="A1878" s="195" t="s">
        <v>911</v>
      </c>
      <c r="B1878" s="195" t="s">
        <v>920</v>
      </c>
      <c r="C1878" s="196" t="s">
        <v>1319</v>
      </c>
      <c r="D1878" s="203" t="s">
        <v>1320</v>
      </c>
      <c r="E1878" s="193">
        <v>123.9</v>
      </c>
      <c r="F1878" s="193">
        <v>83.9</v>
      </c>
      <c r="G1878" s="193">
        <v>106.3</v>
      </c>
    </row>
    <row r="1879" spans="1:7" x14ac:dyDescent="0.3">
      <c r="A1879" s="195" t="s">
        <v>837</v>
      </c>
      <c r="B1879" s="195" t="s">
        <v>921</v>
      </c>
      <c r="C1879" s="193" t="s">
        <v>1302</v>
      </c>
      <c r="D1879" s="20" t="s">
        <v>1303</v>
      </c>
      <c r="E1879" s="193">
        <v>126.1</v>
      </c>
      <c r="F1879" s="193">
        <v>103.4</v>
      </c>
      <c r="G1879" s="193">
        <v>112.4</v>
      </c>
    </row>
    <row r="1880" spans="1:7" x14ac:dyDescent="0.3">
      <c r="A1880" s="195" t="s">
        <v>837</v>
      </c>
      <c r="B1880" s="195" t="s">
        <v>921</v>
      </c>
      <c r="C1880" s="193" t="s">
        <v>1304</v>
      </c>
      <c r="D1880" s="20" t="s">
        <v>1305</v>
      </c>
      <c r="E1880" s="193">
        <v>127.6</v>
      </c>
      <c r="F1880" s="193">
        <v>97.8</v>
      </c>
      <c r="G1880" s="193">
        <v>115.7</v>
      </c>
    </row>
    <row r="1881" spans="1:7" x14ac:dyDescent="0.3">
      <c r="A1881" s="195" t="s">
        <v>837</v>
      </c>
      <c r="B1881" s="195" t="s">
        <v>921</v>
      </c>
      <c r="C1881" s="193" t="s">
        <v>1306</v>
      </c>
      <c r="D1881" s="20" t="s">
        <v>1307</v>
      </c>
      <c r="E1881" s="193">
        <v>134.6</v>
      </c>
      <c r="F1881" s="193">
        <v>110.6</v>
      </c>
      <c r="G1881" s="193">
        <v>123.2</v>
      </c>
    </row>
    <row r="1882" spans="1:7" x14ac:dyDescent="0.3">
      <c r="A1882" s="195" t="s">
        <v>837</v>
      </c>
      <c r="B1882" s="195" t="s">
        <v>921</v>
      </c>
      <c r="C1882" s="193" t="s">
        <v>1308</v>
      </c>
      <c r="D1882" s="20" t="s">
        <v>1309</v>
      </c>
      <c r="E1882" s="193">
        <v>128.19999999999999</v>
      </c>
      <c r="F1882" s="193">
        <v>99.8</v>
      </c>
      <c r="G1882" s="193">
        <v>117.2</v>
      </c>
    </row>
    <row r="1883" spans="1:7" x14ac:dyDescent="0.3">
      <c r="A1883" s="195" t="s">
        <v>837</v>
      </c>
      <c r="B1883" s="195" t="s">
        <v>921</v>
      </c>
      <c r="C1883" s="193" t="s">
        <v>1310</v>
      </c>
      <c r="D1883" s="20" t="s">
        <v>27</v>
      </c>
      <c r="E1883" s="193">
        <v>102.2</v>
      </c>
      <c r="F1883" s="193">
        <v>99.9</v>
      </c>
      <c r="G1883" s="193">
        <v>101.3</v>
      </c>
    </row>
    <row r="1884" spans="1:7" x14ac:dyDescent="0.3">
      <c r="A1884" s="195" t="s">
        <v>837</v>
      </c>
      <c r="B1884" s="195" t="s">
        <v>921</v>
      </c>
      <c r="C1884" s="193" t="s">
        <v>1311</v>
      </c>
      <c r="D1884" s="20" t="s">
        <v>1312</v>
      </c>
      <c r="E1884" s="193">
        <v>131.1</v>
      </c>
      <c r="F1884" s="193">
        <v>101.5</v>
      </c>
      <c r="G1884" s="193">
        <v>122.5</v>
      </c>
    </row>
    <row r="1885" spans="1:7" x14ac:dyDescent="0.3">
      <c r="A1885" s="195" t="s">
        <v>837</v>
      </c>
      <c r="B1885" s="195" t="s">
        <v>921</v>
      </c>
      <c r="C1885" s="193" t="s">
        <v>1313</v>
      </c>
      <c r="D1885" s="20" t="s">
        <v>1321</v>
      </c>
      <c r="E1885" s="193">
        <v>105.3</v>
      </c>
      <c r="F1885" s="193">
        <v>96.8</v>
      </c>
      <c r="G1885" s="193">
        <v>101.7</v>
      </c>
    </row>
    <row r="1886" spans="1:7" x14ac:dyDescent="0.3">
      <c r="A1886" s="195" t="s">
        <v>837</v>
      </c>
      <c r="B1886" s="195" t="s">
        <v>921</v>
      </c>
      <c r="C1886" s="193" t="s">
        <v>361</v>
      </c>
      <c r="D1886" s="20" t="s">
        <v>1314</v>
      </c>
      <c r="E1886" s="193">
        <v>105.1</v>
      </c>
      <c r="F1886" s="193">
        <v>100.3</v>
      </c>
      <c r="G1886" s="193">
        <v>102.7</v>
      </c>
    </row>
    <row r="1887" spans="1:7" x14ac:dyDescent="0.3">
      <c r="A1887" s="195" t="s">
        <v>837</v>
      </c>
      <c r="B1887" s="195" t="s">
        <v>921</v>
      </c>
      <c r="C1887" s="193" t="s">
        <v>1315</v>
      </c>
      <c r="D1887" s="20" t="s">
        <v>1316</v>
      </c>
      <c r="E1887" s="193">
        <v>131.1</v>
      </c>
      <c r="F1887" s="193">
        <v>97.2</v>
      </c>
      <c r="G1887" s="193">
        <v>129.19999999999999</v>
      </c>
    </row>
    <row r="1888" spans="1:7" x14ac:dyDescent="0.3">
      <c r="A1888" s="195" t="s">
        <v>837</v>
      </c>
      <c r="B1888" s="195" t="s">
        <v>921</v>
      </c>
      <c r="C1888" s="193" t="s">
        <v>1317</v>
      </c>
      <c r="D1888" s="20" t="s">
        <v>1318</v>
      </c>
      <c r="E1888" s="193">
        <v>129.4</v>
      </c>
      <c r="F1888" s="193">
        <v>105.4</v>
      </c>
      <c r="G1888" s="193">
        <v>113.1</v>
      </c>
    </row>
    <row r="1889" spans="1:7" x14ac:dyDescent="0.3">
      <c r="A1889" s="195" t="s">
        <v>837</v>
      </c>
      <c r="B1889" s="195" t="s">
        <v>921</v>
      </c>
      <c r="C1889" s="196" t="s">
        <v>1319</v>
      </c>
      <c r="D1889" s="203" t="s">
        <v>1320</v>
      </c>
      <c r="E1889" s="193">
        <v>116.9</v>
      </c>
      <c r="F1889" s="193">
        <v>100.9</v>
      </c>
      <c r="G1889" s="193">
        <v>109.9</v>
      </c>
    </row>
    <row r="1890" spans="1:7" x14ac:dyDescent="0.3">
      <c r="A1890" s="195" t="s">
        <v>837</v>
      </c>
      <c r="B1890" s="195" t="s">
        <v>922</v>
      </c>
      <c r="C1890" s="193" t="s">
        <v>1302</v>
      </c>
      <c r="D1890" s="20" t="s">
        <v>1303</v>
      </c>
      <c r="E1890" s="193">
        <v>114.1</v>
      </c>
      <c r="F1890" s="193">
        <v>94.9</v>
      </c>
      <c r="G1890" s="193">
        <v>102.5</v>
      </c>
    </row>
    <row r="1891" spans="1:7" x14ac:dyDescent="0.3">
      <c r="A1891" s="195" t="s">
        <v>837</v>
      </c>
      <c r="B1891" s="195" t="s">
        <v>922</v>
      </c>
      <c r="C1891" s="193" t="s">
        <v>1304</v>
      </c>
      <c r="D1891" s="20" t="s">
        <v>1305</v>
      </c>
      <c r="E1891" s="193">
        <v>109.6</v>
      </c>
      <c r="F1891" s="193">
        <v>91.6</v>
      </c>
      <c r="G1891" s="193">
        <v>102.4</v>
      </c>
    </row>
    <row r="1892" spans="1:7" x14ac:dyDescent="0.3">
      <c r="A1892" s="195" t="s">
        <v>837</v>
      </c>
      <c r="B1892" s="195" t="s">
        <v>922</v>
      </c>
      <c r="C1892" s="193" t="s">
        <v>1306</v>
      </c>
      <c r="D1892" s="20" t="s">
        <v>1307</v>
      </c>
      <c r="E1892" s="193">
        <v>111.9</v>
      </c>
      <c r="F1892" s="193">
        <v>97.6</v>
      </c>
      <c r="G1892" s="193">
        <v>105.2</v>
      </c>
    </row>
    <row r="1893" spans="1:7" x14ac:dyDescent="0.3">
      <c r="A1893" s="195" t="s">
        <v>837</v>
      </c>
      <c r="B1893" s="195" t="s">
        <v>922</v>
      </c>
      <c r="C1893" s="193" t="s">
        <v>1308</v>
      </c>
      <c r="D1893" s="20" t="s">
        <v>1309</v>
      </c>
      <c r="E1893" s="193">
        <v>111.3</v>
      </c>
      <c r="F1893" s="193">
        <v>90.3</v>
      </c>
      <c r="G1893" s="193">
        <v>103.1</v>
      </c>
    </row>
    <row r="1894" spans="1:7" x14ac:dyDescent="0.3">
      <c r="A1894" s="195" t="s">
        <v>837</v>
      </c>
      <c r="B1894" s="195" t="s">
        <v>922</v>
      </c>
      <c r="C1894" s="193" t="s">
        <v>1310</v>
      </c>
      <c r="D1894" s="20" t="s">
        <v>27</v>
      </c>
      <c r="E1894" s="193">
        <v>95.4</v>
      </c>
      <c r="F1894" s="193">
        <v>90</v>
      </c>
      <c r="G1894" s="193">
        <v>93.1</v>
      </c>
    </row>
    <row r="1895" spans="1:7" x14ac:dyDescent="0.3">
      <c r="A1895" s="195" t="s">
        <v>837</v>
      </c>
      <c r="B1895" s="195" t="s">
        <v>922</v>
      </c>
      <c r="C1895" s="193" t="s">
        <v>1311</v>
      </c>
      <c r="D1895" s="20" t="s">
        <v>1312</v>
      </c>
      <c r="E1895" s="193">
        <v>131.1</v>
      </c>
      <c r="F1895" s="193">
        <v>72.3</v>
      </c>
      <c r="G1895" s="193">
        <v>113.9</v>
      </c>
    </row>
    <row r="1896" spans="1:7" x14ac:dyDescent="0.3">
      <c r="A1896" s="195" t="s">
        <v>837</v>
      </c>
      <c r="B1896" s="195" t="s">
        <v>922</v>
      </c>
      <c r="C1896" s="193" t="s">
        <v>1313</v>
      </c>
      <c r="D1896" s="20" t="s">
        <v>1321</v>
      </c>
      <c r="E1896" s="193">
        <v>104.7</v>
      </c>
      <c r="F1896" s="193">
        <v>87</v>
      </c>
      <c r="G1896" s="193">
        <v>97.2</v>
      </c>
    </row>
    <row r="1897" spans="1:7" x14ac:dyDescent="0.3">
      <c r="A1897" s="195" t="s">
        <v>837</v>
      </c>
      <c r="B1897" s="195" t="s">
        <v>922</v>
      </c>
      <c r="C1897" s="193" t="s">
        <v>361</v>
      </c>
      <c r="D1897" s="20" t="s">
        <v>1314</v>
      </c>
      <c r="E1897" s="193">
        <v>110.4</v>
      </c>
      <c r="F1897" s="193">
        <v>98.2</v>
      </c>
      <c r="G1897" s="193">
        <v>104.3</v>
      </c>
    </row>
    <row r="1898" spans="1:7" x14ac:dyDescent="0.3">
      <c r="A1898" s="195" t="s">
        <v>837</v>
      </c>
      <c r="B1898" s="195" t="s">
        <v>922</v>
      </c>
      <c r="C1898" s="193" t="s">
        <v>1315</v>
      </c>
      <c r="D1898" s="20" t="s">
        <v>1316</v>
      </c>
      <c r="E1898" s="193">
        <v>131.1</v>
      </c>
      <c r="F1898" s="193">
        <v>86.7</v>
      </c>
      <c r="G1898" s="193">
        <v>128.6</v>
      </c>
    </row>
    <row r="1899" spans="1:7" x14ac:dyDescent="0.3">
      <c r="A1899" s="195" t="s">
        <v>837</v>
      </c>
      <c r="B1899" s="195" t="s">
        <v>922</v>
      </c>
      <c r="C1899" s="193" t="s">
        <v>1317</v>
      </c>
      <c r="D1899" s="20" t="s">
        <v>1318</v>
      </c>
      <c r="E1899" s="193">
        <v>98.2</v>
      </c>
      <c r="F1899" s="193">
        <v>100.8</v>
      </c>
      <c r="G1899" s="193">
        <v>100</v>
      </c>
    </row>
    <row r="1900" spans="1:7" x14ac:dyDescent="0.3">
      <c r="A1900" s="195" t="s">
        <v>837</v>
      </c>
      <c r="B1900" s="195" t="s">
        <v>922</v>
      </c>
      <c r="C1900" s="196" t="s">
        <v>1319</v>
      </c>
      <c r="D1900" s="203" t="s">
        <v>1320</v>
      </c>
      <c r="E1900" s="193">
        <v>108.3</v>
      </c>
      <c r="F1900" s="193">
        <v>92.3</v>
      </c>
      <c r="G1900" s="193">
        <v>101.3</v>
      </c>
    </row>
    <row r="1901" spans="1:7" x14ac:dyDescent="0.3">
      <c r="A1901" s="195" t="s">
        <v>881</v>
      </c>
      <c r="B1901" s="195" t="s">
        <v>923</v>
      </c>
      <c r="C1901" s="193" t="s">
        <v>1302</v>
      </c>
      <c r="D1901" s="20" t="s">
        <v>1303</v>
      </c>
      <c r="E1901" s="193">
        <v>157.69999999999999</v>
      </c>
      <c r="F1901" s="193">
        <v>96.3</v>
      </c>
      <c r="G1901" s="193">
        <v>120.7</v>
      </c>
    </row>
    <row r="1902" spans="1:7" x14ac:dyDescent="0.3">
      <c r="A1902" s="195" t="s">
        <v>881</v>
      </c>
      <c r="B1902" s="195" t="s">
        <v>923</v>
      </c>
      <c r="C1902" s="193" t="s">
        <v>1304</v>
      </c>
      <c r="D1902" s="20" t="s">
        <v>1305</v>
      </c>
      <c r="E1902" s="193">
        <v>143.9</v>
      </c>
      <c r="F1902" s="193">
        <v>91.2</v>
      </c>
      <c r="G1902" s="193">
        <v>122.9</v>
      </c>
    </row>
    <row r="1903" spans="1:7" x14ac:dyDescent="0.3">
      <c r="A1903" s="195" t="s">
        <v>881</v>
      </c>
      <c r="B1903" s="195" t="s">
        <v>923</v>
      </c>
      <c r="C1903" s="193" t="s">
        <v>1306</v>
      </c>
      <c r="D1903" s="20" t="s">
        <v>1307</v>
      </c>
      <c r="E1903" s="193">
        <v>150.1</v>
      </c>
      <c r="F1903" s="193">
        <v>85.8</v>
      </c>
      <c r="G1903" s="193">
        <v>119.7</v>
      </c>
    </row>
    <row r="1904" spans="1:7" x14ac:dyDescent="0.3">
      <c r="A1904" s="195" t="s">
        <v>881</v>
      </c>
      <c r="B1904" s="195" t="s">
        <v>923</v>
      </c>
      <c r="C1904" s="193" t="s">
        <v>1308</v>
      </c>
      <c r="D1904" s="20" t="s">
        <v>1309</v>
      </c>
      <c r="E1904" s="193">
        <v>122.4</v>
      </c>
      <c r="F1904" s="193">
        <v>91.9</v>
      </c>
      <c r="G1904" s="193">
        <v>110.6</v>
      </c>
    </row>
    <row r="1905" spans="1:7" x14ac:dyDescent="0.3">
      <c r="A1905" s="195" t="s">
        <v>881</v>
      </c>
      <c r="B1905" s="195" t="s">
        <v>923</v>
      </c>
      <c r="C1905" s="193" t="s">
        <v>1310</v>
      </c>
      <c r="D1905" s="20" t="s">
        <v>27</v>
      </c>
      <c r="E1905" s="193">
        <v>107.4</v>
      </c>
      <c r="F1905" s="193">
        <v>94.1</v>
      </c>
      <c r="G1905" s="193">
        <v>101.8</v>
      </c>
    </row>
    <row r="1906" spans="1:7" x14ac:dyDescent="0.3">
      <c r="A1906" s="195" t="s">
        <v>881</v>
      </c>
      <c r="B1906" s="195" t="s">
        <v>923</v>
      </c>
      <c r="C1906" s="193" t="s">
        <v>1311</v>
      </c>
      <c r="D1906" s="20" t="s">
        <v>1312</v>
      </c>
      <c r="E1906" s="193">
        <v>131.1</v>
      </c>
      <c r="F1906" s="193">
        <v>95.1</v>
      </c>
      <c r="G1906" s="193">
        <v>120.6</v>
      </c>
    </row>
    <row r="1907" spans="1:7" x14ac:dyDescent="0.3">
      <c r="A1907" s="195" t="s">
        <v>881</v>
      </c>
      <c r="B1907" s="195" t="s">
        <v>923</v>
      </c>
      <c r="C1907" s="193" t="s">
        <v>1313</v>
      </c>
      <c r="D1907" s="20" t="s">
        <v>1321</v>
      </c>
      <c r="E1907" s="193">
        <v>105.5</v>
      </c>
      <c r="F1907" s="193">
        <v>90</v>
      </c>
      <c r="G1907" s="193">
        <v>98.9</v>
      </c>
    </row>
    <row r="1908" spans="1:7" x14ac:dyDescent="0.3">
      <c r="A1908" s="195" t="s">
        <v>881</v>
      </c>
      <c r="B1908" s="195" t="s">
        <v>923</v>
      </c>
      <c r="C1908" s="193" t="s">
        <v>361</v>
      </c>
      <c r="D1908" s="20" t="s">
        <v>1314</v>
      </c>
      <c r="E1908" s="193">
        <v>103.7</v>
      </c>
      <c r="F1908" s="193">
        <v>100.6</v>
      </c>
      <c r="G1908" s="193">
        <v>102.1</v>
      </c>
    </row>
    <row r="1909" spans="1:7" x14ac:dyDescent="0.3">
      <c r="A1909" s="195" t="s">
        <v>881</v>
      </c>
      <c r="B1909" s="195" t="s">
        <v>923</v>
      </c>
      <c r="C1909" s="193" t="s">
        <v>1315</v>
      </c>
      <c r="D1909" s="20" t="s">
        <v>1316</v>
      </c>
      <c r="E1909" s="193">
        <v>131.1</v>
      </c>
      <c r="F1909" s="193">
        <v>94.1</v>
      </c>
      <c r="G1909" s="193">
        <v>129.1</v>
      </c>
    </row>
    <row r="1910" spans="1:7" x14ac:dyDescent="0.3">
      <c r="A1910" s="195" t="s">
        <v>881</v>
      </c>
      <c r="B1910" s="195" t="s">
        <v>923</v>
      </c>
      <c r="C1910" s="193" t="s">
        <v>1317</v>
      </c>
      <c r="D1910" s="20" t="s">
        <v>1318</v>
      </c>
      <c r="E1910" s="193">
        <v>124.8</v>
      </c>
      <c r="F1910" s="193">
        <v>104.8</v>
      </c>
      <c r="G1910" s="193">
        <v>111.2</v>
      </c>
    </row>
    <row r="1911" spans="1:7" x14ac:dyDescent="0.3">
      <c r="A1911" s="195" t="s">
        <v>881</v>
      </c>
      <c r="B1911" s="195" t="s">
        <v>923</v>
      </c>
      <c r="C1911" s="196" t="s">
        <v>1319</v>
      </c>
      <c r="D1911" s="203" t="s">
        <v>1320</v>
      </c>
      <c r="E1911" s="193">
        <v>123.8</v>
      </c>
      <c r="F1911" s="193">
        <v>93.4</v>
      </c>
      <c r="G1911" s="193">
        <v>110.4</v>
      </c>
    </row>
    <row r="1912" spans="1:7" x14ac:dyDescent="0.3">
      <c r="A1912" s="195" t="s">
        <v>837</v>
      </c>
      <c r="B1912" s="195" t="s">
        <v>924</v>
      </c>
      <c r="C1912" s="193" t="s">
        <v>1302</v>
      </c>
      <c r="D1912" s="20" t="s">
        <v>1303</v>
      </c>
      <c r="E1912" s="193">
        <v>135.69999999999999</v>
      </c>
      <c r="F1912" s="193">
        <v>92.6</v>
      </c>
      <c r="G1912" s="193">
        <v>109.7</v>
      </c>
    </row>
    <row r="1913" spans="1:7" x14ac:dyDescent="0.3">
      <c r="A1913" s="195" t="s">
        <v>837</v>
      </c>
      <c r="B1913" s="195" t="s">
        <v>924</v>
      </c>
      <c r="C1913" s="193" t="s">
        <v>1304</v>
      </c>
      <c r="D1913" s="20" t="s">
        <v>1305</v>
      </c>
      <c r="E1913" s="193">
        <v>116.1</v>
      </c>
      <c r="F1913" s="193">
        <v>89.4</v>
      </c>
      <c r="G1913" s="193">
        <v>105.5</v>
      </c>
    </row>
    <row r="1914" spans="1:7" x14ac:dyDescent="0.3">
      <c r="A1914" s="195" t="s">
        <v>837</v>
      </c>
      <c r="B1914" s="195" t="s">
        <v>924</v>
      </c>
      <c r="C1914" s="193" t="s">
        <v>1306</v>
      </c>
      <c r="D1914" s="20" t="s">
        <v>1307</v>
      </c>
      <c r="E1914" s="193">
        <v>134</v>
      </c>
      <c r="F1914" s="193">
        <v>92.1</v>
      </c>
      <c r="G1914" s="193">
        <v>114.2</v>
      </c>
    </row>
    <row r="1915" spans="1:7" x14ac:dyDescent="0.3">
      <c r="A1915" s="195" t="s">
        <v>837</v>
      </c>
      <c r="B1915" s="195" t="s">
        <v>924</v>
      </c>
      <c r="C1915" s="193" t="s">
        <v>1308</v>
      </c>
      <c r="D1915" s="20" t="s">
        <v>1309</v>
      </c>
      <c r="E1915" s="193">
        <v>116.9</v>
      </c>
      <c r="F1915" s="193">
        <v>86.3</v>
      </c>
      <c r="G1915" s="193">
        <v>105</v>
      </c>
    </row>
    <row r="1916" spans="1:7" x14ac:dyDescent="0.3">
      <c r="A1916" s="195" t="s">
        <v>837</v>
      </c>
      <c r="B1916" s="195" t="s">
        <v>924</v>
      </c>
      <c r="C1916" s="193" t="s">
        <v>1310</v>
      </c>
      <c r="D1916" s="20" t="s">
        <v>27</v>
      </c>
      <c r="E1916" s="193">
        <v>107.3</v>
      </c>
      <c r="F1916" s="193">
        <v>88.1</v>
      </c>
      <c r="G1916" s="193">
        <v>99.2</v>
      </c>
    </row>
    <row r="1917" spans="1:7" x14ac:dyDescent="0.3">
      <c r="A1917" s="195" t="s">
        <v>837</v>
      </c>
      <c r="B1917" s="195" t="s">
        <v>924</v>
      </c>
      <c r="C1917" s="193" t="s">
        <v>1311</v>
      </c>
      <c r="D1917" s="20" t="s">
        <v>1312</v>
      </c>
      <c r="E1917" s="193">
        <v>131.1</v>
      </c>
      <c r="F1917" s="193">
        <v>70.099999999999994</v>
      </c>
      <c r="G1917" s="193">
        <v>113.3</v>
      </c>
    </row>
    <row r="1918" spans="1:7" x14ac:dyDescent="0.3">
      <c r="A1918" s="195" t="s">
        <v>837</v>
      </c>
      <c r="B1918" s="195" t="s">
        <v>924</v>
      </c>
      <c r="C1918" s="193" t="s">
        <v>1313</v>
      </c>
      <c r="D1918" s="20" t="s">
        <v>1321</v>
      </c>
      <c r="E1918" s="193">
        <v>103.9</v>
      </c>
      <c r="F1918" s="193">
        <v>99.1</v>
      </c>
      <c r="G1918" s="193">
        <v>101.9</v>
      </c>
    </row>
    <row r="1919" spans="1:7" x14ac:dyDescent="0.3">
      <c r="A1919" s="195" t="s">
        <v>837</v>
      </c>
      <c r="B1919" s="195" t="s">
        <v>924</v>
      </c>
      <c r="C1919" s="193" t="s">
        <v>361</v>
      </c>
      <c r="D1919" s="20" t="s">
        <v>1314</v>
      </c>
      <c r="E1919" s="193">
        <v>109.5</v>
      </c>
      <c r="F1919" s="193">
        <v>90.2</v>
      </c>
      <c r="G1919" s="193">
        <v>99.8</v>
      </c>
    </row>
    <row r="1920" spans="1:7" x14ac:dyDescent="0.3">
      <c r="A1920" s="195" t="s">
        <v>837</v>
      </c>
      <c r="B1920" s="195" t="s">
        <v>924</v>
      </c>
      <c r="C1920" s="193" t="s">
        <v>1315</v>
      </c>
      <c r="D1920" s="20" t="s">
        <v>1316</v>
      </c>
      <c r="E1920" s="193">
        <v>131.1</v>
      </c>
      <c r="F1920" s="193">
        <v>86.1</v>
      </c>
      <c r="G1920" s="193">
        <v>128.6</v>
      </c>
    </row>
    <row r="1921" spans="1:7" x14ac:dyDescent="0.3">
      <c r="A1921" s="195" t="s">
        <v>837</v>
      </c>
      <c r="B1921" s="195" t="s">
        <v>924</v>
      </c>
      <c r="C1921" s="193" t="s">
        <v>1317</v>
      </c>
      <c r="D1921" s="20" t="s">
        <v>1318</v>
      </c>
      <c r="E1921" s="193">
        <v>120.1</v>
      </c>
      <c r="F1921" s="193">
        <v>99.7</v>
      </c>
      <c r="G1921" s="193">
        <v>106.2</v>
      </c>
    </row>
    <row r="1922" spans="1:7" x14ac:dyDescent="0.3">
      <c r="A1922" s="195" t="s">
        <v>837</v>
      </c>
      <c r="B1922" s="195" t="s">
        <v>924</v>
      </c>
      <c r="C1922" s="196" t="s">
        <v>1319</v>
      </c>
      <c r="D1922" s="203" t="s">
        <v>1320</v>
      </c>
      <c r="E1922" s="193">
        <v>115.4</v>
      </c>
      <c r="F1922" s="193">
        <v>92</v>
      </c>
      <c r="G1922" s="193">
        <v>105.1</v>
      </c>
    </row>
    <row r="1923" spans="1:7" x14ac:dyDescent="0.3">
      <c r="A1923" s="195" t="s">
        <v>884</v>
      </c>
      <c r="B1923" s="195" t="s">
        <v>925</v>
      </c>
      <c r="C1923" s="193" t="s">
        <v>1302</v>
      </c>
      <c r="D1923" s="20" t="s">
        <v>1303</v>
      </c>
      <c r="E1923" s="193">
        <v>121.7</v>
      </c>
      <c r="F1923" s="193">
        <v>90.6</v>
      </c>
      <c r="G1923" s="193">
        <v>103</v>
      </c>
    </row>
    <row r="1924" spans="1:7" x14ac:dyDescent="0.3">
      <c r="A1924" s="195" t="s">
        <v>884</v>
      </c>
      <c r="B1924" s="195" t="s">
        <v>925</v>
      </c>
      <c r="C1924" s="193" t="s">
        <v>1304</v>
      </c>
      <c r="D1924" s="20" t="s">
        <v>1305</v>
      </c>
      <c r="E1924" s="193">
        <v>112.8</v>
      </c>
      <c r="F1924" s="193">
        <v>87.2</v>
      </c>
      <c r="G1924" s="193">
        <v>102.5</v>
      </c>
    </row>
    <row r="1925" spans="1:7" x14ac:dyDescent="0.3">
      <c r="A1925" s="195" t="s">
        <v>884</v>
      </c>
      <c r="B1925" s="195" t="s">
        <v>925</v>
      </c>
      <c r="C1925" s="193" t="s">
        <v>1306</v>
      </c>
      <c r="D1925" s="20" t="s">
        <v>1307</v>
      </c>
      <c r="E1925" s="193">
        <v>132.69999999999999</v>
      </c>
      <c r="F1925" s="193">
        <v>83.5</v>
      </c>
      <c r="G1925" s="193">
        <v>109.4</v>
      </c>
    </row>
    <row r="1926" spans="1:7" x14ac:dyDescent="0.3">
      <c r="A1926" s="195" t="s">
        <v>884</v>
      </c>
      <c r="B1926" s="195" t="s">
        <v>925</v>
      </c>
      <c r="C1926" s="193" t="s">
        <v>1308</v>
      </c>
      <c r="D1926" s="20" t="s">
        <v>1309</v>
      </c>
      <c r="E1926" s="193">
        <v>110.5</v>
      </c>
      <c r="F1926" s="193">
        <v>88.2</v>
      </c>
      <c r="G1926" s="193">
        <v>101.8</v>
      </c>
    </row>
    <row r="1927" spans="1:7" x14ac:dyDescent="0.3">
      <c r="A1927" s="195" t="s">
        <v>884</v>
      </c>
      <c r="B1927" s="195" t="s">
        <v>925</v>
      </c>
      <c r="C1927" s="193" t="s">
        <v>1310</v>
      </c>
      <c r="D1927" s="20" t="s">
        <v>27</v>
      </c>
      <c r="E1927" s="193">
        <v>102.9</v>
      </c>
      <c r="F1927" s="193">
        <v>87</v>
      </c>
      <c r="G1927" s="193">
        <v>96.3</v>
      </c>
    </row>
    <row r="1928" spans="1:7" x14ac:dyDescent="0.3">
      <c r="A1928" s="195" t="s">
        <v>884</v>
      </c>
      <c r="B1928" s="195" t="s">
        <v>925</v>
      </c>
      <c r="C1928" s="193" t="s">
        <v>1311</v>
      </c>
      <c r="D1928" s="20" t="s">
        <v>1312</v>
      </c>
      <c r="E1928" s="193">
        <v>131.1</v>
      </c>
      <c r="F1928" s="193">
        <v>82.6</v>
      </c>
      <c r="G1928" s="193">
        <v>116.9</v>
      </c>
    </row>
    <row r="1929" spans="1:7" x14ac:dyDescent="0.3">
      <c r="A1929" s="195" t="s">
        <v>884</v>
      </c>
      <c r="B1929" s="195" t="s">
        <v>925</v>
      </c>
      <c r="C1929" s="193" t="s">
        <v>1313</v>
      </c>
      <c r="D1929" s="20" t="s">
        <v>1321</v>
      </c>
      <c r="E1929" s="193">
        <v>103.9</v>
      </c>
      <c r="F1929" s="193">
        <v>90</v>
      </c>
      <c r="G1929" s="193">
        <v>98.1</v>
      </c>
    </row>
    <row r="1930" spans="1:7" x14ac:dyDescent="0.3">
      <c r="A1930" s="195" t="s">
        <v>884</v>
      </c>
      <c r="B1930" s="195" t="s">
        <v>925</v>
      </c>
      <c r="C1930" s="193" t="s">
        <v>361</v>
      </c>
      <c r="D1930" s="20" t="s">
        <v>1314</v>
      </c>
      <c r="E1930" s="193">
        <v>108.4</v>
      </c>
      <c r="F1930" s="193">
        <v>72.099999999999994</v>
      </c>
      <c r="G1930" s="193">
        <v>90</v>
      </c>
    </row>
    <row r="1931" spans="1:7" x14ac:dyDescent="0.3">
      <c r="A1931" s="195" t="s">
        <v>884</v>
      </c>
      <c r="B1931" s="195" t="s">
        <v>925</v>
      </c>
      <c r="C1931" s="193" t="s">
        <v>1315</v>
      </c>
      <c r="D1931" s="20" t="s">
        <v>1316</v>
      </c>
      <c r="E1931" s="193">
        <v>131.1</v>
      </c>
      <c r="F1931" s="193">
        <v>84.3</v>
      </c>
      <c r="G1931" s="193">
        <v>128.5</v>
      </c>
    </row>
    <row r="1932" spans="1:7" x14ac:dyDescent="0.3">
      <c r="A1932" s="195" t="s">
        <v>884</v>
      </c>
      <c r="B1932" s="195" t="s">
        <v>925</v>
      </c>
      <c r="C1932" s="193" t="s">
        <v>1317</v>
      </c>
      <c r="D1932" s="20" t="s">
        <v>1318</v>
      </c>
      <c r="E1932" s="193">
        <v>102.5</v>
      </c>
      <c r="F1932" s="193">
        <v>99</v>
      </c>
      <c r="G1932" s="193">
        <v>100.1</v>
      </c>
    </row>
    <row r="1933" spans="1:7" x14ac:dyDescent="0.3">
      <c r="A1933" s="195" t="s">
        <v>884</v>
      </c>
      <c r="B1933" s="195" t="s">
        <v>925</v>
      </c>
      <c r="C1933" s="196" t="s">
        <v>1319</v>
      </c>
      <c r="D1933" s="203" t="s">
        <v>1320</v>
      </c>
      <c r="E1933" s="193">
        <v>112.5</v>
      </c>
      <c r="F1933" s="193">
        <v>86.1</v>
      </c>
      <c r="G1933" s="193">
        <v>100.9</v>
      </c>
    </row>
    <row r="1934" spans="1:7" x14ac:dyDescent="0.3">
      <c r="A1934" s="195" t="s">
        <v>892</v>
      </c>
      <c r="B1934" s="195" t="s">
        <v>926</v>
      </c>
      <c r="C1934" s="193" t="s">
        <v>1302</v>
      </c>
      <c r="D1934" s="20" t="s">
        <v>1303</v>
      </c>
      <c r="E1934" s="193">
        <v>109.9</v>
      </c>
      <c r="F1934" s="193">
        <v>93.3</v>
      </c>
      <c r="G1934" s="193">
        <v>99.9</v>
      </c>
    </row>
    <row r="1935" spans="1:7" x14ac:dyDescent="0.3">
      <c r="A1935" s="195" t="s">
        <v>892</v>
      </c>
      <c r="B1935" s="195" t="s">
        <v>926</v>
      </c>
      <c r="C1935" s="193" t="s">
        <v>1304</v>
      </c>
      <c r="D1935" s="20" t="s">
        <v>1305</v>
      </c>
      <c r="E1935" s="193">
        <v>110.1</v>
      </c>
      <c r="F1935" s="193">
        <v>88.2</v>
      </c>
      <c r="G1935" s="193">
        <v>101.4</v>
      </c>
    </row>
    <row r="1936" spans="1:7" x14ac:dyDescent="0.3">
      <c r="A1936" s="195" t="s">
        <v>892</v>
      </c>
      <c r="B1936" s="195" t="s">
        <v>926</v>
      </c>
      <c r="C1936" s="193" t="s">
        <v>1306</v>
      </c>
      <c r="D1936" s="20" t="s">
        <v>1307</v>
      </c>
      <c r="E1936" s="193">
        <v>155.80000000000001</v>
      </c>
      <c r="F1936" s="193">
        <v>93</v>
      </c>
      <c r="G1936" s="193">
        <v>126.1</v>
      </c>
    </row>
    <row r="1937" spans="1:7" x14ac:dyDescent="0.3">
      <c r="A1937" s="195" t="s">
        <v>892</v>
      </c>
      <c r="B1937" s="195" t="s">
        <v>926</v>
      </c>
      <c r="C1937" s="193" t="s">
        <v>1308</v>
      </c>
      <c r="D1937" s="20" t="s">
        <v>1309</v>
      </c>
      <c r="E1937" s="193">
        <v>127.1</v>
      </c>
      <c r="F1937" s="193">
        <v>84.1</v>
      </c>
      <c r="G1937" s="193">
        <v>110.4</v>
      </c>
    </row>
    <row r="1938" spans="1:7" x14ac:dyDescent="0.3">
      <c r="A1938" s="195" t="s">
        <v>892</v>
      </c>
      <c r="B1938" s="195" t="s">
        <v>926</v>
      </c>
      <c r="C1938" s="193" t="s">
        <v>1310</v>
      </c>
      <c r="D1938" s="20" t="s">
        <v>27</v>
      </c>
      <c r="E1938" s="193">
        <v>101.5</v>
      </c>
      <c r="F1938" s="193">
        <v>81.8</v>
      </c>
      <c r="G1938" s="193">
        <v>93.2</v>
      </c>
    </row>
    <row r="1939" spans="1:7" x14ac:dyDescent="0.3">
      <c r="A1939" s="195" t="s">
        <v>892</v>
      </c>
      <c r="B1939" s="195" t="s">
        <v>926</v>
      </c>
      <c r="C1939" s="193" t="s">
        <v>1311</v>
      </c>
      <c r="D1939" s="20" t="s">
        <v>1312</v>
      </c>
      <c r="E1939" s="193">
        <v>131.1</v>
      </c>
      <c r="F1939" s="193">
        <v>93.8</v>
      </c>
      <c r="G1939" s="193">
        <v>120.2</v>
      </c>
    </row>
    <row r="1940" spans="1:7" x14ac:dyDescent="0.3">
      <c r="A1940" s="195" t="s">
        <v>892</v>
      </c>
      <c r="B1940" s="195" t="s">
        <v>926</v>
      </c>
      <c r="C1940" s="193" t="s">
        <v>1313</v>
      </c>
      <c r="D1940" s="20" t="s">
        <v>1321</v>
      </c>
      <c r="E1940" s="193">
        <v>103.6</v>
      </c>
      <c r="F1940" s="193">
        <v>93.4</v>
      </c>
      <c r="G1940" s="193">
        <v>99.3</v>
      </c>
    </row>
    <row r="1941" spans="1:7" x14ac:dyDescent="0.3">
      <c r="A1941" s="195" t="s">
        <v>892</v>
      </c>
      <c r="B1941" s="195" t="s">
        <v>926</v>
      </c>
      <c r="C1941" s="193" t="s">
        <v>361</v>
      </c>
      <c r="D1941" s="20" t="s">
        <v>1314</v>
      </c>
      <c r="E1941" s="193">
        <v>111.9</v>
      </c>
      <c r="F1941" s="193">
        <v>81.3</v>
      </c>
      <c r="G1941" s="193">
        <v>96.4</v>
      </c>
    </row>
    <row r="1942" spans="1:7" x14ac:dyDescent="0.3">
      <c r="A1942" s="195" t="s">
        <v>892</v>
      </c>
      <c r="B1942" s="195" t="s">
        <v>926</v>
      </c>
      <c r="C1942" s="193" t="s">
        <v>1315</v>
      </c>
      <c r="D1942" s="20" t="s">
        <v>1316</v>
      </c>
      <c r="E1942" s="193">
        <v>131.1</v>
      </c>
      <c r="F1942" s="193">
        <v>86.2</v>
      </c>
      <c r="G1942" s="193">
        <v>128.6</v>
      </c>
    </row>
    <row r="1943" spans="1:7" x14ac:dyDescent="0.3">
      <c r="A1943" s="195" t="s">
        <v>892</v>
      </c>
      <c r="B1943" s="195" t="s">
        <v>926</v>
      </c>
      <c r="C1943" s="193" t="s">
        <v>1317</v>
      </c>
      <c r="D1943" s="20" t="s">
        <v>1318</v>
      </c>
      <c r="E1943" s="193">
        <v>121.6</v>
      </c>
      <c r="F1943" s="193">
        <v>102.5</v>
      </c>
      <c r="G1943" s="193">
        <v>108.6</v>
      </c>
    </row>
    <row r="1944" spans="1:7" x14ac:dyDescent="0.3">
      <c r="A1944" s="195" t="s">
        <v>892</v>
      </c>
      <c r="B1944" s="195" t="s">
        <v>926</v>
      </c>
      <c r="C1944" s="196" t="s">
        <v>1319</v>
      </c>
      <c r="D1944" s="203" t="s">
        <v>1320</v>
      </c>
      <c r="E1944" s="193">
        <v>115</v>
      </c>
      <c r="F1944" s="193">
        <v>89.3</v>
      </c>
      <c r="G1944" s="193">
        <v>103.7</v>
      </c>
    </row>
    <row r="1945" spans="1:7" x14ac:dyDescent="0.3">
      <c r="A1945" s="195" t="s">
        <v>837</v>
      </c>
      <c r="B1945" s="195" t="s">
        <v>927</v>
      </c>
      <c r="C1945" s="193" t="s">
        <v>1302</v>
      </c>
      <c r="D1945" s="20" t="s">
        <v>1303</v>
      </c>
      <c r="E1945" s="193">
        <v>133.30000000000001</v>
      </c>
      <c r="F1945" s="193">
        <v>94.1</v>
      </c>
      <c r="G1945" s="193">
        <v>109.7</v>
      </c>
    </row>
    <row r="1946" spans="1:7" x14ac:dyDescent="0.3">
      <c r="A1946" s="195" t="s">
        <v>837</v>
      </c>
      <c r="B1946" s="195" t="s">
        <v>927</v>
      </c>
      <c r="C1946" s="193" t="s">
        <v>1304</v>
      </c>
      <c r="D1946" s="20" t="s">
        <v>1305</v>
      </c>
      <c r="E1946" s="193">
        <v>128.30000000000001</v>
      </c>
      <c r="F1946" s="193">
        <v>90.7</v>
      </c>
      <c r="G1946" s="193">
        <v>113.3</v>
      </c>
    </row>
    <row r="1947" spans="1:7" x14ac:dyDescent="0.3">
      <c r="A1947" s="195" t="s">
        <v>837</v>
      </c>
      <c r="B1947" s="195" t="s">
        <v>927</v>
      </c>
      <c r="C1947" s="193" t="s">
        <v>1306</v>
      </c>
      <c r="D1947" s="20" t="s">
        <v>1307</v>
      </c>
      <c r="E1947" s="193">
        <v>135.6</v>
      </c>
      <c r="F1947" s="193">
        <v>96.7</v>
      </c>
      <c r="G1947" s="193">
        <v>117.2</v>
      </c>
    </row>
    <row r="1948" spans="1:7" x14ac:dyDescent="0.3">
      <c r="A1948" s="195" t="s">
        <v>837</v>
      </c>
      <c r="B1948" s="195" t="s">
        <v>927</v>
      </c>
      <c r="C1948" s="193" t="s">
        <v>1308</v>
      </c>
      <c r="D1948" s="20" t="s">
        <v>1309</v>
      </c>
      <c r="E1948" s="193">
        <v>120.2</v>
      </c>
      <c r="F1948" s="193">
        <v>90.2</v>
      </c>
      <c r="G1948" s="193">
        <v>108.6</v>
      </c>
    </row>
    <row r="1949" spans="1:7" x14ac:dyDescent="0.3">
      <c r="A1949" s="195" t="s">
        <v>837</v>
      </c>
      <c r="B1949" s="195" t="s">
        <v>927</v>
      </c>
      <c r="C1949" s="193" t="s">
        <v>1310</v>
      </c>
      <c r="D1949" s="20" t="s">
        <v>27</v>
      </c>
      <c r="E1949" s="193">
        <v>101.7</v>
      </c>
      <c r="F1949" s="193">
        <v>88.5</v>
      </c>
      <c r="G1949" s="193">
        <v>96.2</v>
      </c>
    </row>
    <row r="1950" spans="1:7" x14ac:dyDescent="0.3">
      <c r="A1950" s="195" t="s">
        <v>837</v>
      </c>
      <c r="B1950" s="195" t="s">
        <v>927</v>
      </c>
      <c r="C1950" s="193" t="s">
        <v>1311</v>
      </c>
      <c r="D1950" s="20" t="s">
        <v>1312</v>
      </c>
      <c r="E1950" s="193">
        <v>131.1</v>
      </c>
      <c r="F1950" s="193">
        <v>98.6</v>
      </c>
      <c r="G1950" s="193">
        <v>121.6</v>
      </c>
    </row>
    <row r="1951" spans="1:7" x14ac:dyDescent="0.3">
      <c r="A1951" s="195" t="s">
        <v>837</v>
      </c>
      <c r="B1951" s="195" t="s">
        <v>927</v>
      </c>
      <c r="C1951" s="193" t="s">
        <v>1313</v>
      </c>
      <c r="D1951" s="20" t="s">
        <v>1321</v>
      </c>
      <c r="E1951" s="193">
        <v>105.6</v>
      </c>
      <c r="F1951" s="193">
        <v>85.7</v>
      </c>
      <c r="G1951" s="193">
        <v>97.2</v>
      </c>
    </row>
    <row r="1952" spans="1:7" x14ac:dyDescent="0.3">
      <c r="A1952" s="195" t="s">
        <v>837</v>
      </c>
      <c r="B1952" s="195" t="s">
        <v>927</v>
      </c>
      <c r="C1952" s="193" t="s">
        <v>361</v>
      </c>
      <c r="D1952" s="20" t="s">
        <v>1314</v>
      </c>
      <c r="E1952" s="193">
        <v>100.2</v>
      </c>
      <c r="F1952" s="193">
        <v>96.8</v>
      </c>
      <c r="G1952" s="193">
        <v>98.5</v>
      </c>
    </row>
    <row r="1953" spans="1:7" x14ac:dyDescent="0.3">
      <c r="A1953" s="195" t="s">
        <v>837</v>
      </c>
      <c r="B1953" s="195" t="s">
        <v>927</v>
      </c>
      <c r="C1953" s="193" t="s">
        <v>1315</v>
      </c>
      <c r="D1953" s="20" t="s">
        <v>1316</v>
      </c>
      <c r="E1953" s="193">
        <v>131.1</v>
      </c>
      <c r="F1953" s="193">
        <v>84.4</v>
      </c>
      <c r="G1953" s="193">
        <v>128.5</v>
      </c>
    </row>
    <row r="1954" spans="1:7" x14ac:dyDescent="0.3">
      <c r="A1954" s="195" t="s">
        <v>837</v>
      </c>
      <c r="B1954" s="195" t="s">
        <v>927</v>
      </c>
      <c r="C1954" s="193" t="s">
        <v>1317</v>
      </c>
      <c r="D1954" s="20" t="s">
        <v>1318</v>
      </c>
      <c r="E1954" s="193">
        <v>110.9</v>
      </c>
      <c r="F1954" s="193">
        <v>104.7</v>
      </c>
      <c r="G1954" s="193">
        <v>106.7</v>
      </c>
    </row>
    <row r="1955" spans="1:7" x14ac:dyDescent="0.3">
      <c r="A1955" s="195" t="s">
        <v>837</v>
      </c>
      <c r="B1955" s="195" t="s">
        <v>927</v>
      </c>
      <c r="C1955" s="196" t="s">
        <v>1319</v>
      </c>
      <c r="D1955" s="203" t="s">
        <v>1320</v>
      </c>
      <c r="E1955" s="193">
        <v>116.3</v>
      </c>
      <c r="F1955" s="193">
        <v>92.2</v>
      </c>
      <c r="G1955" s="193">
        <v>105.7</v>
      </c>
    </row>
    <row r="1956" spans="1:7" x14ac:dyDescent="0.3">
      <c r="A1956" s="195" t="s">
        <v>888</v>
      </c>
      <c r="B1956" s="195" t="s">
        <v>928</v>
      </c>
      <c r="C1956" s="193" t="s">
        <v>1302</v>
      </c>
      <c r="D1956" s="20" t="s">
        <v>1303</v>
      </c>
      <c r="E1956" s="193">
        <v>125.7</v>
      </c>
      <c r="F1956" s="193">
        <v>68.8</v>
      </c>
      <c r="G1956" s="193">
        <v>91.4</v>
      </c>
    </row>
    <row r="1957" spans="1:7" x14ac:dyDescent="0.3">
      <c r="A1957" s="195" t="s">
        <v>888</v>
      </c>
      <c r="B1957" s="195" t="s">
        <v>928</v>
      </c>
      <c r="C1957" s="193" t="s">
        <v>1304</v>
      </c>
      <c r="D1957" s="20" t="s">
        <v>1305</v>
      </c>
      <c r="E1957" s="193">
        <v>113.2</v>
      </c>
      <c r="F1957" s="193">
        <v>66.8</v>
      </c>
      <c r="G1957" s="193">
        <v>94.7</v>
      </c>
    </row>
    <row r="1958" spans="1:7" x14ac:dyDescent="0.3">
      <c r="A1958" s="195" t="s">
        <v>888</v>
      </c>
      <c r="B1958" s="195" t="s">
        <v>928</v>
      </c>
      <c r="C1958" s="193" t="s">
        <v>1306</v>
      </c>
      <c r="D1958" s="20" t="s">
        <v>1307</v>
      </c>
      <c r="E1958" s="193">
        <v>128.1</v>
      </c>
      <c r="F1958" s="193">
        <v>63.3</v>
      </c>
      <c r="G1958" s="193">
        <v>97.5</v>
      </c>
    </row>
    <row r="1959" spans="1:7" x14ac:dyDescent="0.3">
      <c r="A1959" s="195" t="s">
        <v>888</v>
      </c>
      <c r="B1959" s="195" t="s">
        <v>928</v>
      </c>
      <c r="C1959" s="193" t="s">
        <v>1308</v>
      </c>
      <c r="D1959" s="20" t="s">
        <v>1309</v>
      </c>
      <c r="E1959" s="193">
        <v>113.5</v>
      </c>
      <c r="F1959" s="193">
        <v>60.4</v>
      </c>
      <c r="G1959" s="193">
        <v>92.9</v>
      </c>
    </row>
    <row r="1960" spans="1:7" x14ac:dyDescent="0.3">
      <c r="A1960" s="195" t="s">
        <v>888</v>
      </c>
      <c r="B1960" s="195" t="s">
        <v>928</v>
      </c>
      <c r="C1960" s="193" t="s">
        <v>1310</v>
      </c>
      <c r="D1960" s="20" t="s">
        <v>27</v>
      </c>
      <c r="E1960" s="193">
        <v>99.5</v>
      </c>
      <c r="F1960" s="193">
        <v>61.7</v>
      </c>
      <c r="G1960" s="193">
        <v>83.6</v>
      </c>
    </row>
    <row r="1961" spans="1:7" x14ac:dyDescent="0.3">
      <c r="A1961" s="195" t="s">
        <v>888</v>
      </c>
      <c r="B1961" s="195" t="s">
        <v>928</v>
      </c>
      <c r="C1961" s="193" t="s">
        <v>1311</v>
      </c>
      <c r="D1961" s="20" t="s">
        <v>1312</v>
      </c>
      <c r="E1961" s="193">
        <v>131.1</v>
      </c>
      <c r="F1961" s="193">
        <v>63.7</v>
      </c>
      <c r="G1961" s="193">
        <v>111.4</v>
      </c>
    </row>
    <row r="1962" spans="1:7" x14ac:dyDescent="0.3">
      <c r="A1962" s="195" t="s">
        <v>888</v>
      </c>
      <c r="B1962" s="195" t="s">
        <v>928</v>
      </c>
      <c r="C1962" s="193" t="s">
        <v>1313</v>
      </c>
      <c r="D1962" s="20" t="s">
        <v>1321</v>
      </c>
      <c r="E1962" s="193">
        <v>103.6</v>
      </c>
      <c r="F1962" s="193">
        <v>69</v>
      </c>
      <c r="G1962" s="193">
        <v>89</v>
      </c>
    </row>
    <row r="1963" spans="1:7" x14ac:dyDescent="0.3">
      <c r="A1963" s="195" t="s">
        <v>888</v>
      </c>
      <c r="B1963" s="195" t="s">
        <v>928</v>
      </c>
      <c r="C1963" s="193" t="s">
        <v>361</v>
      </c>
      <c r="D1963" s="20" t="s">
        <v>1314</v>
      </c>
      <c r="E1963" s="193">
        <v>108.7</v>
      </c>
      <c r="F1963" s="193">
        <v>61.4</v>
      </c>
      <c r="G1963" s="193">
        <v>84.8</v>
      </c>
    </row>
    <row r="1964" spans="1:7" x14ac:dyDescent="0.3">
      <c r="A1964" s="195" t="s">
        <v>888</v>
      </c>
      <c r="B1964" s="195" t="s">
        <v>928</v>
      </c>
      <c r="C1964" s="193" t="s">
        <v>1315</v>
      </c>
      <c r="D1964" s="20" t="s">
        <v>1316</v>
      </c>
      <c r="E1964" s="193">
        <v>131.1</v>
      </c>
      <c r="F1964" s="193">
        <v>61.2</v>
      </c>
      <c r="G1964" s="193">
        <v>127.2</v>
      </c>
    </row>
    <row r="1965" spans="1:7" x14ac:dyDescent="0.3">
      <c r="A1965" s="195" t="s">
        <v>888</v>
      </c>
      <c r="B1965" s="195" t="s">
        <v>928</v>
      </c>
      <c r="C1965" s="193" t="s">
        <v>1317</v>
      </c>
      <c r="D1965" s="20" t="s">
        <v>1318</v>
      </c>
      <c r="E1965" s="193">
        <v>107.7</v>
      </c>
      <c r="F1965" s="193">
        <v>95.7</v>
      </c>
      <c r="G1965" s="193">
        <v>99.6</v>
      </c>
    </row>
    <row r="1966" spans="1:7" x14ac:dyDescent="0.3">
      <c r="A1966" s="195" t="s">
        <v>888</v>
      </c>
      <c r="B1966" s="195" t="s">
        <v>928</v>
      </c>
      <c r="C1966" s="196" t="s">
        <v>1319</v>
      </c>
      <c r="D1966" s="203" t="s">
        <v>1320</v>
      </c>
      <c r="E1966" s="193">
        <v>111.9</v>
      </c>
      <c r="F1966" s="193">
        <v>67</v>
      </c>
      <c r="G1966" s="193">
        <v>92.1</v>
      </c>
    </row>
    <row r="1967" spans="1:7" x14ac:dyDescent="0.3">
      <c r="A1967" s="195" t="s">
        <v>877</v>
      </c>
      <c r="B1967" s="195" t="s">
        <v>929</v>
      </c>
      <c r="C1967" s="193" t="s">
        <v>1302</v>
      </c>
      <c r="D1967" s="20" t="s">
        <v>1303</v>
      </c>
      <c r="E1967" s="193">
        <v>135.80000000000001</v>
      </c>
      <c r="F1967" s="193">
        <v>75.7</v>
      </c>
      <c r="G1967" s="193">
        <v>99.6</v>
      </c>
    </row>
    <row r="1968" spans="1:7" x14ac:dyDescent="0.3">
      <c r="A1968" s="195" t="s">
        <v>877</v>
      </c>
      <c r="B1968" s="195" t="s">
        <v>929</v>
      </c>
      <c r="C1968" s="193" t="s">
        <v>1304</v>
      </c>
      <c r="D1968" s="20" t="s">
        <v>1305</v>
      </c>
      <c r="E1968" s="193">
        <v>116.8</v>
      </c>
      <c r="F1968" s="193">
        <v>73.3</v>
      </c>
      <c r="G1968" s="193">
        <v>99.4</v>
      </c>
    </row>
    <row r="1969" spans="1:7" x14ac:dyDescent="0.3">
      <c r="A1969" s="195" t="s">
        <v>877</v>
      </c>
      <c r="B1969" s="195" t="s">
        <v>929</v>
      </c>
      <c r="C1969" s="193" t="s">
        <v>1306</v>
      </c>
      <c r="D1969" s="20" t="s">
        <v>1307</v>
      </c>
      <c r="E1969" s="193">
        <v>127.2</v>
      </c>
      <c r="F1969" s="193">
        <v>65.7</v>
      </c>
      <c r="G1969" s="193">
        <v>98.2</v>
      </c>
    </row>
    <row r="1970" spans="1:7" x14ac:dyDescent="0.3">
      <c r="A1970" s="195" t="s">
        <v>877</v>
      </c>
      <c r="B1970" s="195" t="s">
        <v>929</v>
      </c>
      <c r="C1970" s="193" t="s">
        <v>1308</v>
      </c>
      <c r="D1970" s="20" t="s">
        <v>1309</v>
      </c>
      <c r="E1970" s="193">
        <v>110.3</v>
      </c>
      <c r="F1970" s="193">
        <v>70.3</v>
      </c>
      <c r="G1970" s="193">
        <v>94.8</v>
      </c>
    </row>
    <row r="1971" spans="1:7" x14ac:dyDescent="0.3">
      <c r="A1971" s="195" t="s">
        <v>877</v>
      </c>
      <c r="B1971" s="195" t="s">
        <v>929</v>
      </c>
      <c r="C1971" s="193" t="s">
        <v>1310</v>
      </c>
      <c r="D1971" s="20" t="s">
        <v>27</v>
      </c>
      <c r="E1971" s="193">
        <v>102.7</v>
      </c>
      <c r="F1971" s="193">
        <v>68.400000000000006</v>
      </c>
      <c r="G1971" s="193">
        <v>88.3</v>
      </c>
    </row>
    <row r="1972" spans="1:7" x14ac:dyDescent="0.3">
      <c r="A1972" s="195" t="s">
        <v>877</v>
      </c>
      <c r="B1972" s="195" t="s">
        <v>929</v>
      </c>
      <c r="C1972" s="193" t="s">
        <v>1311</v>
      </c>
      <c r="D1972" s="20" t="s">
        <v>1312</v>
      </c>
      <c r="E1972" s="193">
        <v>131.1</v>
      </c>
      <c r="F1972" s="193">
        <v>64.7</v>
      </c>
      <c r="G1972" s="193">
        <v>111.7</v>
      </c>
    </row>
    <row r="1973" spans="1:7" x14ac:dyDescent="0.3">
      <c r="A1973" s="195" t="s">
        <v>877</v>
      </c>
      <c r="B1973" s="195" t="s">
        <v>929</v>
      </c>
      <c r="C1973" s="193" t="s">
        <v>1313</v>
      </c>
      <c r="D1973" s="20" t="s">
        <v>1321</v>
      </c>
      <c r="E1973" s="193">
        <v>103.6</v>
      </c>
      <c r="F1973" s="193">
        <v>82.6</v>
      </c>
      <c r="G1973" s="193">
        <v>94.7</v>
      </c>
    </row>
    <row r="1974" spans="1:7" x14ac:dyDescent="0.3">
      <c r="A1974" s="195" t="s">
        <v>877</v>
      </c>
      <c r="B1974" s="195" t="s">
        <v>929</v>
      </c>
      <c r="C1974" s="193" t="s">
        <v>361</v>
      </c>
      <c r="D1974" s="20" t="s">
        <v>1314</v>
      </c>
      <c r="E1974" s="193">
        <v>110.6</v>
      </c>
      <c r="F1974" s="193">
        <v>59.6</v>
      </c>
      <c r="G1974" s="193">
        <v>84.8</v>
      </c>
    </row>
    <row r="1975" spans="1:7" x14ac:dyDescent="0.3">
      <c r="A1975" s="195" t="s">
        <v>877</v>
      </c>
      <c r="B1975" s="195" t="s">
        <v>929</v>
      </c>
      <c r="C1975" s="193" t="s">
        <v>1315</v>
      </c>
      <c r="D1975" s="20" t="s">
        <v>1316</v>
      </c>
      <c r="E1975" s="193">
        <v>131.1</v>
      </c>
      <c r="F1975" s="193">
        <v>69.599999999999994</v>
      </c>
      <c r="G1975" s="193">
        <v>127.7</v>
      </c>
    </row>
    <row r="1976" spans="1:7" x14ac:dyDescent="0.3">
      <c r="A1976" s="195" t="s">
        <v>877</v>
      </c>
      <c r="B1976" s="195" t="s">
        <v>929</v>
      </c>
      <c r="C1976" s="193" t="s">
        <v>1317</v>
      </c>
      <c r="D1976" s="20" t="s">
        <v>1318</v>
      </c>
      <c r="E1976" s="193">
        <v>121.2</v>
      </c>
      <c r="F1976" s="193">
        <v>98.7</v>
      </c>
      <c r="G1976" s="193">
        <v>105.8</v>
      </c>
    </row>
    <row r="1977" spans="1:7" x14ac:dyDescent="0.3">
      <c r="A1977" s="195" t="s">
        <v>877</v>
      </c>
      <c r="B1977" s="195" t="s">
        <v>929</v>
      </c>
      <c r="C1977" s="196" t="s">
        <v>1319</v>
      </c>
      <c r="D1977" s="203" t="s">
        <v>1320</v>
      </c>
      <c r="E1977" s="193">
        <v>113.9</v>
      </c>
      <c r="F1977" s="193">
        <v>73.099999999999994</v>
      </c>
      <c r="G1977" s="193">
        <v>95.9</v>
      </c>
    </row>
    <row r="1978" spans="1:7" x14ac:dyDescent="0.3">
      <c r="A1978" s="195" t="s">
        <v>884</v>
      </c>
      <c r="B1978" s="195" t="s">
        <v>930</v>
      </c>
      <c r="C1978" s="193" t="s">
        <v>1302</v>
      </c>
      <c r="D1978" s="20" t="s">
        <v>1303</v>
      </c>
      <c r="E1978" s="193">
        <v>117.6</v>
      </c>
      <c r="F1978" s="193">
        <v>95.2</v>
      </c>
      <c r="G1978" s="193">
        <v>104.1</v>
      </c>
    </row>
    <row r="1979" spans="1:7" x14ac:dyDescent="0.3">
      <c r="A1979" s="195" t="s">
        <v>884</v>
      </c>
      <c r="B1979" s="195" t="s">
        <v>930</v>
      </c>
      <c r="C1979" s="193" t="s">
        <v>1304</v>
      </c>
      <c r="D1979" s="20" t="s">
        <v>1305</v>
      </c>
      <c r="E1979" s="193">
        <v>111.5</v>
      </c>
      <c r="F1979" s="193">
        <v>92.5</v>
      </c>
      <c r="G1979" s="193">
        <v>104</v>
      </c>
    </row>
    <row r="1980" spans="1:7" x14ac:dyDescent="0.3">
      <c r="A1980" s="195" t="s">
        <v>884</v>
      </c>
      <c r="B1980" s="195" t="s">
        <v>930</v>
      </c>
      <c r="C1980" s="193" t="s">
        <v>1306</v>
      </c>
      <c r="D1980" s="20" t="s">
        <v>1307</v>
      </c>
      <c r="E1980" s="193">
        <v>132.5</v>
      </c>
      <c r="F1980" s="193">
        <v>90.2</v>
      </c>
      <c r="G1980" s="193">
        <v>112.5</v>
      </c>
    </row>
    <row r="1981" spans="1:7" x14ac:dyDescent="0.3">
      <c r="A1981" s="195" t="s">
        <v>884</v>
      </c>
      <c r="B1981" s="195" t="s">
        <v>930</v>
      </c>
      <c r="C1981" s="193" t="s">
        <v>1308</v>
      </c>
      <c r="D1981" s="20" t="s">
        <v>1309</v>
      </c>
      <c r="E1981" s="193">
        <v>110.5</v>
      </c>
      <c r="F1981" s="193">
        <v>93.9</v>
      </c>
      <c r="G1981" s="193">
        <v>104</v>
      </c>
    </row>
    <row r="1982" spans="1:7" x14ac:dyDescent="0.3">
      <c r="A1982" s="195" t="s">
        <v>884</v>
      </c>
      <c r="B1982" s="195" t="s">
        <v>930</v>
      </c>
      <c r="C1982" s="193" t="s">
        <v>1310</v>
      </c>
      <c r="D1982" s="20" t="s">
        <v>27</v>
      </c>
      <c r="E1982" s="193">
        <v>104.4</v>
      </c>
      <c r="F1982" s="193">
        <v>92.9</v>
      </c>
      <c r="G1982" s="193">
        <v>99.6</v>
      </c>
    </row>
    <row r="1983" spans="1:7" x14ac:dyDescent="0.3">
      <c r="A1983" s="195" t="s">
        <v>884</v>
      </c>
      <c r="B1983" s="195" t="s">
        <v>930</v>
      </c>
      <c r="C1983" s="193" t="s">
        <v>1311</v>
      </c>
      <c r="D1983" s="20" t="s">
        <v>1312</v>
      </c>
      <c r="E1983" s="193">
        <v>131.1</v>
      </c>
      <c r="F1983" s="193">
        <v>85.3</v>
      </c>
      <c r="G1983" s="193">
        <v>117.7</v>
      </c>
    </row>
    <row r="1984" spans="1:7" x14ac:dyDescent="0.3">
      <c r="A1984" s="195" t="s">
        <v>884</v>
      </c>
      <c r="B1984" s="195" t="s">
        <v>930</v>
      </c>
      <c r="C1984" s="193" t="s">
        <v>1313</v>
      </c>
      <c r="D1984" s="20" t="s">
        <v>1321</v>
      </c>
      <c r="E1984" s="193">
        <v>103.6</v>
      </c>
      <c r="F1984" s="193">
        <v>93.5</v>
      </c>
      <c r="G1984" s="193">
        <v>99.3</v>
      </c>
    </row>
    <row r="1985" spans="1:7" x14ac:dyDescent="0.3">
      <c r="A1985" s="195" t="s">
        <v>884</v>
      </c>
      <c r="B1985" s="195" t="s">
        <v>930</v>
      </c>
      <c r="C1985" s="193" t="s">
        <v>361</v>
      </c>
      <c r="D1985" s="20" t="s">
        <v>1314</v>
      </c>
      <c r="E1985" s="193">
        <v>108.9</v>
      </c>
      <c r="F1985" s="193">
        <v>86.1</v>
      </c>
      <c r="G1985" s="193">
        <v>97.4</v>
      </c>
    </row>
    <row r="1986" spans="1:7" x14ac:dyDescent="0.3">
      <c r="A1986" s="195" t="s">
        <v>884</v>
      </c>
      <c r="B1986" s="195" t="s">
        <v>930</v>
      </c>
      <c r="C1986" s="193" t="s">
        <v>1315</v>
      </c>
      <c r="D1986" s="20" t="s">
        <v>1316</v>
      </c>
      <c r="E1986" s="193">
        <v>131.1</v>
      </c>
      <c r="F1986" s="193">
        <v>90</v>
      </c>
      <c r="G1986" s="193">
        <v>128.80000000000001</v>
      </c>
    </row>
    <row r="1987" spans="1:7" x14ac:dyDescent="0.3">
      <c r="A1987" s="195" t="s">
        <v>884</v>
      </c>
      <c r="B1987" s="195" t="s">
        <v>930</v>
      </c>
      <c r="C1987" s="193" t="s">
        <v>1317</v>
      </c>
      <c r="D1987" s="20" t="s">
        <v>1318</v>
      </c>
      <c r="E1987" s="193">
        <v>103.4</v>
      </c>
      <c r="F1987" s="193">
        <v>98.4</v>
      </c>
      <c r="G1987" s="193">
        <v>100</v>
      </c>
    </row>
    <row r="1988" spans="1:7" x14ac:dyDescent="0.3">
      <c r="A1988" s="195" t="s">
        <v>884</v>
      </c>
      <c r="B1988" s="195" t="s">
        <v>930</v>
      </c>
      <c r="C1988" s="196" t="s">
        <v>1319</v>
      </c>
      <c r="D1988" s="203" t="s">
        <v>1320</v>
      </c>
      <c r="E1988" s="193">
        <v>112.3</v>
      </c>
      <c r="F1988" s="193">
        <v>92</v>
      </c>
      <c r="G1988" s="193">
        <v>103.4</v>
      </c>
    </row>
    <row r="1989" spans="1:7" x14ac:dyDescent="0.3">
      <c r="A1989" s="195" t="s">
        <v>837</v>
      </c>
      <c r="B1989" s="195" t="s">
        <v>931</v>
      </c>
      <c r="C1989" s="193" t="s">
        <v>1302</v>
      </c>
      <c r="D1989" s="20" t="s">
        <v>1303</v>
      </c>
      <c r="E1989" s="193">
        <v>116.1</v>
      </c>
      <c r="F1989" s="193">
        <v>88.3</v>
      </c>
      <c r="G1989" s="193">
        <v>99.3</v>
      </c>
    </row>
    <row r="1990" spans="1:7" x14ac:dyDescent="0.3">
      <c r="A1990" s="195" t="s">
        <v>837</v>
      </c>
      <c r="B1990" s="195" t="s">
        <v>931</v>
      </c>
      <c r="C1990" s="193" t="s">
        <v>1304</v>
      </c>
      <c r="D1990" s="20" t="s">
        <v>1305</v>
      </c>
      <c r="E1990" s="193">
        <v>111.1</v>
      </c>
      <c r="F1990" s="193">
        <v>87.6</v>
      </c>
      <c r="G1990" s="193">
        <v>101.7</v>
      </c>
    </row>
    <row r="1991" spans="1:7" x14ac:dyDescent="0.3">
      <c r="A1991" s="195" t="s">
        <v>837</v>
      </c>
      <c r="B1991" s="195" t="s">
        <v>931</v>
      </c>
      <c r="C1991" s="193" t="s">
        <v>1306</v>
      </c>
      <c r="D1991" s="20" t="s">
        <v>1307</v>
      </c>
      <c r="E1991" s="193">
        <v>124</v>
      </c>
      <c r="F1991" s="193">
        <v>92.5</v>
      </c>
      <c r="G1991" s="193">
        <v>109.1</v>
      </c>
    </row>
    <row r="1992" spans="1:7" x14ac:dyDescent="0.3">
      <c r="A1992" s="195" t="s">
        <v>837</v>
      </c>
      <c r="B1992" s="195" t="s">
        <v>931</v>
      </c>
      <c r="C1992" s="193" t="s">
        <v>1308</v>
      </c>
      <c r="D1992" s="20" t="s">
        <v>1309</v>
      </c>
      <c r="E1992" s="193">
        <v>116</v>
      </c>
      <c r="F1992" s="193">
        <v>84.4</v>
      </c>
      <c r="G1992" s="193">
        <v>103.7</v>
      </c>
    </row>
    <row r="1993" spans="1:7" x14ac:dyDescent="0.3">
      <c r="A1993" s="195" t="s">
        <v>837</v>
      </c>
      <c r="B1993" s="195" t="s">
        <v>931</v>
      </c>
      <c r="C1993" s="193" t="s">
        <v>1310</v>
      </c>
      <c r="D1993" s="20" t="s">
        <v>27</v>
      </c>
      <c r="E1993" s="193">
        <v>98.5</v>
      </c>
      <c r="F1993" s="193">
        <v>88.4</v>
      </c>
      <c r="G1993" s="193">
        <v>94.2</v>
      </c>
    </row>
    <row r="1994" spans="1:7" x14ac:dyDescent="0.3">
      <c r="A1994" s="195" t="s">
        <v>837</v>
      </c>
      <c r="B1994" s="195" t="s">
        <v>931</v>
      </c>
      <c r="C1994" s="193" t="s">
        <v>1311</v>
      </c>
      <c r="D1994" s="20" t="s">
        <v>1312</v>
      </c>
      <c r="E1994" s="193">
        <v>131.1</v>
      </c>
      <c r="F1994" s="193">
        <v>97.3</v>
      </c>
      <c r="G1994" s="193">
        <v>121.2</v>
      </c>
    </row>
    <row r="1995" spans="1:7" x14ac:dyDescent="0.3">
      <c r="A1995" s="195" t="s">
        <v>837</v>
      </c>
      <c r="B1995" s="195" t="s">
        <v>931</v>
      </c>
      <c r="C1995" s="193" t="s">
        <v>1313</v>
      </c>
      <c r="D1995" s="20" t="s">
        <v>1321</v>
      </c>
      <c r="E1995" s="193">
        <v>103.6</v>
      </c>
      <c r="F1995" s="193">
        <v>94.6</v>
      </c>
      <c r="G1995" s="193">
        <v>99.8</v>
      </c>
    </row>
    <row r="1996" spans="1:7" x14ac:dyDescent="0.3">
      <c r="A1996" s="195" t="s">
        <v>837</v>
      </c>
      <c r="B1996" s="195" t="s">
        <v>931</v>
      </c>
      <c r="C1996" s="193" t="s">
        <v>361</v>
      </c>
      <c r="D1996" s="20" t="s">
        <v>1314</v>
      </c>
      <c r="E1996" s="193">
        <v>110.2</v>
      </c>
      <c r="F1996" s="193">
        <v>90.1</v>
      </c>
      <c r="G1996" s="193">
        <v>100.1</v>
      </c>
    </row>
    <row r="1997" spans="1:7" x14ac:dyDescent="0.3">
      <c r="A1997" s="195" t="s">
        <v>837</v>
      </c>
      <c r="B1997" s="195" t="s">
        <v>931</v>
      </c>
      <c r="C1997" s="193" t="s">
        <v>1315</v>
      </c>
      <c r="D1997" s="20" t="s">
        <v>1316</v>
      </c>
      <c r="E1997" s="193">
        <v>131.1</v>
      </c>
      <c r="F1997" s="193">
        <v>85.2</v>
      </c>
      <c r="G1997" s="193">
        <v>128.6</v>
      </c>
    </row>
    <row r="1998" spans="1:7" x14ac:dyDescent="0.3">
      <c r="A1998" s="195" t="s">
        <v>837</v>
      </c>
      <c r="B1998" s="195" t="s">
        <v>931</v>
      </c>
      <c r="C1998" s="193" t="s">
        <v>1317</v>
      </c>
      <c r="D1998" s="20" t="s">
        <v>1318</v>
      </c>
      <c r="E1998" s="193">
        <v>110.8</v>
      </c>
      <c r="F1998" s="193">
        <v>99.3</v>
      </c>
      <c r="G1998" s="193">
        <v>102.9</v>
      </c>
    </row>
    <row r="1999" spans="1:7" x14ac:dyDescent="0.3">
      <c r="A1999" s="195" t="s">
        <v>837</v>
      </c>
      <c r="B1999" s="195" t="s">
        <v>931</v>
      </c>
      <c r="C1999" s="196" t="s">
        <v>1319</v>
      </c>
      <c r="D1999" s="203" t="s">
        <v>1320</v>
      </c>
      <c r="E1999" s="193">
        <v>110.7</v>
      </c>
      <c r="F1999" s="193">
        <v>91.1</v>
      </c>
      <c r="G1999" s="193">
        <v>102.1</v>
      </c>
    </row>
    <row r="2000" spans="1:7" x14ac:dyDescent="0.3">
      <c r="A2000" s="195" t="s">
        <v>837</v>
      </c>
      <c r="B2000" s="195" t="s">
        <v>932</v>
      </c>
      <c r="C2000" s="193" t="s">
        <v>1302</v>
      </c>
      <c r="D2000" s="20" t="s">
        <v>1303</v>
      </c>
      <c r="E2000" s="193">
        <v>112.4</v>
      </c>
      <c r="F2000" s="193">
        <v>92.9</v>
      </c>
      <c r="G2000" s="193">
        <v>100.6</v>
      </c>
    </row>
    <row r="2001" spans="1:7" x14ac:dyDescent="0.3">
      <c r="A2001" s="195" t="s">
        <v>837</v>
      </c>
      <c r="B2001" s="195" t="s">
        <v>932</v>
      </c>
      <c r="C2001" s="193" t="s">
        <v>1304</v>
      </c>
      <c r="D2001" s="20" t="s">
        <v>1305</v>
      </c>
      <c r="E2001" s="193">
        <v>108.8</v>
      </c>
      <c r="F2001" s="193">
        <v>90.5</v>
      </c>
      <c r="G2001" s="193">
        <v>101.5</v>
      </c>
    </row>
    <row r="2002" spans="1:7" x14ac:dyDescent="0.3">
      <c r="A2002" s="195" t="s">
        <v>837</v>
      </c>
      <c r="B2002" s="195" t="s">
        <v>932</v>
      </c>
      <c r="C2002" s="193" t="s">
        <v>1306</v>
      </c>
      <c r="D2002" s="20" t="s">
        <v>1307</v>
      </c>
      <c r="E2002" s="193">
        <v>112.3</v>
      </c>
      <c r="F2002" s="193">
        <v>94.4</v>
      </c>
      <c r="G2002" s="193">
        <v>103.8</v>
      </c>
    </row>
    <row r="2003" spans="1:7" x14ac:dyDescent="0.3">
      <c r="A2003" s="195" t="s">
        <v>837</v>
      </c>
      <c r="B2003" s="195" t="s">
        <v>932</v>
      </c>
      <c r="C2003" s="193" t="s">
        <v>1308</v>
      </c>
      <c r="D2003" s="20" t="s">
        <v>1309</v>
      </c>
      <c r="E2003" s="193">
        <v>110.7</v>
      </c>
      <c r="F2003" s="193">
        <v>88</v>
      </c>
      <c r="G2003" s="193">
        <v>101.9</v>
      </c>
    </row>
    <row r="2004" spans="1:7" x14ac:dyDescent="0.3">
      <c r="A2004" s="195" t="s">
        <v>837</v>
      </c>
      <c r="B2004" s="195" t="s">
        <v>932</v>
      </c>
      <c r="C2004" s="193" t="s">
        <v>1310</v>
      </c>
      <c r="D2004" s="20" t="s">
        <v>27</v>
      </c>
      <c r="E2004" s="193">
        <v>94.6</v>
      </c>
      <c r="F2004" s="193">
        <v>88.4</v>
      </c>
      <c r="G2004" s="193">
        <v>92</v>
      </c>
    </row>
    <row r="2005" spans="1:7" x14ac:dyDescent="0.3">
      <c r="A2005" s="195" t="s">
        <v>837</v>
      </c>
      <c r="B2005" s="195" t="s">
        <v>932</v>
      </c>
      <c r="C2005" s="193" t="s">
        <v>1311</v>
      </c>
      <c r="D2005" s="20" t="s">
        <v>1312</v>
      </c>
      <c r="E2005" s="193">
        <v>131.1</v>
      </c>
      <c r="F2005" s="193">
        <v>98</v>
      </c>
      <c r="G2005" s="193">
        <v>121.4</v>
      </c>
    </row>
    <row r="2006" spans="1:7" x14ac:dyDescent="0.3">
      <c r="A2006" s="195" t="s">
        <v>837</v>
      </c>
      <c r="B2006" s="195" t="s">
        <v>932</v>
      </c>
      <c r="C2006" s="193" t="s">
        <v>1313</v>
      </c>
      <c r="D2006" s="20" t="s">
        <v>1321</v>
      </c>
      <c r="E2006" s="193">
        <v>103.5</v>
      </c>
      <c r="F2006" s="193">
        <v>87.6</v>
      </c>
      <c r="G2006" s="193">
        <v>96.8</v>
      </c>
    </row>
    <row r="2007" spans="1:7" x14ac:dyDescent="0.3">
      <c r="A2007" s="195" t="s">
        <v>837</v>
      </c>
      <c r="B2007" s="195" t="s">
        <v>932</v>
      </c>
      <c r="C2007" s="193" t="s">
        <v>361</v>
      </c>
      <c r="D2007" s="20" t="s">
        <v>1314</v>
      </c>
      <c r="E2007" s="193">
        <v>108.2</v>
      </c>
      <c r="F2007" s="193">
        <v>98.4</v>
      </c>
      <c r="G2007" s="193">
        <v>103.2</v>
      </c>
    </row>
    <row r="2008" spans="1:7" x14ac:dyDescent="0.3">
      <c r="A2008" s="195" t="s">
        <v>837</v>
      </c>
      <c r="B2008" s="195" t="s">
        <v>932</v>
      </c>
      <c r="C2008" s="193" t="s">
        <v>1315</v>
      </c>
      <c r="D2008" s="20" t="s">
        <v>1316</v>
      </c>
      <c r="E2008" s="193">
        <v>131.1</v>
      </c>
      <c r="F2008" s="193">
        <v>85.9</v>
      </c>
      <c r="G2008" s="193">
        <v>128.6</v>
      </c>
    </row>
    <row r="2009" spans="1:7" x14ac:dyDescent="0.3">
      <c r="A2009" s="195" t="s">
        <v>837</v>
      </c>
      <c r="B2009" s="195" t="s">
        <v>932</v>
      </c>
      <c r="C2009" s="193" t="s">
        <v>1317</v>
      </c>
      <c r="D2009" s="20" t="s">
        <v>1318</v>
      </c>
      <c r="E2009" s="193">
        <v>102.7</v>
      </c>
      <c r="F2009" s="193">
        <v>100.5</v>
      </c>
      <c r="G2009" s="193">
        <v>101.2</v>
      </c>
    </row>
    <row r="2010" spans="1:7" x14ac:dyDescent="0.3">
      <c r="A2010" s="195" t="s">
        <v>837</v>
      </c>
      <c r="B2010" s="195" t="s">
        <v>932</v>
      </c>
      <c r="C2010" s="196" t="s">
        <v>1319</v>
      </c>
      <c r="D2010" s="203" t="s">
        <v>1320</v>
      </c>
      <c r="E2010" s="193">
        <v>107.6</v>
      </c>
      <c r="F2010" s="193">
        <v>92.1</v>
      </c>
      <c r="G2010" s="193">
        <v>100.8</v>
      </c>
    </row>
    <row r="2011" spans="1:7" x14ac:dyDescent="0.3">
      <c r="A2011" s="195" t="s">
        <v>884</v>
      </c>
      <c r="B2011" s="195" t="s">
        <v>933</v>
      </c>
      <c r="C2011" s="193" t="s">
        <v>1302</v>
      </c>
      <c r="D2011" s="20" t="s">
        <v>1303</v>
      </c>
      <c r="E2011" s="193">
        <v>126.2</v>
      </c>
      <c r="F2011" s="193">
        <v>90.7</v>
      </c>
      <c r="G2011" s="193">
        <v>104.8</v>
      </c>
    </row>
    <row r="2012" spans="1:7" x14ac:dyDescent="0.3">
      <c r="A2012" s="195" t="s">
        <v>884</v>
      </c>
      <c r="B2012" s="195" t="s">
        <v>933</v>
      </c>
      <c r="C2012" s="193" t="s">
        <v>1304</v>
      </c>
      <c r="D2012" s="20" t="s">
        <v>1305</v>
      </c>
      <c r="E2012" s="193">
        <v>125.6</v>
      </c>
      <c r="F2012" s="193">
        <v>87.3</v>
      </c>
      <c r="G2012" s="193">
        <v>110.3</v>
      </c>
    </row>
    <row r="2013" spans="1:7" x14ac:dyDescent="0.3">
      <c r="A2013" s="195" t="s">
        <v>884</v>
      </c>
      <c r="B2013" s="195" t="s">
        <v>933</v>
      </c>
      <c r="C2013" s="193" t="s">
        <v>1306</v>
      </c>
      <c r="D2013" s="20" t="s">
        <v>1307</v>
      </c>
      <c r="E2013" s="193">
        <v>190.8</v>
      </c>
      <c r="F2013" s="193">
        <v>85.1</v>
      </c>
      <c r="G2013" s="193">
        <v>140.80000000000001</v>
      </c>
    </row>
    <row r="2014" spans="1:7" x14ac:dyDescent="0.3">
      <c r="A2014" s="195" t="s">
        <v>884</v>
      </c>
      <c r="B2014" s="195" t="s">
        <v>933</v>
      </c>
      <c r="C2014" s="193" t="s">
        <v>1308</v>
      </c>
      <c r="D2014" s="20" t="s">
        <v>1309</v>
      </c>
      <c r="E2014" s="193">
        <v>141.9</v>
      </c>
      <c r="F2014" s="193">
        <v>88.2</v>
      </c>
      <c r="G2014" s="193">
        <v>121</v>
      </c>
    </row>
    <row r="2015" spans="1:7" x14ac:dyDescent="0.3">
      <c r="A2015" s="195" t="s">
        <v>884</v>
      </c>
      <c r="B2015" s="195" t="s">
        <v>933</v>
      </c>
      <c r="C2015" s="193" t="s">
        <v>1310</v>
      </c>
      <c r="D2015" s="20" t="s">
        <v>27</v>
      </c>
      <c r="E2015" s="193">
        <v>117.1</v>
      </c>
      <c r="F2015" s="193">
        <v>87</v>
      </c>
      <c r="G2015" s="193">
        <v>104.4</v>
      </c>
    </row>
    <row r="2016" spans="1:7" x14ac:dyDescent="0.3">
      <c r="A2016" s="195" t="s">
        <v>884</v>
      </c>
      <c r="B2016" s="195" t="s">
        <v>933</v>
      </c>
      <c r="C2016" s="193" t="s">
        <v>1311</v>
      </c>
      <c r="D2016" s="20" t="s">
        <v>1312</v>
      </c>
      <c r="E2016" s="193">
        <v>131.1</v>
      </c>
      <c r="F2016" s="193">
        <v>82.6</v>
      </c>
      <c r="G2016" s="193">
        <v>116.9</v>
      </c>
    </row>
    <row r="2017" spans="1:7" x14ac:dyDescent="0.3">
      <c r="A2017" s="195" t="s">
        <v>884</v>
      </c>
      <c r="B2017" s="195" t="s">
        <v>933</v>
      </c>
      <c r="C2017" s="193" t="s">
        <v>1313</v>
      </c>
      <c r="D2017" s="20" t="s">
        <v>1321</v>
      </c>
      <c r="E2017" s="193">
        <v>103.7</v>
      </c>
      <c r="F2017" s="193">
        <v>90</v>
      </c>
      <c r="G2017" s="193">
        <v>97.9</v>
      </c>
    </row>
    <row r="2018" spans="1:7" x14ac:dyDescent="0.3">
      <c r="A2018" s="195" t="s">
        <v>884</v>
      </c>
      <c r="B2018" s="195" t="s">
        <v>933</v>
      </c>
      <c r="C2018" s="193" t="s">
        <v>361</v>
      </c>
      <c r="D2018" s="20" t="s">
        <v>1314</v>
      </c>
      <c r="E2018" s="193">
        <v>114.4</v>
      </c>
      <c r="F2018" s="193">
        <v>72.099999999999994</v>
      </c>
      <c r="G2018" s="193">
        <v>93</v>
      </c>
    </row>
    <row r="2019" spans="1:7" x14ac:dyDescent="0.3">
      <c r="A2019" s="195" t="s">
        <v>884</v>
      </c>
      <c r="B2019" s="195" t="s">
        <v>933</v>
      </c>
      <c r="C2019" s="193" t="s">
        <v>1315</v>
      </c>
      <c r="D2019" s="20" t="s">
        <v>1316</v>
      </c>
      <c r="E2019" s="193">
        <v>131.1</v>
      </c>
      <c r="F2019" s="193">
        <v>84.3</v>
      </c>
      <c r="G2019" s="193">
        <v>128.5</v>
      </c>
    </row>
    <row r="2020" spans="1:7" x14ac:dyDescent="0.3">
      <c r="A2020" s="195" t="s">
        <v>884</v>
      </c>
      <c r="B2020" s="195" t="s">
        <v>933</v>
      </c>
      <c r="C2020" s="193" t="s">
        <v>1317</v>
      </c>
      <c r="D2020" s="20" t="s">
        <v>1318</v>
      </c>
      <c r="E2020" s="193">
        <v>125</v>
      </c>
      <c r="F2020" s="193">
        <v>99</v>
      </c>
      <c r="G2020" s="193">
        <v>107.3</v>
      </c>
    </row>
    <row r="2021" spans="1:7" x14ac:dyDescent="0.3">
      <c r="A2021" s="195" t="s">
        <v>884</v>
      </c>
      <c r="B2021" s="195" t="s">
        <v>933</v>
      </c>
      <c r="C2021" s="196" t="s">
        <v>1319</v>
      </c>
      <c r="D2021" s="203" t="s">
        <v>1320</v>
      </c>
      <c r="E2021" s="193">
        <v>126.1</v>
      </c>
      <c r="F2021" s="193">
        <v>86.4</v>
      </c>
      <c r="G2021" s="193">
        <v>108.6</v>
      </c>
    </row>
    <row r="2022" spans="1:7" x14ac:dyDescent="0.3">
      <c r="A2022" s="195" t="s">
        <v>877</v>
      </c>
      <c r="B2022" s="195" t="s">
        <v>934</v>
      </c>
      <c r="C2022" s="193" t="s">
        <v>1302</v>
      </c>
      <c r="D2022" s="20" t="s">
        <v>1303</v>
      </c>
      <c r="E2022" s="193">
        <v>138.4</v>
      </c>
      <c r="F2022" s="193">
        <v>75.5</v>
      </c>
      <c r="G2022" s="193">
        <v>100.5</v>
      </c>
    </row>
    <row r="2023" spans="1:7" x14ac:dyDescent="0.3">
      <c r="A2023" s="195" t="s">
        <v>877</v>
      </c>
      <c r="B2023" s="195" t="s">
        <v>934</v>
      </c>
      <c r="C2023" s="193" t="s">
        <v>1304</v>
      </c>
      <c r="D2023" s="20" t="s">
        <v>1305</v>
      </c>
      <c r="E2023" s="193">
        <v>146.80000000000001</v>
      </c>
      <c r="F2023" s="193">
        <v>71.8</v>
      </c>
      <c r="G2023" s="193">
        <v>116.9</v>
      </c>
    </row>
    <row r="2024" spans="1:7" x14ac:dyDescent="0.3">
      <c r="A2024" s="195" t="s">
        <v>877</v>
      </c>
      <c r="B2024" s="195" t="s">
        <v>934</v>
      </c>
      <c r="C2024" s="193" t="s">
        <v>1306</v>
      </c>
      <c r="D2024" s="20" t="s">
        <v>1307</v>
      </c>
      <c r="E2024" s="193">
        <v>140.9</v>
      </c>
      <c r="F2024" s="193">
        <v>69.3</v>
      </c>
      <c r="G2024" s="193">
        <v>107</v>
      </c>
    </row>
    <row r="2025" spans="1:7" x14ac:dyDescent="0.3">
      <c r="A2025" s="195" t="s">
        <v>877</v>
      </c>
      <c r="B2025" s="195" t="s">
        <v>934</v>
      </c>
      <c r="C2025" s="193" t="s">
        <v>1308</v>
      </c>
      <c r="D2025" s="20" t="s">
        <v>1309</v>
      </c>
      <c r="E2025" s="193">
        <v>125.9</v>
      </c>
      <c r="F2025" s="193">
        <v>69.900000000000006</v>
      </c>
      <c r="G2025" s="193">
        <v>104.1</v>
      </c>
    </row>
    <row r="2026" spans="1:7" x14ac:dyDescent="0.3">
      <c r="A2026" s="195" t="s">
        <v>877</v>
      </c>
      <c r="B2026" s="195" t="s">
        <v>934</v>
      </c>
      <c r="C2026" s="193" t="s">
        <v>1310</v>
      </c>
      <c r="D2026" s="20" t="s">
        <v>27</v>
      </c>
      <c r="E2026" s="193">
        <v>104.2</v>
      </c>
      <c r="F2026" s="193">
        <v>66.7</v>
      </c>
      <c r="G2026" s="193">
        <v>88.5</v>
      </c>
    </row>
    <row r="2027" spans="1:7" x14ac:dyDescent="0.3">
      <c r="A2027" s="195" t="s">
        <v>877</v>
      </c>
      <c r="B2027" s="195" t="s">
        <v>934</v>
      </c>
      <c r="C2027" s="193" t="s">
        <v>1311</v>
      </c>
      <c r="D2027" s="20" t="s">
        <v>1312</v>
      </c>
      <c r="E2027" s="193">
        <v>131.1</v>
      </c>
      <c r="F2027" s="193">
        <v>66.8</v>
      </c>
      <c r="G2027" s="193">
        <v>112.3</v>
      </c>
    </row>
    <row r="2028" spans="1:7" x14ac:dyDescent="0.3">
      <c r="A2028" s="195" t="s">
        <v>877</v>
      </c>
      <c r="B2028" s="195" t="s">
        <v>934</v>
      </c>
      <c r="C2028" s="193" t="s">
        <v>1313</v>
      </c>
      <c r="D2028" s="20" t="s">
        <v>1321</v>
      </c>
      <c r="E2028" s="193">
        <v>105.4</v>
      </c>
      <c r="F2028" s="193">
        <v>66.2</v>
      </c>
      <c r="G2028" s="193">
        <v>88.8</v>
      </c>
    </row>
    <row r="2029" spans="1:7" x14ac:dyDescent="0.3">
      <c r="A2029" s="195" t="s">
        <v>877</v>
      </c>
      <c r="B2029" s="195" t="s">
        <v>934</v>
      </c>
      <c r="C2029" s="193" t="s">
        <v>361</v>
      </c>
      <c r="D2029" s="20" t="s">
        <v>1314</v>
      </c>
      <c r="E2029" s="193">
        <v>109.9</v>
      </c>
      <c r="F2029" s="193">
        <v>67.5</v>
      </c>
      <c r="G2029" s="193">
        <v>88.5</v>
      </c>
    </row>
    <row r="2030" spans="1:7" x14ac:dyDescent="0.3">
      <c r="A2030" s="195" t="s">
        <v>877</v>
      </c>
      <c r="B2030" s="195" t="s">
        <v>934</v>
      </c>
      <c r="C2030" s="193" t="s">
        <v>1315</v>
      </c>
      <c r="D2030" s="20" t="s">
        <v>1316</v>
      </c>
      <c r="E2030" s="193">
        <v>131.1</v>
      </c>
      <c r="F2030" s="193">
        <v>67.099999999999994</v>
      </c>
      <c r="G2030" s="193">
        <v>127.5</v>
      </c>
    </row>
    <row r="2031" spans="1:7" x14ac:dyDescent="0.3">
      <c r="A2031" s="195" t="s">
        <v>877</v>
      </c>
      <c r="B2031" s="195" t="s">
        <v>934</v>
      </c>
      <c r="C2031" s="193" t="s">
        <v>1317</v>
      </c>
      <c r="D2031" s="20" t="s">
        <v>1318</v>
      </c>
      <c r="E2031" s="193">
        <v>117.1</v>
      </c>
      <c r="F2031" s="193">
        <v>100.3</v>
      </c>
      <c r="G2031" s="193">
        <v>105.6</v>
      </c>
    </row>
    <row r="2032" spans="1:7" x14ac:dyDescent="0.3">
      <c r="A2032" s="195" t="s">
        <v>877</v>
      </c>
      <c r="B2032" s="195" t="s">
        <v>934</v>
      </c>
      <c r="C2032" s="196" t="s">
        <v>1319</v>
      </c>
      <c r="D2032" s="203" t="s">
        <v>1320</v>
      </c>
      <c r="E2032" s="193">
        <v>122.6</v>
      </c>
      <c r="F2032" s="193">
        <v>70.8</v>
      </c>
      <c r="G2032" s="193">
        <v>99.8</v>
      </c>
    </row>
    <row r="2033" spans="1:7" x14ac:dyDescent="0.3">
      <c r="A2033" s="195" t="s">
        <v>884</v>
      </c>
      <c r="B2033" s="195" t="s">
        <v>935</v>
      </c>
      <c r="C2033" s="193" t="s">
        <v>1302</v>
      </c>
      <c r="D2033" s="20" t="s">
        <v>1303</v>
      </c>
      <c r="E2033" s="193">
        <v>121.2</v>
      </c>
      <c r="F2033" s="193">
        <v>90.7</v>
      </c>
      <c r="G2033" s="193">
        <v>102.8</v>
      </c>
    </row>
    <row r="2034" spans="1:7" x14ac:dyDescent="0.3">
      <c r="A2034" s="195" t="s">
        <v>884</v>
      </c>
      <c r="B2034" s="195" t="s">
        <v>935</v>
      </c>
      <c r="C2034" s="193" t="s">
        <v>1304</v>
      </c>
      <c r="D2034" s="20" t="s">
        <v>1305</v>
      </c>
      <c r="E2034" s="193">
        <v>112.6</v>
      </c>
      <c r="F2034" s="193">
        <v>87.3</v>
      </c>
      <c r="G2034" s="193">
        <v>102.5</v>
      </c>
    </row>
    <row r="2035" spans="1:7" x14ac:dyDescent="0.3">
      <c r="A2035" s="195" t="s">
        <v>884</v>
      </c>
      <c r="B2035" s="195" t="s">
        <v>935</v>
      </c>
      <c r="C2035" s="193" t="s">
        <v>1306</v>
      </c>
      <c r="D2035" s="20" t="s">
        <v>1307</v>
      </c>
      <c r="E2035" s="193">
        <v>132.69999999999999</v>
      </c>
      <c r="F2035" s="193">
        <v>85.1</v>
      </c>
      <c r="G2035" s="193">
        <v>110.2</v>
      </c>
    </row>
    <row r="2036" spans="1:7" x14ac:dyDescent="0.3">
      <c r="A2036" s="195" t="s">
        <v>884</v>
      </c>
      <c r="B2036" s="195" t="s">
        <v>935</v>
      </c>
      <c r="C2036" s="193" t="s">
        <v>1308</v>
      </c>
      <c r="D2036" s="20" t="s">
        <v>1309</v>
      </c>
      <c r="E2036" s="193">
        <v>110.5</v>
      </c>
      <c r="F2036" s="193">
        <v>88.2</v>
      </c>
      <c r="G2036" s="193">
        <v>101.8</v>
      </c>
    </row>
    <row r="2037" spans="1:7" x14ac:dyDescent="0.3">
      <c r="A2037" s="195" t="s">
        <v>884</v>
      </c>
      <c r="B2037" s="195" t="s">
        <v>935</v>
      </c>
      <c r="C2037" s="193" t="s">
        <v>1310</v>
      </c>
      <c r="D2037" s="20" t="s">
        <v>27</v>
      </c>
      <c r="E2037" s="193">
        <v>104.7</v>
      </c>
      <c r="F2037" s="193">
        <v>87</v>
      </c>
      <c r="G2037" s="193">
        <v>97.3</v>
      </c>
    </row>
    <row r="2038" spans="1:7" x14ac:dyDescent="0.3">
      <c r="A2038" s="195" t="s">
        <v>884</v>
      </c>
      <c r="B2038" s="195" t="s">
        <v>935</v>
      </c>
      <c r="C2038" s="193" t="s">
        <v>1311</v>
      </c>
      <c r="D2038" s="20" t="s">
        <v>1312</v>
      </c>
      <c r="E2038" s="193">
        <v>131.1</v>
      </c>
      <c r="F2038" s="193">
        <v>82.6</v>
      </c>
      <c r="G2038" s="193">
        <v>116.9</v>
      </c>
    </row>
    <row r="2039" spans="1:7" x14ac:dyDescent="0.3">
      <c r="A2039" s="195" t="s">
        <v>884</v>
      </c>
      <c r="B2039" s="195" t="s">
        <v>935</v>
      </c>
      <c r="C2039" s="193" t="s">
        <v>1313</v>
      </c>
      <c r="D2039" s="20" t="s">
        <v>1321</v>
      </c>
      <c r="E2039" s="193">
        <v>103.9</v>
      </c>
      <c r="F2039" s="193">
        <v>90</v>
      </c>
      <c r="G2039" s="193">
        <v>98.1</v>
      </c>
    </row>
    <row r="2040" spans="1:7" x14ac:dyDescent="0.3">
      <c r="A2040" s="195" t="s">
        <v>884</v>
      </c>
      <c r="B2040" s="195" t="s">
        <v>935</v>
      </c>
      <c r="C2040" s="193" t="s">
        <v>361</v>
      </c>
      <c r="D2040" s="20" t="s">
        <v>1314</v>
      </c>
      <c r="E2040" s="193">
        <v>108.4</v>
      </c>
      <c r="F2040" s="193">
        <v>72.099999999999994</v>
      </c>
      <c r="G2040" s="193">
        <v>90</v>
      </c>
    </row>
    <row r="2041" spans="1:7" x14ac:dyDescent="0.3">
      <c r="A2041" s="195" t="s">
        <v>884</v>
      </c>
      <c r="B2041" s="195" t="s">
        <v>935</v>
      </c>
      <c r="C2041" s="193" t="s">
        <v>1315</v>
      </c>
      <c r="D2041" s="20" t="s">
        <v>1316</v>
      </c>
      <c r="E2041" s="193">
        <v>131.1</v>
      </c>
      <c r="F2041" s="193">
        <v>84.3</v>
      </c>
      <c r="G2041" s="193">
        <v>128.5</v>
      </c>
    </row>
    <row r="2042" spans="1:7" x14ac:dyDescent="0.3">
      <c r="A2042" s="195" t="s">
        <v>884</v>
      </c>
      <c r="B2042" s="195" t="s">
        <v>935</v>
      </c>
      <c r="C2042" s="193" t="s">
        <v>1317</v>
      </c>
      <c r="D2042" s="20" t="s">
        <v>1318</v>
      </c>
      <c r="E2042" s="193">
        <v>102.8</v>
      </c>
      <c r="F2042" s="193">
        <v>99</v>
      </c>
      <c r="G2042" s="193">
        <v>100.2</v>
      </c>
    </row>
    <row r="2043" spans="1:7" x14ac:dyDescent="0.3">
      <c r="A2043" s="195" t="s">
        <v>884</v>
      </c>
      <c r="B2043" s="195" t="s">
        <v>935</v>
      </c>
      <c r="C2043" s="196" t="s">
        <v>1319</v>
      </c>
      <c r="D2043" s="203" t="s">
        <v>1320</v>
      </c>
      <c r="E2043" s="193">
        <v>112.8</v>
      </c>
      <c r="F2043" s="193">
        <v>86.4</v>
      </c>
      <c r="G2043" s="193">
        <v>101.1</v>
      </c>
    </row>
    <row r="2044" spans="1:7" x14ac:dyDescent="0.3">
      <c r="A2044" s="195" t="s">
        <v>888</v>
      </c>
      <c r="B2044" s="195" t="s">
        <v>936</v>
      </c>
      <c r="C2044" s="193" t="s">
        <v>1302</v>
      </c>
      <c r="D2044" s="20" t="s">
        <v>1303</v>
      </c>
      <c r="E2044" s="193">
        <v>123.4</v>
      </c>
      <c r="F2044" s="193">
        <v>68.8</v>
      </c>
      <c r="G2044" s="193">
        <v>90.5</v>
      </c>
    </row>
    <row r="2045" spans="1:7" x14ac:dyDescent="0.3">
      <c r="A2045" s="195" t="s">
        <v>888</v>
      </c>
      <c r="B2045" s="195" t="s">
        <v>936</v>
      </c>
      <c r="C2045" s="193" t="s">
        <v>1304</v>
      </c>
      <c r="D2045" s="20" t="s">
        <v>1305</v>
      </c>
      <c r="E2045" s="193">
        <v>110.2</v>
      </c>
      <c r="F2045" s="193">
        <v>66.8</v>
      </c>
      <c r="G2045" s="193">
        <v>92.9</v>
      </c>
    </row>
    <row r="2046" spans="1:7" x14ac:dyDescent="0.3">
      <c r="A2046" s="195" t="s">
        <v>888</v>
      </c>
      <c r="B2046" s="195" t="s">
        <v>936</v>
      </c>
      <c r="C2046" s="193" t="s">
        <v>1306</v>
      </c>
      <c r="D2046" s="20" t="s">
        <v>1307</v>
      </c>
      <c r="E2046" s="193">
        <v>137.1</v>
      </c>
      <c r="F2046" s="193">
        <v>63.3</v>
      </c>
      <c r="G2046" s="193">
        <v>102.2</v>
      </c>
    </row>
    <row r="2047" spans="1:7" x14ac:dyDescent="0.3">
      <c r="A2047" s="195" t="s">
        <v>888</v>
      </c>
      <c r="B2047" s="195" t="s">
        <v>936</v>
      </c>
      <c r="C2047" s="193" t="s">
        <v>1308</v>
      </c>
      <c r="D2047" s="20" t="s">
        <v>1309</v>
      </c>
      <c r="E2047" s="193">
        <v>113.6</v>
      </c>
      <c r="F2047" s="193">
        <v>60.4</v>
      </c>
      <c r="G2047" s="193">
        <v>92.9</v>
      </c>
    </row>
    <row r="2048" spans="1:7" x14ac:dyDescent="0.3">
      <c r="A2048" s="195" t="s">
        <v>888</v>
      </c>
      <c r="B2048" s="195" t="s">
        <v>936</v>
      </c>
      <c r="C2048" s="193" t="s">
        <v>1310</v>
      </c>
      <c r="D2048" s="20" t="s">
        <v>27</v>
      </c>
      <c r="E2048" s="193">
        <v>100.8</v>
      </c>
      <c r="F2048" s="193">
        <v>61.7</v>
      </c>
      <c r="G2048" s="193">
        <v>84.4</v>
      </c>
    </row>
    <row r="2049" spans="1:7" x14ac:dyDescent="0.3">
      <c r="A2049" s="195" t="s">
        <v>888</v>
      </c>
      <c r="B2049" s="195" t="s">
        <v>936</v>
      </c>
      <c r="C2049" s="193" t="s">
        <v>1311</v>
      </c>
      <c r="D2049" s="20" t="s">
        <v>1312</v>
      </c>
      <c r="E2049" s="193">
        <v>131.1</v>
      </c>
      <c r="F2049" s="193">
        <v>63.7</v>
      </c>
      <c r="G2049" s="193">
        <v>111.4</v>
      </c>
    </row>
    <row r="2050" spans="1:7" x14ac:dyDescent="0.3">
      <c r="A2050" s="195" t="s">
        <v>888</v>
      </c>
      <c r="B2050" s="195" t="s">
        <v>936</v>
      </c>
      <c r="C2050" s="193" t="s">
        <v>1313</v>
      </c>
      <c r="D2050" s="20" t="s">
        <v>1321</v>
      </c>
      <c r="E2050" s="193">
        <v>103.6</v>
      </c>
      <c r="F2050" s="193">
        <v>69</v>
      </c>
      <c r="G2050" s="193">
        <v>89</v>
      </c>
    </row>
    <row r="2051" spans="1:7" x14ac:dyDescent="0.3">
      <c r="A2051" s="195" t="s">
        <v>888</v>
      </c>
      <c r="B2051" s="195" t="s">
        <v>936</v>
      </c>
      <c r="C2051" s="193" t="s">
        <v>361</v>
      </c>
      <c r="D2051" s="20" t="s">
        <v>1314</v>
      </c>
      <c r="E2051" s="193">
        <v>111.4</v>
      </c>
      <c r="F2051" s="193">
        <v>58</v>
      </c>
      <c r="G2051" s="193">
        <v>84.4</v>
      </c>
    </row>
    <row r="2052" spans="1:7" x14ac:dyDescent="0.3">
      <c r="A2052" s="195" t="s">
        <v>888</v>
      </c>
      <c r="B2052" s="195" t="s">
        <v>936</v>
      </c>
      <c r="C2052" s="193" t="s">
        <v>1315</v>
      </c>
      <c r="D2052" s="20" t="s">
        <v>1316</v>
      </c>
      <c r="E2052" s="193">
        <v>131.1</v>
      </c>
      <c r="F2052" s="193">
        <v>61.1</v>
      </c>
      <c r="G2052" s="193">
        <v>127.2</v>
      </c>
    </row>
    <row r="2053" spans="1:7" x14ac:dyDescent="0.3">
      <c r="A2053" s="195" t="s">
        <v>888</v>
      </c>
      <c r="B2053" s="195" t="s">
        <v>936</v>
      </c>
      <c r="C2053" s="193" t="s">
        <v>1317</v>
      </c>
      <c r="D2053" s="20" t="s">
        <v>1318</v>
      </c>
      <c r="E2053" s="193">
        <v>105.3</v>
      </c>
      <c r="F2053" s="193">
        <v>95.7</v>
      </c>
      <c r="G2053" s="193">
        <v>98.8</v>
      </c>
    </row>
    <row r="2054" spans="1:7" x14ac:dyDescent="0.3">
      <c r="A2054" s="195" t="s">
        <v>888</v>
      </c>
      <c r="B2054" s="195" t="s">
        <v>936</v>
      </c>
      <c r="C2054" s="196" t="s">
        <v>1319</v>
      </c>
      <c r="D2054" s="203" t="s">
        <v>1320</v>
      </c>
      <c r="E2054" s="193">
        <v>112.6</v>
      </c>
      <c r="F2054" s="193">
        <v>66.5</v>
      </c>
      <c r="G2054" s="193">
        <v>92.3</v>
      </c>
    </row>
    <row r="2055" spans="1:7" x14ac:dyDescent="0.3">
      <c r="A2055" s="195" t="s">
        <v>884</v>
      </c>
      <c r="B2055" s="195" t="s">
        <v>937</v>
      </c>
      <c r="C2055" s="193" t="s">
        <v>1302</v>
      </c>
      <c r="D2055" s="20" t="s">
        <v>1303</v>
      </c>
      <c r="E2055" s="193">
        <v>124.2</v>
      </c>
      <c r="F2055" s="193">
        <v>90.6</v>
      </c>
      <c r="G2055" s="193">
        <v>103.9</v>
      </c>
    </row>
    <row r="2056" spans="1:7" x14ac:dyDescent="0.3">
      <c r="A2056" s="195" t="s">
        <v>884</v>
      </c>
      <c r="B2056" s="195" t="s">
        <v>937</v>
      </c>
      <c r="C2056" s="193" t="s">
        <v>1304</v>
      </c>
      <c r="D2056" s="20" t="s">
        <v>1305</v>
      </c>
      <c r="E2056" s="193">
        <v>113.3</v>
      </c>
      <c r="F2056" s="193">
        <v>87.1</v>
      </c>
      <c r="G2056" s="193">
        <v>102.8</v>
      </c>
    </row>
    <row r="2057" spans="1:7" x14ac:dyDescent="0.3">
      <c r="A2057" s="195" t="s">
        <v>884</v>
      </c>
      <c r="B2057" s="195" t="s">
        <v>937</v>
      </c>
      <c r="C2057" s="193" t="s">
        <v>1306</v>
      </c>
      <c r="D2057" s="20" t="s">
        <v>1307</v>
      </c>
      <c r="E2057" s="193">
        <v>132.80000000000001</v>
      </c>
      <c r="F2057" s="193">
        <v>83.5</v>
      </c>
      <c r="G2057" s="193">
        <v>109.5</v>
      </c>
    </row>
    <row r="2058" spans="1:7" x14ac:dyDescent="0.3">
      <c r="A2058" s="195" t="s">
        <v>884</v>
      </c>
      <c r="B2058" s="195" t="s">
        <v>937</v>
      </c>
      <c r="C2058" s="193" t="s">
        <v>1308</v>
      </c>
      <c r="D2058" s="20" t="s">
        <v>1309</v>
      </c>
      <c r="E2058" s="193">
        <v>110.5</v>
      </c>
      <c r="F2058" s="193">
        <v>86.4</v>
      </c>
      <c r="G2058" s="193">
        <v>101.1</v>
      </c>
    </row>
    <row r="2059" spans="1:7" x14ac:dyDescent="0.3">
      <c r="A2059" s="195" t="s">
        <v>884</v>
      </c>
      <c r="B2059" s="195" t="s">
        <v>937</v>
      </c>
      <c r="C2059" s="193" t="s">
        <v>1310</v>
      </c>
      <c r="D2059" s="20" t="s">
        <v>27</v>
      </c>
      <c r="E2059" s="193">
        <v>102.9</v>
      </c>
      <c r="F2059" s="193">
        <v>87</v>
      </c>
      <c r="G2059" s="193">
        <v>96.3</v>
      </c>
    </row>
    <row r="2060" spans="1:7" x14ac:dyDescent="0.3">
      <c r="A2060" s="195" t="s">
        <v>884</v>
      </c>
      <c r="B2060" s="195" t="s">
        <v>937</v>
      </c>
      <c r="C2060" s="193" t="s">
        <v>1311</v>
      </c>
      <c r="D2060" s="20" t="s">
        <v>1312</v>
      </c>
      <c r="E2060" s="193">
        <v>131.1</v>
      </c>
      <c r="F2060" s="193">
        <v>82.6</v>
      </c>
      <c r="G2060" s="193">
        <v>116.9</v>
      </c>
    </row>
    <row r="2061" spans="1:7" x14ac:dyDescent="0.3">
      <c r="A2061" s="195" t="s">
        <v>884</v>
      </c>
      <c r="B2061" s="195" t="s">
        <v>937</v>
      </c>
      <c r="C2061" s="193" t="s">
        <v>1313</v>
      </c>
      <c r="D2061" s="20" t="s">
        <v>1321</v>
      </c>
      <c r="E2061" s="193">
        <v>103.6</v>
      </c>
      <c r="F2061" s="193">
        <v>90</v>
      </c>
      <c r="G2061" s="193">
        <v>97.8</v>
      </c>
    </row>
    <row r="2062" spans="1:7" x14ac:dyDescent="0.3">
      <c r="A2062" s="195" t="s">
        <v>884</v>
      </c>
      <c r="B2062" s="195" t="s">
        <v>937</v>
      </c>
      <c r="C2062" s="193" t="s">
        <v>361</v>
      </c>
      <c r="D2062" s="20" t="s">
        <v>1314</v>
      </c>
      <c r="E2062" s="193">
        <v>108.9</v>
      </c>
      <c r="F2062" s="193">
        <v>72.099999999999994</v>
      </c>
      <c r="G2062" s="193">
        <v>90.3</v>
      </c>
    </row>
    <row r="2063" spans="1:7" x14ac:dyDescent="0.3">
      <c r="A2063" s="195" t="s">
        <v>884</v>
      </c>
      <c r="B2063" s="195" t="s">
        <v>937</v>
      </c>
      <c r="C2063" s="193" t="s">
        <v>1315</v>
      </c>
      <c r="D2063" s="20" t="s">
        <v>1316</v>
      </c>
      <c r="E2063" s="193">
        <v>131.1</v>
      </c>
      <c r="F2063" s="193">
        <v>84.3</v>
      </c>
      <c r="G2063" s="193">
        <v>128.5</v>
      </c>
    </row>
    <row r="2064" spans="1:7" x14ac:dyDescent="0.3">
      <c r="A2064" s="195" t="s">
        <v>884</v>
      </c>
      <c r="B2064" s="195" t="s">
        <v>937</v>
      </c>
      <c r="C2064" s="193" t="s">
        <v>1317</v>
      </c>
      <c r="D2064" s="20" t="s">
        <v>1318</v>
      </c>
      <c r="E2064" s="193">
        <v>103.1</v>
      </c>
      <c r="F2064" s="193">
        <v>99</v>
      </c>
      <c r="G2064" s="193">
        <v>100.3</v>
      </c>
    </row>
    <row r="2065" spans="1:7" x14ac:dyDescent="0.3">
      <c r="A2065" s="195" t="s">
        <v>884</v>
      </c>
      <c r="B2065" s="195" t="s">
        <v>937</v>
      </c>
      <c r="C2065" s="196" t="s">
        <v>1319</v>
      </c>
      <c r="D2065" s="203" t="s">
        <v>1320</v>
      </c>
      <c r="E2065" s="193">
        <v>112.7</v>
      </c>
      <c r="F2065" s="193">
        <v>86.1</v>
      </c>
      <c r="G2065" s="193">
        <v>101</v>
      </c>
    </row>
    <row r="2066" spans="1:7" x14ac:dyDescent="0.3">
      <c r="A2066" s="195" t="s">
        <v>837</v>
      </c>
      <c r="B2066" s="195" t="s">
        <v>938</v>
      </c>
      <c r="C2066" s="193" t="s">
        <v>1302</v>
      </c>
      <c r="D2066" s="20" t="s">
        <v>1303</v>
      </c>
      <c r="E2066" s="193">
        <v>135.69999999999999</v>
      </c>
      <c r="F2066" s="193">
        <v>93.5</v>
      </c>
      <c r="G2066" s="193">
        <v>110.2</v>
      </c>
    </row>
    <row r="2067" spans="1:7" x14ac:dyDescent="0.3">
      <c r="A2067" s="195" t="s">
        <v>837</v>
      </c>
      <c r="B2067" s="195" t="s">
        <v>938</v>
      </c>
      <c r="C2067" s="193" t="s">
        <v>1304</v>
      </c>
      <c r="D2067" s="20" t="s">
        <v>1305</v>
      </c>
      <c r="E2067" s="193">
        <v>117.4</v>
      </c>
      <c r="F2067" s="193">
        <v>89.4</v>
      </c>
      <c r="G2067" s="193">
        <v>106.2</v>
      </c>
    </row>
    <row r="2068" spans="1:7" x14ac:dyDescent="0.3">
      <c r="A2068" s="195" t="s">
        <v>837</v>
      </c>
      <c r="B2068" s="195" t="s">
        <v>938</v>
      </c>
      <c r="C2068" s="193" t="s">
        <v>1306</v>
      </c>
      <c r="D2068" s="20" t="s">
        <v>1307</v>
      </c>
      <c r="E2068" s="193">
        <v>139</v>
      </c>
      <c r="F2068" s="193">
        <v>92</v>
      </c>
      <c r="G2068" s="193">
        <v>116.8</v>
      </c>
    </row>
    <row r="2069" spans="1:7" x14ac:dyDescent="0.3">
      <c r="A2069" s="195" t="s">
        <v>837</v>
      </c>
      <c r="B2069" s="195" t="s">
        <v>938</v>
      </c>
      <c r="C2069" s="193" t="s">
        <v>1308</v>
      </c>
      <c r="D2069" s="20" t="s">
        <v>1309</v>
      </c>
      <c r="E2069" s="193">
        <v>116.9</v>
      </c>
      <c r="F2069" s="193">
        <v>87.5</v>
      </c>
      <c r="G2069" s="193">
        <v>105.5</v>
      </c>
    </row>
    <row r="2070" spans="1:7" x14ac:dyDescent="0.3">
      <c r="A2070" s="195" t="s">
        <v>837</v>
      </c>
      <c r="B2070" s="195" t="s">
        <v>938</v>
      </c>
      <c r="C2070" s="193" t="s">
        <v>1310</v>
      </c>
      <c r="D2070" s="20" t="s">
        <v>27</v>
      </c>
      <c r="E2070" s="193">
        <v>108.9</v>
      </c>
      <c r="F2070" s="193">
        <v>87.6</v>
      </c>
      <c r="G2070" s="193">
        <v>99.9</v>
      </c>
    </row>
    <row r="2071" spans="1:7" x14ac:dyDescent="0.3">
      <c r="A2071" s="195" t="s">
        <v>837</v>
      </c>
      <c r="B2071" s="195" t="s">
        <v>938</v>
      </c>
      <c r="C2071" s="193" t="s">
        <v>1311</v>
      </c>
      <c r="D2071" s="20" t="s">
        <v>1312</v>
      </c>
      <c r="E2071" s="193">
        <v>131.1</v>
      </c>
      <c r="F2071" s="193">
        <v>70.099999999999994</v>
      </c>
      <c r="G2071" s="193">
        <v>113.3</v>
      </c>
    </row>
    <row r="2072" spans="1:7" x14ac:dyDescent="0.3">
      <c r="A2072" s="195" t="s">
        <v>837</v>
      </c>
      <c r="B2072" s="195" t="s">
        <v>938</v>
      </c>
      <c r="C2072" s="193" t="s">
        <v>1313</v>
      </c>
      <c r="D2072" s="20" t="s">
        <v>1321</v>
      </c>
      <c r="E2072" s="193">
        <v>103.9</v>
      </c>
      <c r="F2072" s="193">
        <v>99.2</v>
      </c>
      <c r="G2072" s="193">
        <v>101.9</v>
      </c>
    </row>
    <row r="2073" spans="1:7" x14ac:dyDescent="0.3">
      <c r="A2073" s="195" t="s">
        <v>837</v>
      </c>
      <c r="B2073" s="195" t="s">
        <v>938</v>
      </c>
      <c r="C2073" s="193" t="s">
        <v>361</v>
      </c>
      <c r="D2073" s="20" t="s">
        <v>1314</v>
      </c>
      <c r="E2073" s="193">
        <v>109.5</v>
      </c>
      <c r="F2073" s="193">
        <v>88.9</v>
      </c>
      <c r="G2073" s="193">
        <v>99.1</v>
      </c>
    </row>
    <row r="2074" spans="1:7" x14ac:dyDescent="0.3">
      <c r="A2074" s="195" t="s">
        <v>837</v>
      </c>
      <c r="B2074" s="195" t="s">
        <v>938</v>
      </c>
      <c r="C2074" s="193" t="s">
        <v>1315</v>
      </c>
      <c r="D2074" s="20" t="s">
        <v>1316</v>
      </c>
      <c r="E2074" s="193">
        <v>131.1</v>
      </c>
      <c r="F2074" s="193">
        <v>86.2</v>
      </c>
      <c r="G2074" s="193">
        <v>128.6</v>
      </c>
    </row>
    <row r="2075" spans="1:7" x14ac:dyDescent="0.3">
      <c r="A2075" s="195" t="s">
        <v>837</v>
      </c>
      <c r="B2075" s="195" t="s">
        <v>938</v>
      </c>
      <c r="C2075" s="193" t="s">
        <v>1317</v>
      </c>
      <c r="D2075" s="20" t="s">
        <v>1318</v>
      </c>
      <c r="E2075" s="193">
        <v>120.1</v>
      </c>
      <c r="F2075" s="193">
        <v>103.6</v>
      </c>
      <c r="G2075" s="193">
        <v>108.9</v>
      </c>
    </row>
    <row r="2076" spans="1:7" x14ac:dyDescent="0.3">
      <c r="A2076" s="195" t="s">
        <v>837</v>
      </c>
      <c r="B2076" s="195" t="s">
        <v>938</v>
      </c>
      <c r="C2076" s="196" t="s">
        <v>1319</v>
      </c>
      <c r="D2076" s="203" t="s">
        <v>1320</v>
      </c>
      <c r="E2076" s="193">
        <v>116.5</v>
      </c>
      <c r="F2076" s="193">
        <v>92.1</v>
      </c>
      <c r="G2076" s="193">
        <v>105.7</v>
      </c>
    </row>
    <row r="2077" spans="1:7" x14ac:dyDescent="0.3">
      <c r="A2077" s="195" t="s">
        <v>881</v>
      </c>
      <c r="B2077" s="195" t="s">
        <v>939</v>
      </c>
      <c r="C2077" s="193" t="s">
        <v>1302</v>
      </c>
      <c r="D2077" s="20" t="s">
        <v>1303</v>
      </c>
      <c r="E2077" s="193">
        <v>135.9</v>
      </c>
      <c r="F2077" s="193">
        <v>89.7</v>
      </c>
      <c r="G2077" s="193">
        <v>108.1</v>
      </c>
    </row>
    <row r="2078" spans="1:7" x14ac:dyDescent="0.3">
      <c r="A2078" s="195" t="s">
        <v>881</v>
      </c>
      <c r="B2078" s="195" t="s">
        <v>939</v>
      </c>
      <c r="C2078" s="193" t="s">
        <v>1304</v>
      </c>
      <c r="D2078" s="20" t="s">
        <v>1305</v>
      </c>
      <c r="E2078" s="193">
        <v>116.8</v>
      </c>
      <c r="F2078" s="193">
        <v>87</v>
      </c>
      <c r="G2078" s="193">
        <v>104.9</v>
      </c>
    </row>
    <row r="2079" spans="1:7" x14ac:dyDescent="0.3">
      <c r="A2079" s="195" t="s">
        <v>881</v>
      </c>
      <c r="B2079" s="195" t="s">
        <v>939</v>
      </c>
      <c r="C2079" s="193" t="s">
        <v>1306</v>
      </c>
      <c r="D2079" s="20" t="s">
        <v>1307</v>
      </c>
      <c r="E2079" s="193">
        <v>132.5</v>
      </c>
      <c r="F2079" s="193">
        <v>81.3</v>
      </c>
      <c r="G2079" s="193">
        <v>108.3</v>
      </c>
    </row>
    <row r="2080" spans="1:7" x14ac:dyDescent="0.3">
      <c r="A2080" s="195" t="s">
        <v>881</v>
      </c>
      <c r="B2080" s="195" t="s">
        <v>939</v>
      </c>
      <c r="C2080" s="193" t="s">
        <v>1308</v>
      </c>
      <c r="D2080" s="20" t="s">
        <v>1309</v>
      </c>
      <c r="E2080" s="193">
        <v>126</v>
      </c>
      <c r="F2080" s="193">
        <v>85.9</v>
      </c>
      <c r="G2080" s="193">
        <v>110.4</v>
      </c>
    </row>
    <row r="2081" spans="1:7" x14ac:dyDescent="0.3">
      <c r="A2081" s="195" t="s">
        <v>881</v>
      </c>
      <c r="B2081" s="195" t="s">
        <v>939</v>
      </c>
      <c r="C2081" s="193" t="s">
        <v>1310</v>
      </c>
      <c r="D2081" s="20" t="s">
        <v>27</v>
      </c>
      <c r="E2081" s="193">
        <v>102.8</v>
      </c>
      <c r="F2081" s="193">
        <v>81.3</v>
      </c>
      <c r="G2081" s="193">
        <v>93.7</v>
      </c>
    </row>
    <row r="2082" spans="1:7" x14ac:dyDescent="0.3">
      <c r="A2082" s="195" t="s">
        <v>881</v>
      </c>
      <c r="B2082" s="195" t="s">
        <v>939</v>
      </c>
      <c r="C2082" s="193" t="s">
        <v>1311</v>
      </c>
      <c r="D2082" s="20" t="s">
        <v>1312</v>
      </c>
      <c r="E2082" s="193">
        <v>131.1</v>
      </c>
      <c r="F2082" s="193">
        <v>93</v>
      </c>
      <c r="G2082" s="193">
        <v>120</v>
      </c>
    </row>
    <row r="2083" spans="1:7" x14ac:dyDescent="0.3">
      <c r="A2083" s="195" t="s">
        <v>881</v>
      </c>
      <c r="B2083" s="195" t="s">
        <v>939</v>
      </c>
      <c r="C2083" s="193" t="s">
        <v>1313</v>
      </c>
      <c r="D2083" s="20" t="s">
        <v>1321</v>
      </c>
      <c r="E2083" s="193">
        <v>103.6</v>
      </c>
      <c r="F2083" s="193">
        <v>91.3</v>
      </c>
      <c r="G2083" s="193">
        <v>98.4</v>
      </c>
    </row>
    <row r="2084" spans="1:7" x14ac:dyDescent="0.3">
      <c r="A2084" s="195" t="s">
        <v>881</v>
      </c>
      <c r="B2084" s="195" t="s">
        <v>939</v>
      </c>
      <c r="C2084" s="193" t="s">
        <v>361</v>
      </c>
      <c r="D2084" s="20" t="s">
        <v>1314</v>
      </c>
      <c r="E2084" s="193">
        <v>102.9</v>
      </c>
      <c r="F2084" s="193">
        <v>84.8</v>
      </c>
      <c r="G2084" s="193">
        <v>93.8</v>
      </c>
    </row>
    <row r="2085" spans="1:7" x14ac:dyDescent="0.3">
      <c r="A2085" s="195" t="s">
        <v>881</v>
      </c>
      <c r="B2085" s="195" t="s">
        <v>939</v>
      </c>
      <c r="C2085" s="193" t="s">
        <v>1315</v>
      </c>
      <c r="D2085" s="20" t="s">
        <v>1316</v>
      </c>
      <c r="E2085" s="193">
        <v>131.1</v>
      </c>
      <c r="F2085" s="193">
        <v>79.3</v>
      </c>
      <c r="G2085" s="193">
        <v>128.19999999999999</v>
      </c>
    </row>
    <row r="2086" spans="1:7" x14ac:dyDescent="0.3">
      <c r="A2086" s="195" t="s">
        <v>881</v>
      </c>
      <c r="B2086" s="195" t="s">
        <v>939</v>
      </c>
      <c r="C2086" s="193" t="s">
        <v>1317</v>
      </c>
      <c r="D2086" s="20" t="s">
        <v>1318</v>
      </c>
      <c r="E2086" s="193">
        <v>117.6</v>
      </c>
      <c r="F2086" s="193">
        <v>100.9</v>
      </c>
      <c r="G2086" s="193">
        <v>106.3</v>
      </c>
    </row>
    <row r="2087" spans="1:7" x14ac:dyDescent="0.3">
      <c r="A2087" s="195" t="s">
        <v>881</v>
      </c>
      <c r="B2087" s="195" t="s">
        <v>939</v>
      </c>
      <c r="C2087" s="196" t="s">
        <v>1319</v>
      </c>
      <c r="D2087" s="203" t="s">
        <v>1320</v>
      </c>
      <c r="E2087" s="193">
        <v>114.1</v>
      </c>
      <c r="F2087" s="193">
        <v>87.2</v>
      </c>
      <c r="G2087" s="193">
        <v>102.2</v>
      </c>
    </row>
    <row r="2088" spans="1:7" x14ac:dyDescent="0.3">
      <c r="A2088" s="195" t="s">
        <v>837</v>
      </c>
      <c r="B2088" s="195" t="s">
        <v>940</v>
      </c>
      <c r="C2088" s="193" t="s">
        <v>1302</v>
      </c>
      <c r="D2088" s="20" t="s">
        <v>1303</v>
      </c>
      <c r="E2088" s="193">
        <v>148.30000000000001</v>
      </c>
      <c r="F2088" s="193">
        <v>87.9</v>
      </c>
      <c r="G2088" s="193">
        <v>111.8</v>
      </c>
    </row>
    <row r="2089" spans="1:7" x14ac:dyDescent="0.3">
      <c r="A2089" s="195" t="s">
        <v>837</v>
      </c>
      <c r="B2089" s="195" t="s">
        <v>940</v>
      </c>
      <c r="C2089" s="193" t="s">
        <v>1304</v>
      </c>
      <c r="D2089" s="20" t="s">
        <v>1305</v>
      </c>
      <c r="E2089" s="193">
        <v>130.80000000000001</v>
      </c>
      <c r="F2089" s="193">
        <v>86.8</v>
      </c>
      <c r="G2089" s="193">
        <v>113.2</v>
      </c>
    </row>
    <row r="2090" spans="1:7" x14ac:dyDescent="0.3">
      <c r="A2090" s="195" t="s">
        <v>837</v>
      </c>
      <c r="B2090" s="195" t="s">
        <v>940</v>
      </c>
      <c r="C2090" s="193" t="s">
        <v>1306</v>
      </c>
      <c r="D2090" s="20" t="s">
        <v>1307</v>
      </c>
      <c r="E2090" s="193">
        <v>191.4</v>
      </c>
      <c r="F2090" s="193">
        <v>88.2</v>
      </c>
      <c r="G2090" s="193">
        <v>142.6</v>
      </c>
    </row>
    <row r="2091" spans="1:7" x14ac:dyDescent="0.3">
      <c r="A2091" s="195" t="s">
        <v>837</v>
      </c>
      <c r="B2091" s="195" t="s">
        <v>940</v>
      </c>
      <c r="C2091" s="193" t="s">
        <v>1308</v>
      </c>
      <c r="D2091" s="20" t="s">
        <v>1309</v>
      </c>
      <c r="E2091" s="193">
        <v>150.80000000000001</v>
      </c>
      <c r="F2091" s="193">
        <v>82.4</v>
      </c>
      <c r="G2091" s="193">
        <v>124.2</v>
      </c>
    </row>
    <row r="2092" spans="1:7" x14ac:dyDescent="0.3">
      <c r="A2092" s="195" t="s">
        <v>837</v>
      </c>
      <c r="B2092" s="195" t="s">
        <v>940</v>
      </c>
      <c r="C2092" s="193" t="s">
        <v>1310</v>
      </c>
      <c r="D2092" s="20" t="s">
        <v>27</v>
      </c>
      <c r="E2092" s="193">
        <v>115.3</v>
      </c>
      <c r="F2092" s="193">
        <v>86.5</v>
      </c>
      <c r="G2092" s="193">
        <v>103.2</v>
      </c>
    </row>
    <row r="2093" spans="1:7" x14ac:dyDescent="0.3">
      <c r="A2093" s="195" t="s">
        <v>837</v>
      </c>
      <c r="B2093" s="195" t="s">
        <v>940</v>
      </c>
      <c r="C2093" s="193" t="s">
        <v>1311</v>
      </c>
      <c r="D2093" s="20" t="s">
        <v>1312</v>
      </c>
      <c r="E2093" s="193">
        <v>131.1</v>
      </c>
      <c r="F2093" s="193">
        <v>68.900000000000006</v>
      </c>
      <c r="G2093" s="193">
        <v>112.9</v>
      </c>
    </row>
    <row r="2094" spans="1:7" x14ac:dyDescent="0.3">
      <c r="A2094" s="195" t="s">
        <v>837</v>
      </c>
      <c r="B2094" s="195" t="s">
        <v>940</v>
      </c>
      <c r="C2094" s="193" t="s">
        <v>1313</v>
      </c>
      <c r="D2094" s="20" t="s">
        <v>1321</v>
      </c>
      <c r="E2094" s="193">
        <v>103.7</v>
      </c>
      <c r="F2094" s="193">
        <v>97.1</v>
      </c>
      <c r="G2094" s="193">
        <v>100.9</v>
      </c>
    </row>
    <row r="2095" spans="1:7" x14ac:dyDescent="0.3">
      <c r="A2095" s="195" t="s">
        <v>837</v>
      </c>
      <c r="B2095" s="195" t="s">
        <v>940</v>
      </c>
      <c r="C2095" s="193" t="s">
        <v>361</v>
      </c>
      <c r="D2095" s="20" t="s">
        <v>1314</v>
      </c>
      <c r="E2095" s="193">
        <v>114.4</v>
      </c>
      <c r="F2095" s="193">
        <v>90.1</v>
      </c>
      <c r="G2095" s="193">
        <v>102.1</v>
      </c>
    </row>
    <row r="2096" spans="1:7" x14ac:dyDescent="0.3">
      <c r="A2096" s="195" t="s">
        <v>837</v>
      </c>
      <c r="B2096" s="195" t="s">
        <v>940</v>
      </c>
      <c r="C2096" s="193" t="s">
        <v>1315</v>
      </c>
      <c r="D2096" s="20" t="s">
        <v>1316</v>
      </c>
      <c r="E2096" s="193">
        <v>131.1</v>
      </c>
      <c r="F2096" s="193">
        <v>84.6</v>
      </c>
      <c r="G2096" s="193">
        <v>128.5</v>
      </c>
    </row>
    <row r="2097" spans="1:7" x14ac:dyDescent="0.3">
      <c r="A2097" s="195" t="s">
        <v>837</v>
      </c>
      <c r="B2097" s="195" t="s">
        <v>940</v>
      </c>
      <c r="C2097" s="193" t="s">
        <v>1317</v>
      </c>
      <c r="D2097" s="20" t="s">
        <v>1318</v>
      </c>
      <c r="E2097" s="193">
        <v>144.5</v>
      </c>
      <c r="F2097" s="193">
        <v>99.2</v>
      </c>
      <c r="G2097" s="193">
        <v>113.7</v>
      </c>
    </row>
    <row r="2098" spans="1:7" x14ac:dyDescent="0.3">
      <c r="A2098" s="195" t="s">
        <v>837</v>
      </c>
      <c r="B2098" s="195" t="s">
        <v>940</v>
      </c>
      <c r="C2098" s="196" t="s">
        <v>1319</v>
      </c>
      <c r="D2098" s="203" t="s">
        <v>1320</v>
      </c>
      <c r="E2098" s="193">
        <v>128.6</v>
      </c>
      <c r="F2098" s="193">
        <v>89.8</v>
      </c>
      <c r="G2098" s="193">
        <v>111.5</v>
      </c>
    </row>
    <row r="2099" spans="1:7" x14ac:dyDescent="0.3">
      <c r="A2099" s="195" t="s">
        <v>900</v>
      </c>
      <c r="B2099" s="195" t="s">
        <v>941</v>
      </c>
      <c r="C2099" s="193" t="s">
        <v>1302</v>
      </c>
      <c r="D2099" s="20" t="s">
        <v>1303</v>
      </c>
      <c r="E2099" s="193">
        <v>116.2</v>
      </c>
      <c r="F2099" s="193">
        <v>70.7</v>
      </c>
      <c r="G2099" s="193">
        <v>88.7</v>
      </c>
    </row>
    <row r="2100" spans="1:7" x14ac:dyDescent="0.3">
      <c r="A2100" s="195" t="s">
        <v>900</v>
      </c>
      <c r="B2100" s="195" t="s">
        <v>941</v>
      </c>
      <c r="C2100" s="193" t="s">
        <v>1304</v>
      </c>
      <c r="D2100" s="20" t="s">
        <v>1305</v>
      </c>
      <c r="E2100" s="193">
        <v>109.2</v>
      </c>
      <c r="F2100" s="193">
        <v>68.599999999999994</v>
      </c>
      <c r="G2100" s="193">
        <v>93</v>
      </c>
    </row>
    <row r="2101" spans="1:7" x14ac:dyDescent="0.3">
      <c r="A2101" s="195" t="s">
        <v>900</v>
      </c>
      <c r="B2101" s="195" t="s">
        <v>941</v>
      </c>
      <c r="C2101" s="193" t="s">
        <v>1306</v>
      </c>
      <c r="D2101" s="20" t="s">
        <v>1307</v>
      </c>
      <c r="E2101" s="193">
        <v>123.8</v>
      </c>
      <c r="F2101" s="193">
        <v>63.5</v>
      </c>
      <c r="G2101" s="193">
        <v>95.3</v>
      </c>
    </row>
    <row r="2102" spans="1:7" x14ac:dyDescent="0.3">
      <c r="A2102" s="195" t="s">
        <v>900</v>
      </c>
      <c r="B2102" s="195" t="s">
        <v>941</v>
      </c>
      <c r="C2102" s="193" t="s">
        <v>1308</v>
      </c>
      <c r="D2102" s="20" t="s">
        <v>1309</v>
      </c>
      <c r="E2102" s="193">
        <v>109.8</v>
      </c>
      <c r="F2102" s="193">
        <v>61.2</v>
      </c>
      <c r="G2102" s="193">
        <v>90.9</v>
      </c>
    </row>
    <row r="2103" spans="1:7" x14ac:dyDescent="0.3">
      <c r="A2103" s="195" t="s">
        <v>900</v>
      </c>
      <c r="B2103" s="195" t="s">
        <v>941</v>
      </c>
      <c r="C2103" s="193" t="s">
        <v>1310</v>
      </c>
      <c r="D2103" s="20" t="s">
        <v>27</v>
      </c>
      <c r="E2103" s="193">
        <v>98.3</v>
      </c>
      <c r="F2103" s="193">
        <v>58.1</v>
      </c>
      <c r="G2103" s="193">
        <v>81.400000000000006</v>
      </c>
    </row>
    <row r="2104" spans="1:7" x14ac:dyDescent="0.3">
      <c r="A2104" s="195" t="s">
        <v>900</v>
      </c>
      <c r="B2104" s="195" t="s">
        <v>941</v>
      </c>
      <c r="C2104" s="193" t="s">
        <v>1311</v>
      </c>
      <c r="D2104" s="20" t="s">
        <v>1312</v>
      </c>
      <c r="E2104" s="193">
        <v>131.1</v>
      </c>
      <c r="F2104" s="193">
        <v>63.5</v>
      </c>
      <c r="G2104" s="193">
        <v>111.3</v>
      </c>
    </row>
    <row r="2105" spans="1:7" x14ac:dyDescent="0.3">
      <c r="A2105" s="195" t="s">
        <v>900</v>
      </c>
      <c r="B2105" s="195" t="s">
        <v>941</v>
      </c>
      <c r="C2105" s="193" t="s">
        <v>1313</v>
      </c>
      <c r="D2105" s="20" t="s">
        <v>1321</v>
      </c>
      <c r="E2105" s="193">
        <v>103.9</v>
      </c>
      <c r="F2105" s="193">
        <v>67.8</v>
      </c>
      <c r="G2105" s="193">
        <v>88.7</v>
      </c>
    </row>
    <row r="2106" spans="1:7" x14ac:dyDescent="0.3">
      <c r="A2106" s="195" t="s">
        <v>900</v>
      </c>
      <c r="B2106" s="195" t="s">
        <v>941</v>
      </c>
      <c r="C2106" s="193" t="s">
        <v>361</v>
      </c>
      <c r="D2106" s="20" t="s">
        <v>1314</v>
      </c>
      <c r="E2106" s="193">
        <v>110.9</v>
      </c>
      <c r="F2106" s="193">
        <v>62.3</v>
      </c>
      <c r="G2106" s="193">
        <v>86.3</v>
      </c>
    </row>
    <row r="2107" spans="1:7" x14ac:dyDescent="0.3">
      <c r="A2107" s="195" t="s">
        <v>900</v>
      </c>
      <c r="B2107" s="195" t="s">
        <v>941</v>
      </c>
      <c r="C2107" s="193" t="s">
        <v>1315</v>
      </c>
      <c r="D2107" s="20" t="s">
        <v>1316</v>
      </c>
      <c r="E2107" s="193">
        <v>131.1</v>
      </c>
      <c r="F2107" s="193">
        <v>57</v>
      </c>
      <c r="G2107" s="193">
        <v>127</v>
      </c>
    </row>
    <row r="2108" spans="1:7" x14ac:dyDescent="0.3">
      <c r="A2108" s="195" t="s">
        <v>900</v>
      </c>
      <c r="B2108" s="195" t="s">
        <v>941</v>
      </c>
      <c r="C2108" s="193" t="s">
        <v>1317</v>
      </c>
      <c r="D2108" s="20" t="s">
        <v>1318</v>
      </c>
      <c r="E2108" s="193">
        <v>114.4</v>
      </c>
      <c r="F2108" s="193">
        <v>95.4</v>
      </c>
      <c r="G2108" s="193">
        <v>101.5</v>
      </c>
    </row>
    <row r="2109" spans="1:7" x14ac:dyDescent="0.3">
      <c r="A2109" s="195" t="s">
        <v>900</v>
      </c>
      <c r="B2109" s="195" t="s">
        <v>941</v>
      </c>
      <c r="C2109" s="196" t="s">
        <v>1319</v>
      </c>
      <c r="D2109" s="203" t="s">
        <v>1320</v>
      </c>
      <c r="E2109" s="193">
        <v>110.3</v>
      </c>
      <c r="F2109" s="193">
        <v>66.8</v>
      </c>
      <c r="G2109" s="193">
        <v>91.1</v>
      </c>
    </row>
    <row r="2110" spans="1:7" x14ac:dyDescent="0.3">
      <c r="A2110" s="195" t="s">
        <v>884</v>
      </c>
      <c r="B2110" s="195" t="s">
        <v>942</v>
      </c>
      <c r="C2110" s="193" t="s">
        <v>1302</v>
      </c>
      <c r="D2110" s="20" t="s">
        <v>1303</v>
      </c>
      <c r="E2110" s="193">
        <v>121.7</v>
      </c>
      <c r="F2110" s="193">
        <v>90.6</v>
      </c>
      <c r="G2110" s="193">
        <v>103</v>
      </c>
    </row>
    <row r="2111" spans="1:7" x14ac:dyDescent="0.3">
      <c r="A2111" s="195" t="s">
        <v>884</v>
      </c>
      <c r="B2111" s="195" t="s">
        <v>942</v>
      </c>
      <c r="C2111" s="193" t="s">
        <v>1304</v>
      </c>
      <c r="D2111" s="20" t="s">
        <v>1305</v>
      </c>
      <c r="E2111" s="193">
        <v>112.8</v>
      </c>
      <c r="F2111" s="193">
        <v>87.2</v>
      </c>
      <c r="G2111" s="193">
        <v>102.5</v>
      </c>
    </row>
    <row r="2112" spans="1:7" x14ac:dyDescent="0.3">
      <c r="A2112" s="195" t="s">
        <v>884</v>
      </c>
      <c r="B2112" s="195" t="s">
        <v>942</v>
      </c>
      <c r="C2112" s="193" t="s">
        <v>1306</v>
      </c>
      <c r="D2112" s="20" t="s">
        <v>1307</v>
      </c>
      <c r="E2112" s="193">
        <v>132.69999999999999</v>
      </c>
      <c r="F2112" s="193">
        <v>83.5</v>
      </c>
      <c r="G2112" s="193">
        <v>109.4</v>
      </c>
    </row>
    <row r="2113" spans="1:7" x14ac:dyDescent="0.3">
      <c r="A2113" s="195" t="s">
        <v>884</v>
      </c>
      <c r="B2113" s="195" t="s">
        <v>942</v>
      </c>
      <c r="C2113" s="193" t="s">
        <v>1308</v>
      </c>
      <c r="D2113" s="20" t="s">
        <v>1309</v>
      </c>
      <c r="E2113" s="193">
        <v>110.5</v>
      </c>
      <c r="F2113" s="193">
        <v>88.2</v>
      </c>
      <c r="G2113" s="193">
        <v>101.8</v>
      </c>
    </row>
    <row r="2114" spans="1:7" x14ac:dyDescent="0.3">
      <c r="A2114" s="195" t="s">
        <v>884</v>
      </c>
      <c r="B2114" s="195" t="s">
        <v>942</v>
      </c>
      <c r="C2114" s="193" t="s">
        <v>1310</v>
      </c>
      <c r="D2114" s="20" t="s">
        <v>27</v>
      </c>
      <c r="E2114" s="193">
        <v>102.8</v>
      </c>
      <c r="F2114" s="193">
        <v>87</v>
      </c>
      <c r="G2114" s="193">
        <v>96.2</v>
      </c>
    </row>
    <row r="2115" spans="1:7" x14ac:dyDescent="0.3">
      <c r="A2115" s="195" t="s">
        <v>884</v>
      </c>
      <c r="B2115" s="195" t="s">
        <v>942</v>
      </c>
      <c r="C2115" s="193" t="s">
        <v>1311</v>
      </c>
      <c r="D2115" s="20" t="s">
        <v>1312</v>
      </c>
      <c r="E2115" s="193">
        <v>131.1</v>
      </c>
      <c r="F2115" s="193">
        <v>82.6</v>
      </c>
      <c r="G2115" s="193">
        <v>116.9</v>
      </c>
    </row>
    <row r="2116" spans="1:7" x14ac:dyDescent="0.3">
      <c r="A2116" s="195" t="s">
        <v>884</v>
      </c>
      <c r="B2116" s="195" t="s">
        <v>942</v>
      </c>
      <c r="C2116" s="193" t="s">
        <v>1313</v>
      </c>
      <c r="D2116" s="20" t="s">
        <v>1321</v>
      </c>
      <c r="E2116" s="193">
        <v>103.6</v>
      </c>
      <c r="F2116" s="193">
        <v>90</v>
      </c>
      <c r="G2116" s="193">
        <v>97.8</v>
      </c>
    </row>
    <row r="2117" spans="1:7" x14ac:dyDescent="0.3">
      <c r="A2117" s="195" t="s">
        <v>884</v>
      </c>
      <c r="B2117" s="195" t="s">
        <v>942</v>
      </c>
      <c r="C2117" s="193" t="s">
        <v>361</v>
      </c>
      <c r="D2117" s="20" t="s">
        <v>1314</v>
      </c>
      <c r="E2117" s="193">
        <v>108.9</v>
      </c>
      <c r="F2117" s="193">
        <v>72.099999999999994</v>
      </c>
      <c r="G2117" s="193">
        <v>90.3</v>
      </c>
    </row>
    <row r="2118" spans="1:7" x14ac:dyDescent="0.3">
      <c r="A2118" s="195" t="s">
        <v>884</v>
      </c>
      <c r="B2118" s="195" t="s">
        <v>942</v>
      </c>
      <c r="C2118" s="193" t="s">
        <v>1315</v>
      </c>
      <c r="D2118" s="20" t="s">
        <v>1316</v>
      </c>
      <c r="E2118" s="193">
        <v>131.1</v>
      </c>
      <c r="F2118" s="193">
        <v>84.3</v>
      </c>
      <c r="G2118" s="193">
        <v>128.5</v>
      </c>
    </row>
    <row r="2119" spans="1:7" x14ac:dyDescent="0.3">
      <c r="A2119" s="195" t="s">
        <v>884</v>
      </c>
      <c r="B2119" s="195" t="s">
        <v>942</v>
      </c>
      <c r="C2119" s="193" t="s">
        <v>1317</v>
      </c>
      <c r="D2119" s="20" t="s">
        <v>1318</v>
      </c>
      <c r="E2119" s="193">
        <v>102.5</v>
      </c>
      <c r="F2119" s="193">
        <v>99</v>
      </c>
      <c r="G2119" s="193">
        <v>100.1</v>
      </c>
    </row>
    <row r="2120" spans="1:7" x14ac:dyDescent="0.3">
      <c r="A2120" s="195" t="s">
        <v>884</v>
      </c>
      <c r="B2120" s="195" t="s">
        <v>942</v>
      </c>
      <c r="C2120" s="196" t="s">
        <v>1319</v>
      </c>
      <c r="D2120" s="203" t="s">
        <v>1320</v>
      </c>
      <c r="E2120" s="193">
        <v>112.5</v>
      </c>
      <c r="F2120" s="193">
        <v>86.1</v>
      </c>
      <c r="G2120" s="193">
        <v>100.9</v>
      </c>
    </row>
    <row r="2121" spans="1:7" x14ac:dyDescent="0.3">
      <c r="A2121" s="195" t="s">
        <v>884</v>
      </c>
      <c r="B2121" s="195" t="s">
        <v>943</v>
      </c>
      <c r="C2121" s="193" t="s">
        <v>1302</v>
      </c>
      <c r="D2121" s="20" t="s">
        <v>1303</v>
      </c>
      <c r="E2121" s="193">
        <v>124.2</v>
      </c>
      <c r="F2121" s="193">
        <v>90.6</v>
      </c>
      <c r="G2121" s="193">
        <v>104</v>
      </c>
    </row>
    <row r="2122" spans="1:7" x14ac:dyDescent="0.3">
      <c r="A2122" s="195" t="s">
        <v>884</v>
      </c>
      <c r="B2122" s="195" t="s">
        <v>943</v>
      </c>
      <c r="C2122" s="193" t="s">
        <v>1304</v>
      </c>
      <c r="D2122" s="20" t="s">
        <v>1305</v>
      </c>
      <c r="E2122" s="193">
        <v>113.3</v>
      </c>
      <c r="F2122" s="193">
        <v>87.2</v>
      </c>
      <c r="G2122" s="193">
        <v>102.9</v>
      </c>
    </row>
    <row r="2123" spans="1:7" x14ac:dyDescent="0.3">
      <c r="A2123" s="195" t="s">
        <v>884</v>
      </c>
      <c r="B2123" s="195" t="s">
        <v>943</v>
      </c>
      <c r="C2123" s="193" t="s">
        <v>1306</v>
      </c>
      <c r="D2123" s="20" t="s">
        <v>1307</v>
      </c>
      <c r="E2123" s="193">
        <v>132.80000000000001</v>
      </c>
      <c r="F2123" s="193">
        <v>83.5</v>
      </c>
      <c r="G2123" s="193">
        <v>109.5</v>
      </c>
    </row>
    <row r="2124" spans="1:7" x14ac:dyDescent="0.3">
      <c r="A2124" s="195" t="s">
        <v>884</v>
      </c>
      <c r="B2124" s="195" t="s">
        <v>943</v>
      </c>
      <c r="C2124" s="193" t="s">
        <v>1308</v>
      </c>
      <c r="D2124" s="20" t="s">
        <v>1309</v>
      </c>
      <c r="E2124" s="193">
        <v>110.5</v>
      </c>
      <c r="F2124" s="193">
        <v>88.2</v>
      </c>
      <c r="G2124" s="193">
        <v>101.8</v>
      </c>
    </row>
    <row r="2125" spans="1:7" x14ac:dyDescent="0.3">
      <c r="A2125" s="195" t="s">
        <v>884</v>
      </c>
      <c r="B2125" s="195" t="s">
        <v>943</v>
      </c>
      <c r="C2125" s="193" t="s">
        <v>1310</v>
      </c>
      <c r="D2125" s="20" t="s">
        <v>27</v>
      </c>
      <c r="E2125" s="193">
        <v>102.8</v>
      </c>
      <c r="F2125" s="193">
        <v>87</v>
      </c>
      <c r="G2125" s="193">
        <v>96.2</v>
      </c>
    </row>
    <row r="2126" spans="1:7" x14ac:dyDescent="0.3">
      <c r="A2126" s="195" t="s">
        <v>884</v>
      </c>
      <c r="B2126" s="195" t="s">
        <v>943</v>
      </c>
      <c r="C2126" s="193" t="s">
        <v>1311</v>
      </c>
      <c r="D2126" s="20" t="s">
        <v>1312</v>
      </c>
      <c r="E2126" s="193">
        <v>131.1</v>
      </c>
      <c r="F2126" s="193">
        <v>82.6</v>
      </c>
      <c r="G2126" s="193">
        <v>116.9</v>
      </c>
    </row>
    <row r="2127" spans="1:7" x14ac:dyDescent="0.3">
      <c r="A2127" s="195" t="s">
        <v>884</v>
      </c>
      <c r="B2127" s="195" t="s">
        <v>943</v>
      </c>
      <c r="C2127" s="193" t="s">
        <v>1313</v>
      </c>
      <c r="D2127" s="20" t="s">
        <v>1321</v>
      </c>
      <c r="E2127" s="193">
        <v>103.9</v>
      </c>
      <c r="F2127" s="193">
        <v>90</v>
      </c>
      <c r="G2127" s="193">
        <v>98.1</v>
      </c>
    </row>
    <row r="2128" spans="1:7" x14ac:dyDescent="0.3">
      <c r="A2128" s="195" t="s">
        <v>884</v>
      </c>
      <c r="B2128" s="195" t="s">
        <v>943</v>
      </c>
      <c r="C2128" s="193" t="s">
        <v>361</v>
      </c>
      <c r="D2128" s="20" t="s">
        <v>1314</v>
      </c>
      <c r="E2128" s="193">
        <v>108.9</v>
      </c>
      <c r="F2128" s="193">
        <v>72.099999999999994</v>
      </c>
      <c r="G2128" s="193">
        <v>90.3</v>
      </c>
    </row>
    <row r="2129" spans="1:7" x14ac:dyDescent="0.3">
      <c r="A2129" s="195" t="s">
        <v>884</v>
      </c>
      <c r="B2129" s="195" t="s">
        <v>943</v>
      </c>
      <c r="C2129" s="193" t="s">
        <v>1315</v>
      </c>
      <c r="D2129" s="20" t="s">
        <v>1316</v>
      </c>
      <c r="E2129" s="193">
        <v>131.1</v>
      </c>
      <c r="F2129" s="193">
        <v>84.3</v>
      </c>
      <c r="G2129" s="193">
        <v>128.5</v>
      </c>
    </row>
    <row r="2130" spans="1:7" x14ac:dyDescent="0.3">
      <c r="A2130" s="195" t="s">
        <v>884</v>
      </c>
      <c r="B2130" s="195" t="s">
        <v>943</v>
      </c>
      <c r="C2130" s="193" t="s">
        <v>1317</v>
      </c>
      <c r="D2130" s="20" t="s">
        <v>1318</v>
      </c>
      <c r="E2130" s="193">
        <v>103.1</v>
      </c>
      <c r="F2130" s="193">
        <v>99</v>
      </c>
      <c r="G2130" s="193">
        <v>100.3</v>
      </c>
    </row>
    <row r="2131" spans="1:7" x14ac:dyDescent="0.3">
      <c r="A2131" s="195" t="s">
        <v>884</v>
      </c>
      <c r="B2131" s="195" t="s">
        <v>943</v>
      </c>
      <c r="C2131" s="196" t="s">
        <v>1319</v>
      </c>
      <c r="D2131" s="203" t="s">
        <v>1320</v>
      </c>
      <c r="E2131" s="193">
        <v>112.8</v>
      </c>
      <c r="F2131" s="193">
        <v>86.1</v>
      </c>
      <c r="G2131" s="193">
        <v>101.1</v>
      </c>
    </row>
    <row r="2132" spans="1:7" x14ac:dyDescent="0.3">
      <c r="A2132" s="195" t="s">
        <v>879</v>
      </c>
      <c r="B2132" s="195" t="s">
        <v>944</v>
      </c>
      <c r="C2132" s="193" t="s">
        <v>1302</v>
      </c>
      <c r="D2132" s="20" t="s">
        <v>1303</v>
      </c>
      <c r="E2132" s="193">
        <v>137.4</v>
      </c>
      <c r="F2132" s="193">
        <v>65.2</v>
      </c>
      <c r="G2132" s="193">
        <v>93.8</v>
      </c>
    </row>
    <row r="2133" spans="1:7" x14ac:dyDescent="0.3">
      <c r="A2133" s="195" t="s">
        <v>879</v>
      </c>
      <c r="B2133" s="195" t="s">
        <v>944</v>
      </c>
      <c r="C2133" s="193" t="s">
        <v>1304</v>
      </c>
      <c r="D2133" s="20" t="s">
        <v>1305</v>
      </c>
      <c r="E2133" s="193">
        <v>126.5</v>
      </c>
      <c r="F2133" s="193">
        <v>62.5</v>
      </c>
      <c r="G2133" s="193">
        <v>101</v>
      </c>
    </row>
    <row r="2134" spans="1:7" x14ac:dyDescent="0.3">
      <c r="A2134" s="195" t="s">
        <v>879</v>
      </c>
      <c r="B2134" s="195" t="s">
        <v>944</v>
      </c>
      <c r="C2134" s="193" t="s">
        <v>1306</v>
      </c>
      <c r="D2134" s="20" t="s">
        <v>1307</v>
      </c>
      <c r="E2134" s="193">
        <v>206.8</v>
      </c>
      <c r="F2134" s="193">
        <v>60.4</v>
      </c>
      <c r="G2134" s="193">
        <v>137.6</v>
      </c>
    </row>
    <row r="2135" spans="1:7" x14ac:dyDescent="0.3">
      <c r="A2135" s="195" t="s">
        <v>879</v>
      </c>
      <c r="B2135" s="195" t="s">
        <v>944</v>
      </c>
      <c r="C2135" s="193" t="s">
        <v>1308</v>
      </c>
      <c r="D2135" s="20" t="s">
        <v>1309</v>
      </c>
      <c r="E2135" s="193">
        <v>142.9</v>
      </c>
      <c r="F2135" s="193">
        <v>59.4</v>
      </c>
      <c r="G2135" s="193">
        <v>110.4</v>
      </c>
    </row>
    <row r="2136" spans="1:7" x14ac:dyDescent="0.3">
      <c r="A2136" s="195" t="s">
        <v>879</v>
      </c>
      <c r="B2136" s="195" t="s">
        <v>944</v>
      </c>
      <c r="C2136" s="193" t="s">
        <v>1310</v>
      </c>
      <c r="D2136" s="20" t="s">
        <v>27</v>
      </c>
      <c r="E2136" s="193">
        <v>113.5</v>
      </c>
      <c r="F2136" s="193">
        <v>55.4</v>
      </c>
      <c r="G2136" s="193">
        <v>89.1</v>
      </c>
    </row>
    <row r="2137" spans="1:7" x14ac:dyDescent="0.3">
      <c r="A2137" s="195" t="s">
        <v>879</v>
      </c>
      <c r="B2137" s="195" t="s">
        <v>944</v>
      </c>
      <c r="C2137" s="193" t="s">
        <v>1311</v>
      </c>
      <c r="D2137" s="20" t="s">
        <v>1312</v>
      </c>
      <c r="E2137" s="193">
        <v>131.1</v>
      </c>
      <c r="F2137" s="193">
        <v>64</v>
      </c>
      <c r="G2137" s="193">
        <v>111.5</v>
      </c>
    </row>
    <row r="2138" spans="1:7" x14ac:dyDescent="0.3">
      <c r="A2138" s="195" t="s">
        <v>879</v>
      </c>
      <c r="B2138" s="195" t="s">
        <v>944</v>
      </c>
      <c r="C2138" s="193" t="s">
        <v>1313</v>
      </c>
      <c r="D2138" s="20" t="s">
        <v>1321</v>
      </c>
      <c r="E2138" s="193">
        <v>103.7</v>
      </c>
      <c r="F2138" s="193">
        <v>63.1</v>
      </c>
      <c r="G2138" s="193">
        <v>86.5</v>
      </c>
    </row>
    <row r="2139" spans="1:7" x14ac:dyDescent="0.3">
      <c r="A2139" s="195" t="s">
        <v>879</v>
      </c>
      <c r="B2139" s="195" t="s">
        <v>944</v>
      </c>
      <c r="C2139" s="193" t="s">
        <v>361</v>
      </c>
      <c r="D2139" s="20" t="s">
        <v>1314</v>
      </c>
      <c r="E2139" s="193">
        <v>113.3</v>
      </c>
      <c r="F2139" s="193">
        <v>51.9</v>
      </c>
      <c r="G2139" s="193">
        <v>82.2</v>
      </c>
    </row>
    <row r="2140" spans="1:7" x14ac:dyDescent="0.3">
      <c r="A2140" s="195" t="s">
        <v>879</v>
      </c>
      <c r="B2140" s="195" t="s">
        <v>944</v>
      </c>
      <c r="C2140" s="193" t="s">
        <v>1315</v>
      </c>
      <c r="D2140" s="20" t="s">
        <v>1316</v>
      </c>
      <c r="E2140" s="193">
        <v>131.1</v>
      </c>
      <c r="F2140" s="193">
        <v>55.1</v>
      </c>
      <c r="G2140" s="193">
        <v>126.9</v>
      </c>
    </row>
    <row r="2141" spans="1:7" x14ac:dyDescent="0.3">
      <c r="A2141" s="195" t="s">
        <v>879</v>
      </c>
      <c r="B2141" s="195" t="s">
        <v>944</v>
      </c>
      <c r="C2141" s="193" t="s">
        <v>1317</v>
      </c>
      <c r="D2141" s="20" t="s">
        <v>1318</v>
      </c>
      <c r="E2141" s="193">
        <v>140.5</v>
      </c>
      <c r="F2141" s="193">
        <v>94.9</v>
      </c>
      <c r="G2141" s="193">
        <v>109.4</v>
      </c>
    </row>
    <row r="2142" spans="1:7" x14ac:dyDescent="0.3">
      <c r="A2142" s="195" t="s">
        <v>879</v>
      </c>
      <c r="B2142" s="195" t="s">
        <v>944</v>
      </c>
      <c r="C2142" s="196" t="s">
        <v>1319</v>
      </c>
      <c r="D2142" s="203" t="s">
        <v>1320</v>
      </c>
      <c r="E2142" s="193">
        <v>128.1</v>
      </c>
      <c r="F2142" s="193">
        <v>62</v>
      </c>
      <c r="G2142" s="193">
        <v>99</v>
      </c>
    </row>
    <row r="2143" spans="1:7" x14ac:dyDescent="0.3">
      <c r="A2143" s="195" t="s">
        <v>909</v>
      </c>
      <c r="B2143" s="195" t="s">
        <v>945</v>
      </c>
      <c r="C2143" s="193" t="s">
        <v>1302</v>
      </c>
      <c r="D2143" s="20" t="s">
        <v>1303</v>
      </c>
      <c r="E2143" s="193">
        <v>140.6</v>
      </c>
      <c r="F2143" s="193">
        <v>73.400000000000006</v>
      </c>
      <c r="G2143" s="193">
        <v>100.1</v>
      </c>
    </row>
    <row r="2144" spans="1:7" x14ac:dyDescent="0.3">
      <c r="A2144" s="195" t="s">
        <v>909</v>
      </c>
      <c r="B2144" s="195" t="s">
        <v>945</v>
      </c>
      <c r="C2144" s="193" t="s">
        <v>1304</v>
      </c>
      <c r="D2144" s="20" t="s">
        <v>1305</v>
      </c>
      <c r="E2144" s="193">
        <v>115.8</v>
      </c>
      <c r="F2144" s="193">
        <v>70.7</v>
      </c>
      <c r="G2144" s="193">
        <v>97.8</v>
      </c>
    </row>
    <row r="2145" spans="1:7" x14ac:dyDescent="0.3">
      <c r="A2145" s="195" t="s">
        <v>909</v>
      </c>
      <c r="B2145" s="195" t="s">
        <v>945</v>
      </c>
      <c r="C2145" s="193" t="s">
        <v>1306</v>
      </c>
      <c r="D2145" s="20" t="s">
        <v>1307</v>
      </c>
      <c r="E2145" s="193">
        <v>132.19999999999999</v>
      </c>
      <c r="F2145" s="193">
        <v>70.7</v>
      </c>
      <c r="G2145" s="193">
        <v>103.1</v>
      </c>
    </row>
    <row r="2146" spans="1:7" x14ac:dyDescent="0.3">
      <c r="A2146" s="195" t="s">
        <v>909</v>
      </c>
      <c r="B2146" s="195" t="s">
        <v>945</v>
      </c>
      <c r="C2146" s="193" t="s">
        <v>1308</v>
      </c>
      <c r="D2146" s="20" t="s">
        <v>1309</v>
      </c>
      <c r="E2146" s="193">
        <v>111.7</v>
      </c>
      <c r="F2146" s="193">
        <v>68.400000000000006</v>
      </c>
      <c r="G2146" s="193">
        <v>94.9</v>
      </c>
    </row>
    <row r="2147" spans="1:7" x14ac:dyDescent="0.3">
      <c r="A2147" s="195" t="s">
        <v>909</v>
      </c>
      <c r="B2147" s="195" t="s">
        <v>945</v>
      </c>
      <c r="C2147" s="193" t="s">
        <v>1310</v>
      </c>
      <c r="D2147" s="20" t="s">
        <v>27</v>
      </c>
      <c r="E2147" s="193">
        <v>96.9</v>
      </c>
      <c r="F2147" s="193">
        <v>67.3</v>
      </c>
      <c r="G2147" s="193">
        <v>84.5</v>
      </c>
    </row>
    <row r="2148" spans="1:7" x14ac:dyDescent="0.3">
      <c r="A2148" s="195" t="s">
        <v>909</v>
      </c>
      <c r="B2148" s="195" t="s">
        <v>945</v>
      </c>
      <c r="C2148" s="193" t="s">
        <v>1311</v>
      </c>
      <c r="D2148" s="20" t="s">
        <v>1312</v>
      </c>
      <c r="E2148" s="193">
        <v>131.1</v>
      </c>
      <c r="F2148" s="193">
        <v>64.099999999999994</v>
      </c>
      <c r="G2148" s="193">
        <v>111.5</v>
      </c>
    </row>
    <row r="2149" spans="1:7" x14ac:dyDescent="0.3">
      <c r="A2149" s="195" t="s">
        <v>909</v>
      </c>
      <c r="B2149" s="195" t="s">
        <v>945</v>
      </c>
      <c r="C2149" s="193" t="s">
        <v>1313</v>
      </c>
      <c r="D2149" s="20" t="s">
        <v>1321</v>
      </c>
      <c r="E2149" s="193">
        <v>103.6</v>
      </c>
      <c r="F2149" s="193">
        <v>83.5</v>
      </c>
      <c r="G2149" s="193">
        <v>95.1</v>
      </c>
    </row>
    <row r="2150" spans="1:7" x14ac:dyDescent="0.3">
      <c r="A2150" s="195" t="s">
        <v>909</v>
      </c>
      <c r="B2150" s="195" t="s">
        <v>945</v>
      </c>
      <c r="C2150" s="193" t="s">
        <v>361</v>
      </c>
      <c r="D2150" s="20" t="s">
        <v>1314</v>
      </c>
      <c r="E2150" s="193">
        <v>108.7</v>
      </c>
      <c r="F2150" s="193">
        <v>63.9</v>
      </c>
      <c r="G2150" s="193">
        <v>86</v>
      </c>
    </row>
    <row r="2151" spans="1:7" x14ac:dyDescent="0.3">
      <c r="A2151" s="195" t="s">
        <v>909</v>
      </c>
      <c r="B2151" s="195" t="s">
        <v>945</v>
      </c>
      <c r="C2151" s="193" t="s">
        <v>1315</v>
      </c>
      <c r="D2151" s="20" t="s">
        <v>1316</v>
      </c>
      <c r="E2151" s="193">
        <v>131.1</v>
      </c>
      <c r="F2151" s="193">
        <v>68.3</v>
      </c>
      <c r="G2151" s="193">
        <v>127.6</v>
      </c>
    </row>
    <row r="2152" spans="1:7" x14ac:dyDescent="0.3">
      <c r="A2152" s="195" t="s">
        <v>909</v>
      </c>
      <c r="B2152" s="195" t="s">
        <v>945</v>
      </c>
      <c r="C2152" s="193" t="s">
        <v>1317</v>
      </c>
      <c r="D2152" s="20" t="s">
        <v>1318</v>
      </c>
      <c r="E2152" s="193">
        <v>108</v>
      </c>
      <c r="F2152" s="193">
        <v>97.4</v>
      </c>
      <c r="G2152" s="193">
        <v>100.8</v>
      </c>
    </row>
    <row r="2153" spans="1:7" x14ac:dyDescent="0.3">
      <c r="A2153" s="195" t="s">
        <v>909</v>
      </c>
      <c r="B2153" s="195" t="s">
        <v>945</v>
      </c>
      <c r="C2153" s="196" t="s">
        <v>1319</v>
      </c>
      <c r="D2153" s="203" t="s">
        <v>1320</v>
      </c>
      <c r="E2153" s="193">
        <v>113</v>
      </c>
      <c r="F2153" s="193">
        <v>73.599999999999994</v>
      </c>
      <c r="G2153" s="193">
        <v>95.6</v>
      </c>
    </row>
    <row r="2154" spans="1:7" x14ac:dyDescent="0.3">
      <c r="A2154" s="195" t="s">
        <v>909</v>
      </c>
      <c r="B2154" s="195" t="s">
        <v>946</v>
      </c>
      <c r="C2154" s="193" t="s">
        <v>1302</v>
      </c>
      <c r="D2154" s="20" t="s">
        <v>1303</v>
      </c>
      <c r="E2154" s="193">
        <v>140.69999999999999</v>
      </c>
      <c r="F2154" s="193">
        <v>73.400000000000006</v>
      </c>
      <c r="G2154" s="193">
        <v>100.1</v>
      </c>
    </row>
    <row r="2155" spans="1:7" x14ac:dyDescent="0.3">
      <c r="A2155" s="195" t="s">
        <v>909</v>
      </c>
      <c r="B2155" s="195" t="s">
        <v>946</v>
      </c>
      <c r="C2155" s="193" t="s">
        <v>1304</v>
      </c>
      <c r="D2155" s="20" t="s">
        <v>1305</v>
      </c>
      <c r="E2155" s="193">
        <v>127.4</v>
      </c>
      <c r="F2155" s="193">
        <v>70.7</v>
      </c>
      <c r="G2155" s="193">
        <v>104.8</v>
      </c>
    </row>
    <row r="2156" spans="1:7" x14ac:dyDescent="0.3">
      <c r="A2156" s="195" t="s">
        <v>909</v>
      </c>
      <c r="B2156" s="195" t="s">
        <v>946</v>
      </c>
      <c r="C2156" s="193" t="s">
        <v>1306</v>
      </c>
      <c r="D2156" s="20" t="s">
        <v>1307</v>
      </c>
      <c r="E2156" s="193">
        <v>189.9</v>
      </c>
      <c r="F2156" s="193">
        <v>70.7</v>
      </c>
      <c r="G2156" s="193">
        <v>133.6</v>
      </c>
    </row>
    <row r="2157" spans="1:7" x14ac:dyDescent="0.3">
      <c r="A2157" s="195" t="s">
        <v>909</v>
      </c>
      <c r="B2157" s="195" t="s">
        <v>946</v>
      </c>
      <c r="C2157" s="193" t="s">
        <v>1308</v>
      </c>
      <c r="D2157" s="20" t="s">
        <v>1309</v>
      </c>
      <c r="E2157" s="193">
        <v>143.69999999999999</v>
      </c>
      <c r="F2157" s="193">
        <v>68.400000000000006</v>
      </c>
      <c r="G2157" s="193">
        <v>114.4</v>
      </c>
    </row>
    <row r="2158" spans="1:7" x14ac:dyDescent="0.3">
      <c r="A2158" s="195" t="s">
        <v>909</v>
      </c>
      <c r="B2158" s="195" t="s">
        <v>946</v>
      </c>
      <c r="C2158" s="193" t="s">
        <v>1310</v>
      </c>
      <c r="D2158" s="20" t="s">
        <v>27</v>
      </c>
      <c r="E2158" s="193">
        <v>106.9</v>
      </c>
      <c r="F2158" s="193">
        <v>67.3</v>
      </c>
      <c r="G2158" s="193">
        <v>90.3</v>
      </c>
    </row>
    <row r="2159" spans="1:7" x14ac:dyDescent="0.3">
      <c r="A2159" s="195" t="s">
        <v>909</v>
      </c>
      <c r="B2159" s="195" t="s">
        <v>946</v>
      </c>
      <c r="C2159" s="193" t="s">
        <v>1311</v>
      </c>
      <c r="D2159" s="20" t="s">
        <v>1312</v>
      </c>
      <c r="E2159" s="193">
        <v>131.1</v>
      </c>
      <c r="F2159" s="193">
        <v>64.099999999999994</v>
      </c>
      <c r="G2159" s="193">
        <v>111.5</v>
      </c>
    </row>
    <row r="2160" spans="1:7" x14ac:dyDescent="0.3">
      <c r="A2160" s="195" t="s">
        <v>909</v>
      </c>
      <c r="B2160" s="195" t="s">
        <v>946</v>
      </c>
      <c r="C2160" s="193" t="s">
        <v>1313</v>
      </c>
      <c r="D2160" s="20" t="s">
        <v>1321</v>
      </c>
      <c r="E2160" s="193">
        <v>103.7</v>
      </c>
      <c r="F2160" s="193">
        <v>83.5</v>
      </c>
      <c r="G2160" s="193">
        <v>95.1</v>
      </c>
    </row>
    <row r="2161" spans="1:7" x14ac:dyDescent="0.3">
      <c r="A2161" s="195" t="s">
        <v>909</v>
      </c>
      <c r="B2161" s="195" t="s">
        <v>946</v>
      </c>
      <c r="C2161" s="193" t="s">
        <v>361</v>
      </c>
      <c r="D2161" s="20" t="s">
        <v>1314</v>
      </c>
      <c r="E2161" s="193">
        <v>114.1</v>
      </c>
      <c r="F2161" s="193">
        <v>63.9</v>
      </c>
      <c r="G2161" s="193">
        <v>88.7</v>
      </c>
    </row>
    <row r="2162" spans="1:7" x14ac:dyDescent="0.3">
      <c r="A2162" s="195" t="s">
        <v>909</v>
      </c>
      <c r="B2162" s="195" t="s">
        <v>946</v>
      </c>
      <c r="C2162" s="193" t="s">
        <v>1315</v>
      </c>
      <c r="D2162" s="20" t="s">
        <v>1316</v>
      </c>
      <c r="E2162" s="193">
        <v>131.1</v>
      </c>
      <c r="F2162" s="193">
        <v>68.3</v>
      </c>
      <c r="G2162" s="193">
        <v>127.6</v>
      </c>
    </row>
    <row r="2163" spans="1:7" x14ac:dyDescent="0.3">
      <c r="A2163" s="195" t="s">
        <v>909</v>
      </c>
      <c r="B2163" s="195" t="s">
        <v>946</v>
      </c>
      <c r="C2163" s="193" t="s">
        <v>1317</v>
      </c>
      <c r="D2163" s="20" t="s">
        <v>1318</v>
      </c>
      <c r="E2163" s="193">
        <v>129.30000000000001</v>
      </c>
      <c r="F2163" s="193">
        <v>97.4</v>
      </c>
      <c r="G2163" s="193">
        <v>107.5</v>
      </c>
    </row>
    <row r="2164" spans="1:7" x14ac:dyDescent="0.3">
      <c r="A2164" s="195" t="s">
        <v>909</v>
      </c>
      <c r="B2164" s="195" t="s">
        <v>946</v>
      </c>
      <c r="C2164" s="196" t="s">
        <v>1319</v>
      </c>
      <c r="D2164" s="203" t="s">
        <v>1320</v>
      </c>
      <c r="E2164" s="193">
        <v>125.4</v>
      </c>
      <c r="F2164" s="193">
        <v>73.599999999999994</v>
      </c>
      <c r="G2164" s="193">
        <v>102.6</v>
      </c>
    </row>
    <row r="2165" spans="1:7" x14ac:dyDescent="0.3">
      <c r="A2165" s="195" t="s">
        <v>884</v>
      </c>
      <c r="B2165" s="195" t="s">
        <v>947</v>
      </c>
      <c r="C2165" s="193" t="s">
        <v>1302</v>
      </c>
      <c r="D2165" s="20" t="s">
        <v>1303</v>
      </c>
      <c r="E2165" s="193">
        <v>121.2</v>
      </c>
      <c r="F2165" s="193">
        <v>90.7</v>
      </c>
      <c r="G2165" s="193">
        <v>102.8</v>
      </c>
    </row>
    <row r="2166" spans="1:7" x14ac:dyDescent="0.3">
      <c r="A2166" s="195" t="s">
        <v>884</v>
      </c>
      <c r="B2166" s="195" t="s">
        <v>947</v>
      </c>
      <c r="C2166" s="193" t="s">
        <v>1304</v>
      </c>
      <c r="D2166" s="20" t="s">
        <v>1305</v>
      </c>
      <c r="E2166" s="193">
        <v>112.6</v>
      </c>
      <c r="F2166" s="193">
        <v>87.3</v>
      </c>
      <c r="G2166" s="193">
        <v>102.5</v>
      </c>
    </row>
    <row r="2167" spans="1:7" x14ac:dyDescent="0.3">
      <c r="A2167" s="195" t="s">
        <v>884</v>
      </c>
      <c r="B2167" s="195" t="s">
        <v>947</v>
      </c>
      <c r="C2167" s="193" t="s">
        <v>1306</v>
      </c>
      <c r="D2167" s="20" t="s">
        <v>1307</v>
      </c>
      <c r="E2167" s="193">
        <v>132.69999999999999</v>
      </c>
      <c r="F2167" s="193">
        <v>85.1</v>
      </c>
      <c r="G2167" s="193">
        <v>110.2</v>
      </c>
    </row>
    <row r="2168" spans="1:7" x14ac:dyDescent="0.3">
      <c r="A2168" s="195" t="s">
        <v>884</v>
      </c>
      <c r="B2168" s="195" t="s">
        <v>947</v>
      </c>
      <c r="C2168" s="193" t="s">
        <v>1308</v>
      </c>
      <c r="D2168" s="20" t="s">
        <v>1309</v>
      </c>
      <c r="E2168" s="193">
        <v>110.5</v>
      </c>
      <c r="F2168" s="193">
        <v>88.2</v>
      </c>
      <c r="G2168" s="193">
        <v>101.8</v>
      </c>
    </row>
    <row r="2169" spans="1:7" x14ac:dyDescent="0.3">
      <c r="A2169" s="195" t="s">
        <v>884</v>
      </c>
      <c r="B2169" s="195" t="s">
        <v>947</v>
      </c>
      <c r="C2169" s="193" t="s">
        <v>1310</v>
      </c>
      <c r="D2169" s="20" t="s">
        <v>27</v>
      </c>
      <c r="E2169" s="193">
        <v>104.7</v>
      </c>
      <c r="F2169" s="193">
        <v>87</v>
      </c>
      <c r="G2169" s="193">
        <v>97.3</v>
      </c>
    </row>
    <row r="2170" spans="1:7" x14ac:dyDescent="0.3">
      <c r="A2170" s="195" t="s">
        <v>884</v>
      </c>
      <c r="B2170" s="195" t="s">
        <v>947</v>
      </c>
      <c r="C2170" s="193" t="s">
        <v>1311</v>
      </c>
      <c r="D2170" s="20" t="s">
        <v>1312</v>
      </c>
      <c r="E2170" s="193">
        <v>131.1</v>
      </c>
      <c r="F2170" s="193">
        <v>82.6</v>
      </c>
      <c r="G2170" s="193">
        <v>116.9</v>
      </c>
    </row>
    <row r="2171" spans="1:7" x14ac:dyDescent="0.3">
      <c r="A2171" s="195" t="s">
        <v>884</v>
      </c>
      <c r="B2171" s="195" t="s">
        <v>947</v>
      </c>
      <c r="C2171" s="193" t="s">
        <v>1313</v>
      </c>
      <c r="D2171" s="20" t="s">
        <v>1321</v>
      </c>
      <c r="E2171" s="193">
        <v>103.9</v>
      </c>
      <c r="F2171" s="193">
        <v>90</v>
      </c>
      <c r="G2171" s="193">
        <v>98.1</v>
      </c>
    </row>
    <row r="2172" spans="1:7" x14ac:dyDescent="0.3">
      <c r="A2172" s="195" t="s">
        <v>884</v>
      </c>
      <c r="B2172" s="195" t="s">
        <v>947</v>
      </c>
      <c r="C2172" s="193" t="s">
        <v>361</v>
      </c>
      <c r="D2172" s="20" t="s">
        <v>1314</v>
      </c>
      <c r="E2172" s="193">
        <v>108.4</v>
      </c>
      <c r="F2172" s="193">
        <v>72.099999999999994</v>
      </c>
      <c r="G2172" s="193">
        <v>90</v>
      </c>
    </row>
    <row r="2173" spans="1:7" x14ac:dyDescent="0.3">
      <c r="A2173" s="195" t="s">
        <v>884</v>
      </c>
      <c r="B2173" s="195" t="s">
        <v>947</v>
      </c>
      <c r="C2173" s="193" t="s">
        <v>1315</v>
      </c>
      <c r="D2173" s="20" t="s">
        <v>1316</v>
      </c>
      <c r="E2173" s="193">
        <v>131.1</v>
      </c>
      <c r="F2173" s="193">
        <v>84.3</v>
      </c>
      <c r="G2173" s="193">
        <v>128.5</v>
      </c>
    </row>
    <row r="2174" spans="1:7" x14ac:dyDescent="0.3">
      <c r="A2174" s="195" t="s">
        <v>884</v>
      </c>
      <c r="B2174" s="195" t="s">
        <v>947</v>
      </c>
      <c r="C2174" s="193" t="s">
        <v>1317</v>
      </c>
      <c r="D2174" s="20" t="s">
        <v>1318</v>
      </c>
      <c r="E2174" s="193">
        <v>102.8</v>
      </c>
      <c r="F2174" s="193">
        <v>99</v>
      </c>
      <c r="G2174" s="193">
        <v>100.2</v>
      </c>
    </row>
    <row r="2175" spans="1:7" x14ac:dyDescent="0.3">
      <c r="A2175" s="195" t="s">
        <v>884</v>
      </c>
      <c r="B2175" s="195" t="s">
        <v>947</v>
      </c>
      <c r="C2175" s="196" t="s">
        <v>1319</v>
      </c>
      <c r="D2175" s="203" t="s">
        <v>1320</v>
      </c>
      <c r="E2175" s="193">
        <v>112.8</v>
      </c>
      <c r="F2175" s="193">
        <v>86.4</v>
      </c>
      <c r="G2175" s="193">
        <v>101.1</v>
      </c>
    </row>
    <row r="2176" spans="1:7" x14ac:dyDescent="0.3">
      <c r="A2176" s="195" t="s">
        <v>909</v>
      </c>
      <c r="B2176" s="195" t="s">
        <v>948</v>
      </c>
      <c r="C2176" s="193" t="s">
        <v>1302</v>
      </c>
      <c r="D2176" s="20" t="s">
        <v>1303</v>
      </c>
      <c r="E2176" s="193">
        <v>144</v>
      </c>
      <c r="F2176" s="193">
        <v>73.400000000000006</v>
      </c>
      <c r="G2176" s="193">
        <v>101.4</v>
      </c>
    </row>
    <row r="2177" spans="1:7" x14ac:dyDescent="0.3">
      <c r="A2177" s="195" t="s">
        <v>909</v>
      </c>
      <c r="B2177" s="195" t="s">
        <v>948</v>
      </c>
      <c r="C2177" s="193" t="s">
        <v>1304</v>
      </c>
      <c r="D2177" s="20" t="s">
        <v>1305</v>
      </c>
      <c r="E2177" s="193">
        <v>129.69999999999999</v>
      </c>
      <c r="F2177" s="193">
        <v>70.7</v>
      </c>
      <c r="G2177" s="193">
        <v>106.2</v>
      </c>
    </row>
    <row r="2178" spans="1:7" x14ac:dyDescent="0.3">
      <c r="A2178" s="195" t="s">
        <v>909</v>
      </c>
      <c r="B2178" s="195" t="s">
        <v>948</v>
      </c>
      <c r="C2178" s="193" t="s">
        <v>1306</v>
      </c>
      <c r="D2178" s="20" t="s">
        <v>1307</v>
      </c>
      <c r="E2178" s="193">
        <v>197</v>
      </c>
      <c r="F2178" s="193">
        <v>70.7</v>
      </c>
      <c r="G2178" s="193">
        <v>137.30000000000001</v>
      </c>
    </row>
    <row r="2179" spans="1:7" x14ac:dyDescent="0.3">
      <c r="A2179" s="195" t="s">
        <v>909</v>
      </c>
      <c r="B2179" s="195" t="s">
        <v>948</v>
      </c>
      <c r="C2179" s="193" t="s">
        <v>1308</v>
      </c>
      <c r="D2179" s="20" t="s">
        <v>1309</v>
      </c>
      <c r="E2179" s="193">
        <v>143.69999999999999</v>
      </c>
      <c r="F2179" s="193">
        <v>68.400000000000006</v>
      </c>
      <c r="G2179" s="193">
        <v>114.4</v>
      </c>
    </row>
    <row r="2180" spans="1:7" x14ac:dyDescent="0.3">
      <c r="A2180" s="195" t="s">
        <v>909</v>
      </c>
      <c r="B2180" s="195" t="s">
        <v>948</v>
      </c>
      <c r="C2180" s="193" t="s">
        <v>1310</v>
      </c>
      <c r="D2180" s="20" t="s">
        <v>27</v>
      </c>
      <c r="E2180" s="193">
        <v>107.8</v>
      </c>
      <c r="F2180" s="193">
        <v>67.3</v>
      </c>
      <c r="G2180" s="193">
        <v>90.8</v>
      </c>
    </row>
    <row r="2181" spans="1:7" x14ac:dyDescent="0.3">
      <c r="A2181" s="195" t="s">
        <v>909</v>
      </c>
      <c r="B2181" s="195" t="s">
        <v>948</v>
      </c>
      <c r="C2181" s="193" t="s">
        <v>1311</v>
      </c>
      <c r="D2181" s="20" t="s">
        <v>1312</v>
      </c>
      <c r="E2181" s="193">
        <v>131.1</v>
      </c>
      <c r="F2181" s="193">
        <v>64.099999999999994</v>
      </c>
      <c r="G2181" s="193">
        <v>111.5</v>
      </c>
    </row>
    <row r="2182" spans="1:7" x14ac:dyDescent="0.3">
      <c r="A2182" s="195" t="s">
        <v>909</v>
      </c>
      <c r="B2182" s="195" t="s">
        <v>948</v>
      </c>
      <c r="C2182" s="193" t="s">
        <v>1313</v>
      </c>
      <c r="D2182" s="20" t="s">
        <v>1321</v>
      </c>
      <c r="E2182" s="193">
        <v>103.7</v>
      </c>
      <c r="F2182" s="193">
        <v>83.5</v>
      </c>
      <c r="G2182" s="193">
        <v>95.1</v>
      </c>
    </row>
    <row r="2183" spans="1:7" x14ac:dyDescent="0.3">
      <c r="A2183" s="195" t="s">
        <v>909</v>
      </c>
      <c r="B2183" s="195" t="s">
        <v>948</v>
      </c>
      <c r="C2183" s="193" t="s">
        <v>361</v>
      </c>
      <c r="D2183" s="20" t="s">
        <v>1314</v>
      </c>
      <c r="E2183" s="193">
        <v>118.3</v>
      </c>
      <c r="F2183" s="193">
        <v>63.9</v>
      </c>
      <c r="G2183" s="193">
        <v>90.8</v>
      </c>
    </row>
    <row r="2184" spans="1:7" x14ac:dyDescent="0.3">
      <c r="A2184" s="195" t="s">
        <v>909</v>
      </c>
      <c r="B2184" s="195" t="s">
        <v>948</v>
      </c>
      <c r="C2184" s="193" t="s">
        <v>1315</v>
      </c>
      <c r="D2184" s="20" t="s">
        <v>1316</v>
      </c>
      <c r="E2184" s="193">
        <v>131.1</v>
      </c>
      <c r="F2184" s="193">
        <v>68.3</v>
      </c>
      <c r="G2184" s="193">
        <v>127.6</v>
      </c>
    </row>
    <row r="2185" spans="1:7" x14ac:dyDescent="0.3">
      <c r="A2185" s="195" t="s">
        <v>909</v>
      </c>
      <c r="B2185" s="195" t="s">
        <v>948</v>
      </c>
      <c r="C2185" s="193" t="s">
        <v>1317</v>
      </c>
      <c r="D2185" s="20" t="s">
        <v>1318</v>
      </c>
      <c r="E2185" s="193">
        <v>134.9</v>
      </c>
      <c r="F2185" s="193">
        <v>97.4</v>
      </c>
      <c r="G2185" s="193">
        <v>109.3</v>
      </c>
    </row>
    <row r="2186" spans="1:7" x14ac:dyDescent="0.3">
      <c r="A2186" s="195" t="s">
        <v>909</v>
      </c>
      <c r="B2186" s="195" t="s">
        <v>948</v>
      </c>
      <c r="C2186" s="196" t="s">
        <v>1319</v>
      </c>
      <c r="D2186" s="203" t="s">
        <v>1320</v>
      </c>
      <c r="E2186" s="193">
        <v>127.5</v>
      </c>
      <c r="F2186" s="193">
        <v>73.599999999999994</v>
      </c>
      <c r="G2186" s="193">
        <v>103.7</v>
      </c>
    </row>
    <row r="2187" spans="1:7" x14ac:dyDescent="0.3">
      <c r="A2187" s="195" t="s">
        <v>909</v>
      </c>
      <c r="B2187" s="195" t="s">
        <v>949</v>
      </c>
      <c r="C2187" s="193" t="s">
        <v>1302</v>
      </c>
      <c r="D2187" s="20" t="s">
        <v>1303</v>
      </c>
      <c r="E2187" s="193">
        <v>126.1</v>
      </c>
      <c r="F2187" s="193">
        <v>80.7</v>
      </c>
      <c r="G2187" s="193">
        <v>98.7</v>
      </c>
    </row>
    <row r="2188" spans="1:7" x14ac:dyDescent="0.3">
      <c r="A2188" s="195" t="s">
        <v>909</v>
      </c>
      <c r="B2188" s="195" t="s">
        <v>949</v>
      </c>
      <c r="C2188" s="193" t="s">
        <v>1304</v>
      </c>
      <c r="D2188" s="20" t="s">
        <v>1305</v>
      </c>
      <c r="E2188" s="193">
        <v>131.1</v>
      </c>
      <c r="F2188" s="193">
        <v>78.7</v>
      </c>
      <c r="G2188" s="193">
        <v>110.2</v>
      </c>
    </row>
    <row r="2189" spans="1:7" x14ac:dyDescent="0.3">
      <c r="A2189" s="195" t="s">
        <v>909</v>
      </c>
      <c r="B2189" s="195" t="s">
        <v>949</v>
      </c>
      <c r="C2189" s="193" t="s">
        <v>1306</v>
      </c>
      <c r="D2189" s="20" t="s">
        <v>1307</v>
      </c>
      <c r="E2189" s="193">
        <v>143.4</v>
      </c>
      <c r="F2189" s="193">
        <v>82.2</v>
      </c>
      <c r="G2189" s="193">
        <v>114.5</v>
      </c>
    </row>
    <row r="2190" spans="1:7" x14ac:dyDescent="0.3">
      <c r="A2190" s="195" t="s">
        <v>909</v>
      </c>
      <c r="B2190" s="195" t="s">
        <v>949</v>
      </c>
      <c r="C2190" s="193" t="s">
        <v>1308</v>
      </c>
      <c r="D2190" s="20" t="s">
        <v>1309</v>
      </c>
      <c r="E2190" s="193">
        <v>120.6</v>
      </c>
      <c r="F2190" s="193">
        <v>76.8</v>
      </c>
      <c r="G2190" s="193">
        <v>103.6</v>
      </c>
    </row>
    <row r="2191" spans="1:7" x14ac:dyDescent="0.3">
      <c r="A2191" s="195" t="s">
        <v>909</v>
      </c>
      <c r="B2191" s="195" t="s">
        <v>949</v>
      </c>
      <c r="C2191" s="193" t="s">
        <v>1310</v>
      </c>
      <c r="D2191" s="20" t="s">
        <v>27</v>
      </c>
      <c r="E2191" s="193">
        <v>104.2</v>
      </c>
      <c r="F2191" s="193">
        <v>78.400000000000006</v>
      </c>
      <c r="G2191" s="193">
        <v>93.3</v>
      </c>
    </row>
    <row r="2192" spans="1:7" x14ac:dyDescent="0.3">
      <c r="A2192" s="195" t="s">
        <v>909</v>
      </c>
      <c r="B2192" s="195" t="s">
        <v>949</v>
      </c>
      <c r="C2192" s="193" t="s">
        <v>1311</v>
      </c>
      <c r="D2192" s="20" t="s">
        <v>1312</v>
      </c>
      <c r="E2192" s="193">
        <v>131.1</v>
      </c>
      <c r="F2192" s="193">
        <v>66.8</v>
      </c>
      <c r="G2192" s="193">
        <v>112.3</v>
      </c>
    </row>
    <row r="2193" spans="1:7" x14ac:dyDescent="0.3">
      <c r="A2193" s="195" t="s">
        <v>909</v>
      </c>
      <c r="B2193" s="195" t="s">
        <v>949</v>
      </c>
      <c r="C2193" s="193" t="s">
        <v>1313</v>
      </c>
      <c r="D2193" s="20" t="s">
        <v>1321</v>
      </c>
      <c r="E2193" s="193">
        <v>104.9</v>
      </c>
      <c r="F2193" s="193">
        <v>76.8</v>
      </c>
      <c r="G2193" s="193">
        <v>93</v>
      </c>
    </row>
    <row r="2194" spans="1:7" x14ac:dyDescent="0.3">
      <c r="A2194" s="195" t="s">
        <v>909</v>
      </c>
      <c r="B2194" s="195" t="s">
        <v>949</v>
      </c>
      <c r="C2194" s="193" t="s">
        <v>361</v>
      </c>
      <c r="D2194" s="20" t="s">
        <v>1314</v>
      </c>
      <c r="E2194" s="193">
        <v>105.2</v>
      </c>
      <c r="F2194" s="193">
        <v>80.599999999999994</v>
      </c>
      <c r="G2194" s="193">
        <v>92.8</v>
      </c>
    </row>
    <row r="2195" spans="1:7" x14ac:dyDescent="0.3">
      <c r="A2195" s="195" t="s">
        <v>909</v>
      </c>
      <c r="B2195" s="195" t="s">
        <v>949</v>
      </c>
      <c r="C2195" s="193" t="s">
        <v>1315</v>
      </c>
      <c r="D2195" s="20" t="s">
        <v>1316</v>
      </c>
      <c r="E2195" s="193">
        <v>131.1</v>
      </c>
      <c r="F2195" s="193">
        <v>75.3</v>
      </c>
      <c r="G2195" s="193">
        <v>128</v>
      </c>
    </row>
    <row r="2196" spans="1:7" x14ac:dyDescent="0.3">
      <c r="A2196" s="195" t="s">
        <v>909</v>
      </c>
      <c r="B2196" s="195" t="s">
        <v>949</v>
      </c>
      <c r="C2196" s="193" t="s">
        <v>1317</v>
      </c>
      <c r="D2196" s="20" t="s">
        <v>1318</v>
      </c>
      <c r="E2196" s="193">
        <v>111.5</v>
      </c>
      <c r="F2196" s="193">
        <v>97.6</v>
      </c>
      <c r="G2196" s="193">
        <v>102</v>
      </c>
    </row>
    <row r="2197" spans="1:7" x14ac:dyDescent="0.3">
      <c r="A2197" s="195" t="s">
        <v>909</v>
      </c>
      <c r="B2197" s="195" t="s">
        <v>949</v>
      </c>
      <c r="C2197" s="196" t="s">
        <v>1319</v>
      </c>
      <c r="D2197" s="203" t="s">
        <v>1320</v>
      </c>
      <c r="E2197" s="193">
        <v>118.2</v>
      </c>
      <c r="F2197" s="193">
        <v>79.900000000000006</v>
      </c>
      <c r="G2197" s="193">
        <v>101.3</v>
      </c>
    </row>
    <row r="2198" spans="1:7" x14ac:dyDescent="0.3">
      <c r="A2198" s="195" t="s">
        <v>837</v>
      </c>
      <c r="B2198" s="195" t="s">
        <v>950</v>
      </c>
      <c r="C2198" s="193" t="s">
        <v>1302</v>
      </c>
      <c r="D2198" s="20" t="s">
        <v>1303</v>
      </c>
      <c r="E2198" s="193">
        <v>115.8</v>
      </c>
      <c r="F2198" s="193">
        <v>92.3</v>
      </c>
      <c r="G2198" s="193">
        <v>101.6</v>
      </c>
    </row>
    <row r="2199" spans="1:7" x14ac:dyDescent="0.3">
      <c r="A2199" s="195" t="s">
        <v>837</v>
      </c>
      <c r="B2199" s="195" t="s">
        <v>950</v>
      </c>
      <c r="C2199" s="193" t="s">
        <v>1304</v>
      </c>
      <c r="D2199" s="20" t="s">
        <v>1305</v>
      </c>
      <c r="E2199" s="193">
        <v>117.4</v>
      </c>
      <c r="F2199" s="193">
        <v>90</v>
      </c>
      <c r="G2199" s="193">
        <v>106.5</v>
      </c>
    </row>
    <row r="2200" spans="1:7" x14ac:dyDescent="0.3">
      <c r="A2200" s="195" t="s">
        <v>837</v>
      </c>
      <c r="B2200" s="195" t="s">
        <v>950</v>
      </c>
      <c r="C2200" s="193" t="s">
        <v>1306</v>
      </c>
      <c r="D2200" s="20" t="s">
        <v>1307</v>
      </c>
      <c r="E2200" s="193">
        <v>112.4</v>
      </c>
      <c r="F2200" s="193">
        <v>95.6</v>
      </c>
      <c r="G2200" s="193">
        <v>104.5</v>
      </c>
    </row>
    <row r="2201" spans="1:7" x14ac:dyDescent="0.3">
      <c r="A2201" s="195" t="s">
        <v>837</v>
      </c>
      <c r="B2201" s="195" t="s">
        <v>950</v>
      </c>
      <c r="C2201" s="193" t="s">
        <v>1308</v>
      </c>
      <c r="D2201" s="20" t="s">
        <v>1309</v>
      </c>
      <c r="E2201" s="193">
        <v>111.2</v>
      </c>
      <c r="F2201" s="193">
        <v>89.2</v>
      </c>
      <c r="G2201" s="193">
        <v>102.7</v>
      </c>
    </row>
    <row r="2202" spans="1:7" x14ac:dyDescent="0.3">
      <c r="A2202" s="195" t="s">
        <v>837</v>
      </c>
      <c r="B2202" s="195" t="s">
        <v>950</v>
      </c>
      <c r="C2202" s="193" t="s">
        <v>1310</v>
      </c>
      <c r="D2202" s="20" t="s">
        <v>27</v>
      </c>
      <c r="E2202" s="193">
        <v>96.3</v>
      </c>
      <c r="F2202" s="193">
        <v>87</v>
      </c>
      <c r="G2202" s="193">
        <v>92.4</v>
      </c>
    </row>
    <row r="2203" spans="1:7" x14ac:dyDescent="0.3">
      <c r="A2203" s="195" t="s">
        <v>837</v>
      </c>
      <c r="B2203" s="195" t="s">
        <v>950</v>
      </c>
      <c r="C2203" s="193" t="s">
        <v>1311</v>
      </c>
      <c r="D2203" s="20" t="s">
        <v>1312</v>
      </c>
      <c r="E2203" s="193">
        <v>131.1</v>
      </c>
      <c r="F2203" s="193">
        <v>98.1</v>
      </c>
      <c r="G2203" s="193">
        <v>121.5</v>
      </c>
    </row>
    <row r="2204" spans="1:7" x14ac:dyDescent="0.3">
      <c r="A2204" s="195" t="s">
        <v>837</v>
      </c>
      <c r="B2204" s="195" t="s">
        <v>950</v>
      </c>
      <c r="C2204" s="193" t="s">
        <v>1313</v>
      </c>
      <c r="D2204" s="20" t="s">
        <v>1321</v>
      </c>
      <c r="E2204" s="193">
        <v>104.7</v>
      </c>
      <c r="F2204" s="193">
        <v>86.7</v>
      </c>
      <c r="G2204" s="193">
        <v>97.1</v>
      </c>
    </row>
    <row r="2205" spans="1:7" x14ac:dyDescent="0.3">
      <c r="A2205" s="195" t="s">
        <v>837</v>
      </c>
      <c r="B2205" s="195" t="s">
        <v>950</v>
      </c>
      <c r="C2205" s="193" t="s">
        <v>361</v>
      </c>
      <c r="D2205" s="20" t="s">
        <v>1314</v>
      </c>
      <c r="E2205" s="193">
        <v>106.3</v>
      </c>
      <c r="F2205" s="193">
        <v>97.3</v>
      </c>
      <c r="G2205" s="193">
        <v>101.7</v>
      </c>
    </row>
    <row r="2206" spans="1:7" x14ac:dyDescent="0.3">
      <c r="A2206" s="195" t="s">
        <v>837</v>
      </c>
      <c r="B2206" s="195" t="s">
        <v>950</v>
      </c>
      <c r="C2206" s="193" t="s">
        <v>1315</v>
      </c>
      <c r="D2206" s="20" t="s">
        <v>1316</v>
      </c>
      <c r="E2206" s="193">
        <v>131.1</v>
      </c>
      <c r="F2206" s="193">
        <v>83.3</v>
      </c>
      <c r="G2206" s="193">
        <v>128.5</v>
      </c>
    </row>
    <row r="2207" spans="1:7" x14ac:dyDescent="0.3">
      <c r="A2207" s="195" t="s">
        <v>837</v>
      </c>
      <c r="B2207" s="195" t="s">
        <v>950</v>
      </c>
      <c r="C2207" s="193" t="s">
        <v>1317</v>
      </c>
      <c r="D2207" s="20" t="s">
        <v>1318</v>
      </c>
      <c r="E2207" s="193">
        <v>101.8</v>
      </c>
      <c r="F2207" s="193">
        <v>104.5</v>
      </c>
      <c r="G2207" s="193">
        <v>103.6</v>
      </c>
    </row>
    <row r="2208" spans="1:7" x14ac:dyDescent="0.3">
      <c r="A2208" s="195" t="s">
        <v>837</v>
      </c>
      <c r="B2208" s="195" t="s">
        <v>950</v>
      </c>
      <c r="C2208" s="196" t="s">
        <v>1319</v>
      </c>
      <c r="D2208" s="203" t="s">
        <v>1320</v>
      </c>
      <c r="E2208" s="193">
        <v>109.9</v>
      </c>
      <c r="F2208" s="193">
        <v>91.8</v>
      </c>
      <c r="G2208" s="193">
        <v>101.9</v>
      </c>
    </row>
    <row r="2209" spans="1:7" x14ac:dyDescent="0.3">
      <c r="A2209" s="195" t="s">
        <v>888</v>
      </c>
      <c r="B2209" s="195" t="s">
        <v>951</v>
      </c>
      <c r="C2209" s="193" t="s">
        <v>1302</v>
      </c>
      <c r="D2209" s="20" t="s">
        <v>1303</v>
      </c>
      <c r="E2209" s="193">
        <v>122.6</v>
      </c>
      <c r="F2209" s="193">
        <v>75.400000000000006</v>
      </c>
      <c r="G2209" s="193">
        <v>94.1</v>
      </c>
    </row>
    <row r="2210" spans="1:7" x14ac:dyDescent="0.3">
      <c r="A2210" s="195" t="s">
        <v>888</v>
      </c>
      <c r="B2210" s="195" t="s">
        <v>951</v>
      </c>
      <c r="C2210" s="193" t="s">
        <v>1304</v>
      </c>
      <c r="D2210" s="20" t="s">
        <v>1305</v>
      </c>
      <c r="E2210" s="193">
        <v>112.5</v>
      </c>
      <c r="F2210" s="193">
        <v>75.3</v>
      </c>
      <c r="G2210" s="193">
        <v>97.7</v>
      </c>
    </row>
    <row r="2211" spans="1:7" x14ac:dyDescent="0.3">
      <c r="A2211" s="195" t="s">
        <v>888</v>
      </c>
      <c r="B2211" s="195" t="s">
        <v>951</v>
      </c>
      <c r="C2211" s="193" t="s">
        <v>1306</v>
      </c>
      <c r="D2211" s="20" t="s">
        <v>1307</v>
      </c>
      <c r="E2211" s="193">
        <v>128</v>
      </c>
      <c r="F2211" s="193">
        <v>65.7</v>
      </c>
      <c r="G2211" s="193">
        <v>98.5</v>
      </c>
    </row>
    <row r="2212" spans="1:7" x14ac:dyDescent="0.3">
      <c r="A2212" s="195" t="s">
        <v>888</v>
      </c>
      <c r="B2212" s="195" t="s">
        <v>951</v>
      </c>
      <c r="C2212" s="193" t="s">
        <v>1308</v>
      </c>
      <c r="D2212" s="20" t="s">
        <v>1309</v>
      </c>
      <c r="E2212" s="193">
        <v>113.5</v>
      </c>
      <c r="F2212" s="193">
        <v>64.8</v>
      </c>
      <c r="G2212" s="193">
        <v>94.6</v>
      </c>
    </row>
    <row r="2213" spans="1:7" x14ac:dyDescent="0.3">
      <c r="A2213" s="195" t="s">
        <v>888</v>
      </c>
      <c r="B2213" s="195" t="s">
        <v>951</v>
      </c>
      <c r="C2213" s="193" t="s">
        <v>1310</v>
      </c>
      <c r="D2213" s="20" t="s">
        <v>27</v>
      </c>
      <c r="E2213" s="193">
        <v>99.5</v>
      </c>
      <c r="F2213" s="193">
        <v>64.5</v>
      </c>
      <c r="G2213" s="193">
        <v>84.8</v>
      </c>
    </row>
    <row r="2214" spans="1:7" x14ac:dyDescent="0.3">
      <c r="A2214" s="195" t="s">
        <v>888</v>
      </c>
      <c r="B2214" s="195" t="s">
        <v>951</v>
      </c>
      <c r="C2214" s="193" t="s">
        <v>1311</v>
      </c>
      <c r="D2214" s="20" t="s">
        <v>1312</v>
      </c>
      <c r="E2214" s="193">
        <v>131.1</v>
      </c>
      <c r="F2214" s="193">
        <v>65.400000000000006</v>
      </c>
      <c r="G2214" s="193">
        <v>111.9</v>
      </c>
    </row>
    <row r="2215" spans="1:7" x14ac:dyDescent="0.3">
      <c r="A2215" s="195" t="s">
        <v>888</v>
      </c>
      <c r="B2215" s="195" t="s">
        <v>951</v>
      </c>
      <c r="C2215" s="193" t="s">
        <v>1313</v>
      </c>
      <c r="D2215" s="20" t="s">
        <v>1321</v>
      </c>
      <c r="E2215" s="193">
        <v>103.6</v>
      </c>
      <c r="F2215" s="193">
        <v>71.400000000000006</v>
      </c>
      <c r="G2215" s="193">
        <v>90</v>
      </c>
    </row>
    <row r="2216" spans="1:7" x14ac:dyDescent="0.3">
      <c r="A2216" s="195" t="s">
        <v>888</v>
      </c>
      <c r="B2216" s="195" t="s">
        <v>951</v>
      </c>
      <c r="C2216" s="193" t="s">
        <v>361</v>
      </c>
      <c r="D2216" s="20" t="s">
        <v>1314</v>
      </c>
      <c r="E2216" s="193">
        <v>113</v>
      </c>
      <c r="F2216" s="193">
        <v>63.3</v>
      </c>
      <c r="G2216" s="193">
        <v>87.9</v>
      </c>
    </row>
    <row r="2217" spans="1:7" x14ac:dyDescent="0.3">
      <c r="A2217" s="195" t="s">
        <v>888</v>
      </c>
      <c r="B2217" s="195" t="s">
        <v>951</v>
      </c>
      <c r="C2217" s="193" t="s">
        <v>1315</v>
      </c>
      <c r="D2217" s="20" t="s">
        <v>1316</v>
      </c>
      <c r="E2217" s="193">
        <v>131.1</v>
      </c>
      <c r="F2217" s="193">
        <v>63.2</v>
      </c>
      <c r="G2217" s="193">
        <v>127.3</v>
      </c>
    </row>
    <row r="2218" spans="1:7" x14ac:dyDescent="0.3">
      <c r="A2218" s="195" t="s">
        <v>888</v>
      </c>
      <c r="B2218" s="195" t="s">
        <v>951</v>
      </c>
      <c r="C2218" s="193" t="s">
        <v>1317</v>
      </c>
      <c r="D2218" s="20" t="s">
        <v>1318</v>
      </c>
      <c r="E2218" s="193">
        <v>107</v>
      </c>
      <c r="F2218" s="193">
        <v>96.1</v>
      </c>
      <c r="G2218" s="193">
        <v>99.6</v>
      </c>
    </row>
    <row r="2219" spans="1:7" x14ac:dyDescent="0.3">
      <c r="A2219" s="195" t="s">
        <v>888</v>
      </c>
      <c r="B2219" s="195" t="s">
        <v>951</v>
      </c>
      <c r="C2219" s="196" t="s">
        <v>1319</v>
      </c>
      <c r="D2219" s="203" t="s">
        <v>1320</v>
      </c>
      <c r="E2219" s="193">
        <v>112</v>
      </c>
      <c r="F2219" s="193">
        <v>70.7</v>
      </c>
      <c r="G2219" s="193">
        <v>93.8</v>
      </c>
    </row>
    <row r="2220" spans="1:7" x14ac:dyDescent="0.3">
      <c r="A2220" s="195" t="s">
        <v>837</v>
      </c>
      <c r="B2220" s="195" t="s">
        <v>952</v>
      </c>
      <c r="C2220" s="193" t="s">
        <v>1302</v>
      </c>
      <c r="D2220" s="20" t="s">
        <v>1303</v>
      </c>
      <c r="E2220" s="193">
        <v>140.30000000000001</v>
      </c>
      <c r="F2220" s="193">
        <v>92</v>
      </c>
      <c r="G2220" s="193">
        <v>111.2</v>
      </c>
    </row>
    <row r="2221" spans="1:7" x14ac:dyDescent="0.3">
      <c r="A2221" s="195" t="s">
        <v>837</v>
      </c>
      <c r="B2221" s="195" t="s">
        <v>952</v>
      </c>
      <c r="C2221" s="193" t="s">
        <v>1304</v>
      </c>
      <c r="D2221" s="20" t="s">
        <v>1305</v>
      </c>
      <c r="E2221" s="193">
        <v>115.9</v>
      </c>
      <c r="F2221" s="193">
        <v>90.5</v>
      </c>
      <c r="G2221" s="193">
        <v>105.7</v>
      </c>
    </row>
    <row r="2222" spans="1:7" x14ac:dyDescent="0.3">
      <c r="A2222" s="195" t="s">
        <v>837</v>
      </c>
      <c r="B2222" s="195" t="s">
        <v>952</v>
      </c>
      <c r="C2222" s="193" t="s">
        <v>1306</v>
      </c>
      <c r="D2222" s="20" t="s">
        <v>1307</v>
      </c>
      <c r="E2222" s="193">
        <v>120.8</v>
      </c>
      <c r="F2222" s="193">
        <v>95.5</v>
      </c>
      <c r="G2222" s="193">
        <v>108.8</v>
      </c>
    </row>
    <row r="2223" spans="1:7" x14ac:dyDescent="0.3">
      <c r="A2223" s="195" t="s">
        <v>837</v>
      </c>
      <c r="B2223" s="195" t="s">
        <v>952</v>
      </c>
      <c r="C2223" s="193" t="s">
        <v>1308</v>
      </c>
      <c r="D2223" s="20" t="s">
        <v>1309</v>
      </c>
      <c r="E2223" s="193">
        <v>112.1</v>
      </c>
      <c r="F2223" s="193">
        <v>86.3</v>
      </c>
      <c r="G2223" s="193">
        <v>102.1</v>
      </c>
    </row>
    <row r="2224" spans="1:7" x14ac:dyDescent="0.3">
      <c r="A2224" s="195" t="s">
        <v>837</v>
      </c>
      <c r="B2224" s="195" t="s">
        <v>952</v>
      </c>
      <c r="C2224" s="193" t="s">
        <v>1310</v>
      </c>
      <c r="D2224" s="20" t="s">
        <v>27</v>
      </c>
      <c r="E2224" s="193">
        <v>99.6</v>
      </c>
      <c r="F2224" s="193">
        <v>92.2</v>
      </c>
      <c r="G2224" s="193">
        <v>96.5</v>
      </c>
    </row>
    <row r="2225" spans="1:7" x14ac:dyDescent="0.3">
      <c r="A2225" s="195" t="s">
        <v>837</v>
      </c>
      <c r="B2225" s="195" t="s">
        <v>952</v>
      </c>
      <c r="C2225" s="193" t="s">
        <v>1311</v>
      </c>
      <c r="D2225" s="20" t="s">
        <v>1312</v>
      </c>
      <c r="E2225" s="193">
        <v>131.1</v>
      </c>
      <c r="F2225" s="193">
        <v>98.5</v>
      </c>
      <c r="G2225" s="193">
        <v>121.6</v>
      </c>
    </row>
    <row r="2226" spans="1:7" x14ac:dyDescent="0.3">
      <c r="A2226" s="195" t="s">
        <v>837</v>
      </c>
      <c r="B2226" s="195" t="s">
        <v>952</v>
      </c>
      <c r="C2226" s="193" t="s">
        <v>1313</v>
      </c>
      <c r="D2226" s="20" t="s">
        <v>1321</v>
      </c>
      <c r="E2226" s="193">
        <v>104.7</v>
      </c>
      <c r="F2226" s="193">
        <v>102.6</v>
      </c>
      <c r="G2226" s="193">
        <v>103.8</v>
      </c>
    </row>
    <row r="2227" spans="1:7" x14ac:dyDescent="0.3">
      <c r="A2227" s="195" t="s">
        <v>837</v>
      </c>
      <c r="B2227" s="195" t="s">
        <v>952</v>
      </c>
      <c r="C2227" s="193" t="s">
        <v>361</v>
      </c>
      <c r="D2227" s="20" t="s">
        <v>1314</v>
      </c>
      <c r="E2227" s="193">
        <v>107.4</v>
      </c>
      <c r="F2227" s="193">
        <v>92.6</v>
      </c>
      <c r="G2227" s="193">
        <v>99.9</v>
      </c>
    </row>
    <row r="2228" spans="1:7" x14ac:dyDescent="0.3">
      <c r="A2228" s="195" t="s">
        <v>837</v>
      </c>
      <c r="B2228" s="195" t="s">
        <v>952</v>
      </c>
      <c r="C2228" s="193" t="s">
        <v>1315</v>
      </c>
      <c r="D2228" s="20" t="s">
        <v>1316</v>
      </c>
      <c r="E2228" s="193">
        <v>131.1</v>
      </c>
      <c r="F2228" s="193">
        <v>88</v>
      </c>
      <c r="G2228" s="193">
        <v>128.69999999999999</v>
      </c>
    </row>
    <row r="2229" spans="1:7" x14ac:dyDescent="0.3">
      <c r="A2229" s="195" t="s">
        <v>837</v>
      </c>
      <c r="B2229" s="195" t="s">
        <v>952</v>
      </c>
      <c r="C2229" s="193" t="s">
        <v>1317</v>
      </c>
      <c r="D2229" s="20" t="s">
        <v>1318</v>
      </c>
      <c r="E2229" s="193">
        <v>113.6</v>
      </c>
      <c r="F2229" s="193">
        <v>103.8</v>
      </c>
      <c r="G2229" s="193">
        <v>106.9</v>
      </c>
    </row>
    <row r="2230" spans="1:7" x14ac:dyDescent="0.3">
      <c r="A2230" s="195" t="s">
        <v>837</v>
      </c>
      <c r="B2230" s="195" t="s">
        <v>952</v>
      </c>
      <c r="C2230" s="196" t="s">
        <v>1319</v>
      </c>
      <c r="D2230" s="203" t="s">
        <v>1320</v>
      </c>
      <c r="E2230" s="193">
        <v>112.5</v>
      </c>
      <c r="F2230" s="193">
        <v>95.3</v>
      </c>
      <c r="G2230" s="193">
        <v>104.9</v>
      </c>
    </row>
    <row r="2231" spans="1:7" x14ac:dyDescent="0.3">
      <c r="A2231" s="195" t="s">
        <v>892</v>
      </c>
      <c r="B2231" s="195" t="s">
        <v>953</v>
      </c>
      <c r="C2231" s="193" t="s">
        <v>1302</v>
      </c>
      <c r="D2231" s="20" t="s">
        <v>1303</v>
      </c>
      <c r="E2231" s="193">
        <v>126.4</v>
      </c>
      <c r="F2231" s="193">
        <v>91.4</v>
      </c>
      <c r="G2231" s="193">
        <v>105.3</v>
      </c>
    </row>
    <row r="2232" spans="1:7" x14ac:dyDescent="0.3">
      <c r="A2232" s="195" t="s">
        <v>892</v>
      </c>
      <c r="B2232" s="195" t="s">
        <v>953</v>
      </c>
      <c r="C2232" s="193" t="s">
        <v>1304</v>
      </c>
      <c r="D2232" s="20" t="s">
        <v>1305</v>
      </c>
      <c r="E2232" s="193">
        <v>113.6</v>
      </c>
      <c r="F2232" s="193">
        <v>86.8</v>
      </c>
      <c r="G2232" s="193">
        <v>102.9</v>
      </c>
    </row>
    <row r="2233" spans="1:7" x14ac:dyDescent="0.3">
      <c r="A2233" s="195" t="s">
        <v>892</v>
      </c>
      <c r="B2233" s="195" t="s">
        <v>953</v>
      </c>
      <c r="C2233" s="193" t="s">
        <v>1306</v>
      </c>
      <c r="D2233" s="20" t="s">
        <v>1307</v>
      </c>
      <c r="E2233" s="193">
        <v>156.80000000000001</v>
      </c>
      <c r="F2233" s="193">
        <v>92.8</v>
      </c>
      <c r="G2233" s="193">
        <v>126.5</v>
      </c>
    </row>
    <row r="2234" spans="1:7" x14ac:dyDescent="0.3">
      <c r="A2234" s="195" t="s">
        <v>892</v>
      </c>
      <c r="B2234" s="195" t="s">
        <v>953</v>
      </c>
      <c r="C2234" s="193" t="s">
        <v>1308</v>
      </c>
      <c r="D2234" s="20" t="s">
        <v>1309</v>
      </c>
      <c r="E2234" s="193">
        <v>120.9</v>
      </c>
      <c r="F2234" s="193">
        <v>83.2</v>
      </c>
      <c r="G2234" s="193">
        <v>106.3</v>
      </c>
    </row>
    <row r="2235" spans="1:7" x14ac:dyDescent="0.3">
      <c r="A2235" s="195" t="s">
        <v>892</v>
      </c>
      <c r="B2235" s="195" t="s">
        <v>953</v>
      </c>
      <c r="C2235" s="193" t="s">
        <v>1310</v>
      </c>
      <c r="D2235" s="20" t="s">
        <v>27</v>
      </c>
      <c r="E2235" s="193">
        <v>101</v>
      </c>
      <c r="F2235" s="193">
        <v>80.2</v>
      </c>
      <c r="G2235" s="193">
        <v>92.3</v>
      </c>
    </row>
    <row r="2236" spans="1:7" x14ac:dyDescent="0.3">
      <c r="A2236" s="195" t="s">
        <v>892</v>
      </c>
      <c r="B2236" s="195" t="s">
        <v>953</v>
      </c>
      <c r="C2236" s="193" t="s">
        <v>1311</v>
      </c>
      <c r="D2236" s="20" t="s">
        <v>1312</v>
      </c>
      <c r="E2236" s="193">
        <v>131.1</v>
      </c>
      <c r="F2236" s="193">
        <v>93.8</v>
      </c>
      <c r="G2236" s="193">
        <v>120.2</v>
      </c>
    </row>
    <row r="2237" spans="1:7" x14ac:dyDescent="0.3">
      <c r="A2237" s="195" t="s">
        <v>892</v>
      </c>
      <c r="B2237" s="195" t="s">
        <v>953</v>
      </c>
      <c r="C2237" s="193" t="s">
        <v>1313</v>
      </c>
      <c r="D2237" s="20" t="s">
        <v>1321</v>
      </c>
      <c r="E2237" s="193">
        <v>103.6</v>
      </c>
      <c r="F2237" s="193">
        <v>93.4</v>
      </c>
      <c r="G2237" s="193">
        <v>99.3</v>
      </c>
    </row>
    <row r="2238" spans="1:7" x14ac:dyDescent="0.3">
      <c r="A2238" s="195" t="s">
        <v>892</v>
      </c>
      <c r="B2238" s="195" t="s">
        <v>953</v>
      </c>
      <c r="C2238" s="193" t="s">
        <v>361</v>
      </c>
      <c r="D2238" s="20" t="s">
        <v>1314</v>
      </c>
      <c r="E2238" s="193">
        <v>109</v>
      </c>
      <c r="F2238" s="193">
        <v>81.3</v>
      </c>
      <c r="G2238" s="193">
        <v>95</v>
      </c>
    </row>
    <row r="2239" spans="1:7" x14ac:dyDescent="0.3">
      <c r="A2239" s="195" t="s">
        <v>892</v>
      </c>
      <c r="B2239" s="195" t="s">
        <v>953</v>
      </c>
      <c r="C2239" s="193" t="s">
        <v>1315</v>
      </c>
      <c r="D2239" s="20" t="s">
        <v>1316</v>
      </c>
      <c r="E2239" s="193">
        <v>131.1</v>
      </c>
      <c r="F2239" s="193">
        <v>79.7</v>
      </c>
      <c r="G2239" s="193">
        <v>128.30000000000001</v>
      </c>
    </row>
    <row r="2240" spans="1:7" x14ac:dyDescent="0.3">
      <c r="A2240" s="195" t="s">
        <v>892</v>
      </c>
      <c r="B2240" s="195" t="s">
        <v>953</v>
      </c>
      <c r="C2240" s="193" t="s">
        <v>1317</v>
      </c>
      <c r="D2240" s="20" t="s">
        <v>1318</v>
      </c>
      <c r="E2240" s="193">
        <v>125.8</v>
      </c>
      <c r="F2240" s="193">
        <v>102.5</v>
      </c>
      <c r="G2240" s="193">
        <v>110</v>
      </c>
    </row>
    <row r="2241" spans="1:7" x14ac:dyDescent="0.3">
      <c r="A2241" s="195" t="s">
        <v>892</v>
      </c>
      <c r="B2241" s="195" t="s">
        <v>953</v>
      </c>
      <c r="C2241" s="196" t="s">
        <v>1319</v>
      </c>
      <c r="D2241" s="203" t="s">
        <v>1320</v>
      </c>
      <c r="E2241" s="193">
        <v>116</v>
      </c>
      <c r="F2241" s="193">
        <v>88.6</v>
      </c>
      <c r="G2241" s="193">
        <v>104</v>
      </c>
    </row>
    <row r="2242" spans="1:7" x14ac:dyDescent="0.3">
      <c r="A2242" s="195" t="s">
        <v>884</v>
      </c>
      <c r="B2242" s="195" t="s">
        <v>954</v>
      </c>
      <c r="C2242" s="193" t="s">
        <v>1302</v>
      </c>
      <c r="D2242" s="20" t="s">
        <v>1303</v>
      </c>
      <c r="E2242" s="193">
        <v>124.2</v>
      </c>
      <c r="F2242" s="193">
        <v>90.6</v>
      </c>
      <c r="G2242" s="193">
        <v>104</v>
      </c>
    </row>
    <row r="2243" spans="1:7" x14ac:dyDescent="0.3">
      <c r="A2243" s="195" t="s">
        <v>884</v>
      </c>
      <c r="B2243" s="195" t="s">
        <v>954</v>
      </c>
      <c r="C2243" s="193" t="s">
        <v>1304</v>
      </c>
      <c r="D2243" s="20" t="s">
        <v>1305</v>
      </c>
      <c r="E2243" s="193">
        <v>113.3</v>
      </c>
      <c r="F2243" s="193">
        <v>87.2</v>
      </c>
      <c r="G2243" s="193">
        <v>102.9</v>
      </c>
    </row>
    <row r="2244" spans="1:7" x14ac:dyDescent="0.3">
      <c r="A2244" s="195" t="s">
        <v>884</v>
      </c>
      <c r="B2244" s="195" t="s">
        <v>954</v>
      </c>
      <c r="C2244" s="193" t="s">
        <v>1306</v>
      </c>
      <c r="D2244" s="20" t="s">
        <v>1307</v>
      </c>
      <c r="E2244" s="193">
        <v>132.80000000000001</v>
      </c>
      <c r="F2244" s="193">
        <v>83.5</v>
      </c>
      <c r="G2244" s="193">
        <v>109.5</v>
      </c>
    </row>
    <row r="2245" spans="1:7" x14ac:dyDescent="0.3">
      <c r="A2245" s="195" t="s">
        <v>884</v>
      </c>
      <c r="B2245" s="195" t="s">
        <v>954</v>
      </c>
      <c r="C2245" s="193" t="s">
        <v>1308</v>
      </c>
      <c r="D2245" s="20" t="s">
        <v>1309</v>
      </c>
      <c r="E2245" s="193">
        <v>110.7</v>
      </c>
      <c r="F2245" s="193">
        <v>88.2</v>
      </c>
      <c r="G2245" s="193">
        <v>102</v>
      </c>
    </row>
    <row r="2246" spans="1:7" x14ac:dyDescent="0.3">
      <c r="A2246" s="195" t="s">
        <v>884</v>
      </c>
      <c r="B2246" s="195" t="s">
        <v>954</v>
      </c>
      <c r="C2246" s="193" t="s">
        <v>1310</v>
      </c>
      <c r="D2246" s="20" t="s">
        <v>27</v>
      </c>
      <c r="E2246" s="193">
        <v>102.8</v>
      </c>
      <c r="F2246" s="193">
        <v>87</v>
      </c>
      <c r="G2246" s="193">
        <v>96.2</v>
      </c>
    </row>
    <row r="2247" spans="1:7" x14ac:dyDescent="0.3">
      <c r="A2247" s="195" t="s">
        <v>884</v>
      </c>
      <c r="B2247" s="195" t="s">
        <v>954</v>
      </c>
      <c r="C2247" s="193" t="s">
        <v>1311</v>
      </c>
      <c r="D2247" s="20" t="s">
        <v>1312</v>
      </c>
      <c r="E2247" s="193">
        <v>131.1</v>
      </c>
      <c r="F2247" s="193">
        <v>82.6</v>
      </c>
      <c r="G2247" s="193">
        <v>116.9</v>
      </c>
    </row>
    <row r="2248" spans="1:7" x14ac:dyDescent="0.3">
      <c r="A2248" s="195" t="s">
        <v>884</v>
      </c>
      <c r="B2248" s="195" t="s">
        <v>954</v>
      </c>
      <c r="C2248" s="193" t="s">
        <v>1313</v>
      </c>
      <c r="D2248" s="20" t="s">
        <v>1321</v>
      </c>
      <c r="E2248" s="193">
        <v>100.3</v>
      </c>
      <c r="F2248" s="193">
        <v>90</v>
      </c>
      <c r="G2248" s="193">
        <v>95.9</v>
      </c>
    </row>
    <row r="2249" spans="1:7" x14ac:dyDescent="0.3">
      <c r="A2249" s="195" t="s">
        <v>884</v>
      </c>
      <c r="B2249" s="195" t="s">
        <v>954</v>
      </c>
      <c r="C2249" s="193" t="s">
        <v>361</v>
      </c>
      <c r="D2249" s="20" t="s">
        <v>1314</v>
      </c>
      <c r="E2249" s="193">
        <v>109.5</v>
      </c>
      <c r="F2249" s="193">
        <v>72.099999999999994</v>
      </c>
      <c r="G2249" s="193">
        <v>90.6</v>
      </c>
    </row>
    <row r="2250" spans="1:7" x14ac:dyDescent="0.3">
      <c r="A2250" s="195" t="s">
        <v>884</v>
      </c>
      <c r="B2250" s="195" t="s">
        <v>954</v>
      </c>
      <c r="C2250" s="193" t="s">
        <v>1315</v>
      </c>
      <c r="D2250" s="20" t="s">
        <v>1316</v>
      </c>
      <c r="E2250" s="193">
        <v>131.1</v>
      </c>
      <c r="F2250" s="193">
        <v>84.3</v>
      </c>
      <c r="G2250" s="193">
        <v>128.5</v>
      </c>
    </row>
    <row r="2251" spans="1:7" x14ac:dyDescent="0.3">
      <c r="A2251" s="195" t="s">
        <v>884</v>
      </c>
      <c r="B2251" s="195" t="s">
        <v>954</v>
      </c>
      <c r="C2251" s="193" t="s">
        <v>1317</v>
      </c>
      <c r="D2251" s="20" t="s">
        <v>1318</v>
      </c>
      <c r="E2251" s="193">
        <v>103.1</v>
      </c>
      <c r="F2251" s="193">
        <v>99</v>
      </c>
      <c r="G2251" s="193">
        <v>100.3</v>
      </c>
    </row>
    <row r="2252" spans="1:7" x14ac:dyDescent="0.3">
      <c r="A2252" s="195" t="s">
        <v>884</v>
      </c>
      <c r="B2252" s="195" t="s">
        <v>954</v>
      </c>
      <c r="C2252" s="196" t="s">
        <v>1319</v>
      </c>
      <c r="D2252" s="203" t="s">
        <v>1320</v>
      </c>
      <c r="E2252" s="193">
        <v>112</v>
      </c>
      <c r="F2252" s="193">
        <v>86.1</v>
      </c>
      <c r="G2252" s="193">
        <v>100.6</v>
      </c>
    </row>
    <row r="2253" spans="1:7" x14ac:dyDescent="0.3">
      <c r="A2253" s="195" t="s">
        <v>884</v>
      </c>
      <c r="B2253" s="195" t="s">
        <v>955</v>
      </c>
      <c r="C2253" s="193" t="s">
        <v>1302</v>
      </c>
      <c r="D2253" s="20" t="s">
        <v>1303</v>
      </c>
      <c r="E2253" s="193">
        <v>123.3</v>
      </c>
      <c r="F2253" s="193">
        <v>90.7</v>
      </c>
      <c r="G2253" s="193">
        <v>103.7</v>
      </c>
    </row>
    <row r="2254" spans="1:7" x14ac:dyDescent="0.3">
      <c r="A2254" s="195" t="s">
        <v>884</v>
      </c>
      <c r="B2254" s="195" t="s">
        <v>955</v>
      </c>
      <c r="C2254" s="193" t="s">
        <v>1304</v>
      </c>
      <c r="D2254" s="20" t="s">
        <v>1305</v>
      </c>
      <c r="E2254" s="193">
        <v>113.1</v>
      </c>
      <c r="F2254" s="193">
        <v>87.3</v>
      </c>
      <c r="G2254" s="193">
        <v>102.8</v>
      </c>
    </row>
    <row r="2255" spans="1:7" x14ac:dyDescent="0.3">
      <c r="A2255" s="195" t="s">
        <v>884</v>
      </c>
      <c r="B2255" s="195" t="s">
        <v>955</v>
      </c>
      <c r="C2255" s="193" t="s">
        <v>1306</v>
      </c>
      <c r="D2255" s="20" t="s">
        <v>1307</v>
      </c>
      <c r="E2255" s="193">
        <v>132.80000000000001</v>
      </c>
      <c r="F2255" s="193">
        <v>85.1</v>
      </c>
      <c r="G2255" s="193">
        <v>110.3</v>
      </c>
    </row>
    <row r="2256" spans="1:7" x14ac:dyDescent="0.3">
      <c r="A2256" s="195" t="s">
        <v>884</v>
      </c>
      <c r="B2256" s="195" t="s">
        <v>955</v>
      </c>
      <c r="C2256" s="193" t="s">
        <v>1308</v>
      </c>
      <c r="D2256" s="20" t="s">
        <v>1309</v>
      </c>
      <c r="E2256" s="193">
        <v>110.5</v>
      </c>
      <c r="F2256" s="193">
        <v>88.2</v>
      </c>
      <c r="G2256" s="193">
        <v>101.8</v>
      </c>
    </row>
    <row r="2257" spans="1:7" x14ac:dyDescent="0.3">
      <c r="A2257" s="195" t="s">
        <v>884</v>
      </c>
      <c r="B2257" s="195" t="s">
        <v>955</v>
      </c>
      <c r="C2257" s="193" t="s">
        <v>1310</v>
      </c>
      <c r="D2257" s="20" t="s">
        <v>27</v>
      </c>
      <c r="E2257" s="193">
        <v>104.6</v>
      </c>
      <c r="F2257" s="193">
        <v>87</v>
      </c>
      <c r="G2257" s="193">
        <v>97.2</v>
      </c>
    </row>
    <row r="2258" spans="1:7" x14ac:dyDescent="0.3">
      <c r="A2258" s="195" t="s">
        <v>884</v>
      </c>
      <c r="B2258" s="195" t="s">
        <v>955</v>
      </c>
      <c r="C2258" s="193" t="s">
        <v>1311</v>
      </c>
      <c r="D2258" s="20" t="s">
        <v>1312</v>
      </c>
      <c r="E2258" s="193">
        <v>131.1</v>
      </c>
      <c r="F2258" s="193">
        <v>82.6</v>
      </c>
      <c r="G2258" s="193">
        <v>116.9</v>
      </c>
    </row>
    <row r="2259" spans="1:7" x14ac:dyDescent="0.3">
      <c r="A2259" s="195" t="s">
        <v>884</v>
      </c>
      <c r="B2259" s="195" t="s">
        <v>955</v>
      </c>
      <c r="C2259" s="193" t="s">
        <v>1313</v>
      </c>
      <c r="D2259" s="20" t="s">
        <v>1321</v>
      </c>
      <c r="E2259" s="193">
        <v>103.6</v>
      </c>
      <c r="F2259" s="193">
        <v>90</v>
      </c>
      <c r="G2259" s="193">
        <v>97.9</v>
      </c>
    </row>
    <row r="2260" spans="1:7" x14ac:dyDescent="0.3">
      <c r="A2260" s="195" t="s">
        <v>884</v>
      </c>
      <c r="B2260" s="195" t="s">
        <v>955</v>
      </c>
      <c r="C2260" s="193" t="s">
        <v>361</v>
      </c>
      <c r="D2260" s="20" t="s">
        <v>1314</v>
      </c>
      <c r="E2260" s="193">
        <v>108.9</v>
      </c>
      <c r="F2260" s="193">
        <v>72.099999999999994</v>
      </c>
      <c r="G2260" s="193">
        <v>90.3</v>
      </c>
    </row>
    <row r="2261" spans="1:7" x14ac:dyDescent="0.3">
      <c r="A2261" s="195" t="s">
        <v>884</v>
      </c>
      <c r="B2261" s="195" t="s">
        <v>955</v>
      </c>
      <c r="C2261" s="193" t="s">
        <v>1315</v>
      </c>
      <c r="D2261" s="20" t="s">
        <v>1316</v>
      </c>
      <c r="E2261" s="193">
        <v>131.1</v>
      </c>
      <c r="F2261" s="193">
        <v>84.3</v>
      </c>
      <c r="G2261" s="193">
        <v>128.5</v>
      </c>
    </row>
    <row r="2262" spans="1:7" x14ac:dyDescent="0.3">
      <c r="A2262" s="195" t="s">
        <v>884</v>
      </c>
      <c r="B2262" s="195" t="s">
        <v>955</v>
      </c>
      <c r="C2262" s="193" t="s">
        <v>1317</v>
      </c>
      <c r="D2262" s="20" t="s">
        <v>1318</v>
      </c>
      <c r="E2262" s="193">
        <v>103.3</v>
      </c>
      <c r="F2262" s="193">
        <v>99</v>
      </c>
      <c r="G2262" s="193">
        <v>100.4</v>
      </c>
    </row>
    <row r="2263" spans="1:7" x14ac:dyDescent="0.3">
      <c r="A2263" s="195" t="s">
        <v>884</v>
      </c>
      <c r="B2263" s="195" t="s">
        <v>955</v>
      </c>
      <c r="C2263" s="196" t="s">
        <v>1319</v>
      </c>
      <c r="D2263" s="203" t="s">
        <v>1320</v>
      </c>
      <c r="E2263" s="193">
        <v>113</v>
      </c>
      <c r="F2263" s="193">
        <v>86.4</v>
      </c>
      <c r="G2263" s="193">
        <v>101.2</v>
      </c>
    </row>
    <row r="2264" spans="1:7" x14ac:dyDescent="0.3">
      <c r="A2264" s="195" t="s">
        <v>909</v>
      </c>
      <c r="B2264" s="195" t="s">
        <v>956</v>
      </c>
      <c r="C2264" s="193" t="s">
        <v>1302</v>
      </c>
      <c r="D2264" s="20" t="s">
        <v>1303</v>
      </c>
      <c r="E2264" s="193">
        <v>120.1</v>
      </c>
      <c r="F2264" s="193">
        <v>73.400000000000006</v>
      </c>
      <c r="G2264" s="193">
        <v>91.9</v>
      </c>
    </row>
    <row r="2265" spans="1:7" x14ac:dyDescent="0.3">
      <c r="A2265" s="195" t="s">
        <v>909</v>
      </c>
      <c r="B2265" s="195" t="s">
        <v>956</v>
      </c>
      <c r="C2265" s="193" t="s">
        <v>1304</v>
      </c>
      <c r="D2265" s="20" t="s">
        <v>1305</v>
      </c>
      <c r="E2265" s="193">
        <v>123</v>
      </c>
      <c r="F2265" s="193">
        <v>70.7</v>
      </c>
      <c r="G2265" s="193">
        <v>102.1</v>
      </c>
    </row>
    <row r="2266" spans="1:7" x14ac:dyDescent="0.3">
      <c r="A2266" s="195" t="s">
        <v>909</v>
      </c>
      <c r="B2266" s="195" t="s">
        <v>956</v>
      </c>
      <c r="C2266" s="193" t="s">
        <v>1306</v>
      </c>
      <c r="D2266" s="20" t="s">
        <v>1307</v>
      </c>
      <c r="E2266" s="193">
        <v>188.7</v>
      </c>
      <c r="F2266" s="193">
        <v>70.7</v>
      </c>
      <c r="G2266" s="193">
        <v>133</v>
      </c>
    </row>
    <row r="2267" spans="1:7" x14ac:dyDescent="0.3">
      <c r="A2267" s="195" t="s">
        <v>909</v>
      </c>
      <c r="B2267" s="195" t="s">
        <v>956</v>
      </c>
      <c r="C2267" s="193" t="s">
        <v>1308</v>
      </c>
      <c r="D2267" s="20" t="s">
        <v>1309</v>
      </c>
      <c r="E2267" s="193">
        <v>143.69999999999999</v>
      </c>
      <c r="F2267" s="193">
        <v>68.400000000000006</v>
      </c>
      <c r="G2267" s="193">
        <v>114.4</v>
      </c>
    </row>
    <row r="2268" spans="1:7" x14ac:dyDescent="0.3">
      <c r="A2268" s="195" t="s">
        <v>909</v>
      </c>
      <c r="B2268" s="195" t="s">
        <v>956</v>
      </c>
      <c r="C2268" s="193" t="s">
        <v>1310</v>
      </c>
      <c r="D2268" s="20" t="s">
        <v>27</v>
      </c>
      <c r="E2268" s="193">
        <v>106.9</v>
      </c>
      <c r="F2268" s="193">
        <v>67.3</v>
      </c>
      <c r="G2268" s="193">
        <v>90.3</v>
      </c>
    </row>
    <row r="2269" spans="1:7" x14ac:dyDescent="0.3">
      <c r="A2269" s="195" t="s">
        <v>909</v>
      </c>
      <c r="B2269" s="195" t="s">
        <v>956</v>
      </c>
      <c r="C2269" s="193" t="s">
        <v>1311</v>
      </c>
      <c r="D2269" s="20" t="s">
        <v>1312</v>
      </c>
      <c r="E2269" s="193">
        <v>131.1</v>
      </c>
      <c r="F2269" s="193">
        <v>64.099999999999994</v>
      </c>
      <c r="G2269" s="193">
        <v>111.5</v>
      </c>
    </row>
    <row r="2270" spans="1:7" x14ac:dyDescent="0.3">
      <c r="A2270" s="195" t="s">
        <v>909</v>
      </c>
      <c r="B2270" s="195" t="s">
        <v>956</v>
      </c>
      <c r="C2270" s="193" t="s">
        <v>1313</v>
      </c>
      <c r="D2270" s="20" t="s">
        <v>1321</v>
      </c>
      <c r="E2270" s="193">
        <v>103.7</v>
      </c>
      <c r="F2270" s="193">
        <v>83.5</v>
      </c>
      <c r="G2270" s="193">
        <v>95.1</v>
      </c>
    </row>
    <row r="2271" spans="1:7" x14ac:dyDescent="0.3">
      <c r="A2271" s="195" t="s">
        <v>909</v>
      </c>
      <c r="B2271" s="195" t="s">
        <v>956</v>
      </c>
      <c r="C2271" s="193" t="s">
        <v>361</v>
      </c>
      <c r="D2271" s="20" t="s">
        <v>1314</v>
      </c>
      <c r="E2271" s="193">
        <v>114.1</v>
      </c>
      <c r="F2271" s="193">
        <v>63.9</v>
      </c>
      <c r="G2271" s="193">
        <v>88.7</v>
      </c>
    </row>
    <row r="2272" spans="1:7" x14ac:dyDescent="0.3">
      <c r="A2272" s="195" t="s">
        <v>909</v>
      </c>
      <c r="B2272" s="195" t="s">
        <v>956</v>
      </c>
      <c r="C2272" s="193" t="s">
        <v>1315</v>
      </c>
      <c r="D2272" s="20" t="s">
        <v>1316</v>
      </c>
      <c r="E2272" s="193">
        <v>131.1</v>
      </c>
      <c r="F2272" s="193">
        <v>68.3</v>
      </c>
      <c r="G2272" s="193">
        <v>127.6</v>
      </c>
    </row>
    <row r="2273" spans="1:7" x14ac:dyDescent="0.3">
      <c r="A2273" s="195" t="s">
        <v>909</v>
      </c>
      <c r="B2273" s="195" t="s">
        <v>956</v>
      </c>
      <c r="C2273" s="193" t="s">
        <v>1317</v>
      </c>
      <c r="D2273" s="20" t="s">
        <v>1318</v>
      </c>
      <c r="E2273" s="193">
        <v>124.3</v>
      </c>
      <c r="F2273" s="193">
        <v>97.4</v>
      </c>
      <c r="G2273" s="193">
        <v>106</v>
      </c>
    </row>
    <row r="2274" spans="1:7" x14ac:dyDescent="0.3">
      <c r="A2274" s="195" t="s">
        <v>909</v>
      </c>
      <c r="B2274" s="195" t="s">
        <v>956</v>
      </c>
      <c r="C2274" s="196" t="s">
        <v>1319</v>
      </c>
      <c r="D2274" s="203" t="s">
        <v>1320</v>
      </c>
      <c r="E2274" s="193">
        <v>123.4</v>
      </c>
      <c r="F2274" s="193">
        <v>73.599999999999994</v>
      </c>
      <c r="G2274" s="193">
        <v>101.4</v>
      </c>
    </row>
    <row r="2275" spans="1:7" x14ac:dyDescent="0.3">
      <c r="A2275" s="195" t="s">
        <v>892</v>
      </c>
      <c r="B2275" s="195" t="s">
        <v>957</v>
      </c>
      <c r="C2275" s="193" t="s">
        <v>1302</v>
      </c>
      <c r="D2275" s="20" t="s">
        <v>1303</v>
      </c>
      <c r="E2275" s="193">
        <v>126.1</v>
      </c>
      <c r="F2275" s="193">
        <v>94.9</v>
      </c>
      <c r="G2275" s="193">
        <v>107.3</v>
      </c>
    </row>
    <row r="2276" spans="1:7" x14ac:dyDescent="0.3">
      <c r="A2276" s="195" t="s">
        <v>892</v>
      </c>
      <c r="B2276" s="195" t="s">
        <v>957</v>
      </c>
      <c r="C2276" s="193" t="s">
        <v>1304</v>
      </c>
      <c r="D2276" s="20" t="s">
        <v>1305</v>
      </c>
      <c r="E2276" s="193">
        <v>129.6</v>
      </c>
      <c r="F2276" s="193">
        <v>91</v>
      </c>
      <c r="G2276" s="193">
        <v>114.2</v>
      </c>
    </row>
    <row r="2277" spans="1:7" x14ac:dyDescent="0.3">
      <c r="A2277" s="195" t="s">
        <v>892</v>
      </c>
      <c r="B2277" s="195" t="s">
        <v>957</v>
      </c>
      <c r="C2277" s="193" t="s">
        <v>1306</v>
      </c>
      <c r="D2277" s="20" t="s">
        <v>1307</v>
      </c>
      <c r="E2277" s="193">
        <v>137.30000000000001</v>
      </c>
      <c r="F2277" s="193">
        <v>92.6</v>
      </c>
      <c r="G2277" s="193">
        <v>116.2</v>
      </c>
    </row>
    <row r="2278" spans="1:7" x14ac:dyDescent="0.3">
      <c r="A2278" s="195" t="s">
        <v>892</v>
      </c>
      <c r="B2278" s="195" t="s">
        <v>957</v>
      </c>
      <c r="C2278" s="193" t="s">
        <v>1308</v>
      </c>
      <c r="D2278" s="20" t="s">
        <v>1309</v>
      </c>
      <c r="E2278" s="193">
        <v>127.8</v>
      </c>
      <c r="F2278" s="193">
        <v>85.7</v>
      </c>
      <c r="G2278" s="193">
        <v>111.5</v>
      </c>
    </row>
    <row r="2279" spans="1:7" x14ac:dyDescent="0.3">
      <c r="A2279" s="195" t="s">
        <v>892</v>
      </c>
      <c r="B2279" s="195" t="s">
        <v>957</v>
      </c>
      <c r="C2279" s="193" t="s">
        <v>1310</v>
      </c>
      <c r="D2279" s="20" t="s">
        <v>27</v>
      </c>
      <c r="E2279" s="193">
        <v>104.6</v>
      </c>
      <c r="F2279" s="193">
        <v>89.6</v>
      </c>
      <c r="G2279" s="193">
        <v>98.3</v>
      </c>
    </row>
    <row r="2280" spans="1:7" x14ac:dyDescent="0.3">
      <c r="A2280" s="195" t="s">
        <v>892</v>
      </c>
      <c r="B2280" s="195" t="s">
        <v>957</v>
      </c>
      <c r="C2280" s="193" t="s">
        <v>1311</v>
      </c>
      <c r="D2280" s="20" t="s">
        <v>1312</v>
      </c>
      <c r="E2280" s="193">
        <v>131.1</v>
      </c>
      <c r="F2280" s="193">
        <v>95.4</v>
      </c>
      <c r="G2280" s="193">
        <v>120.7</v>
      </c>
    </row>
    <row r="2281" spans="1:7" x14ac:dyDescent="0.3">
      <c r="A2281" s="195" t="s">
        <v>892</v>
      </c>
      <c r="B2281" s="195" t="s">
        <v>957</v>
      </c>
      <c r="C2281" s="193" t="s">
        <v>1313</v>
      </c>
      <c r="D2281" s="20" t="s">
        <v>1321</v>
      </c>
      <c r="E2281" s="193">
        <v>105.5</v>
      </c>
      <c r="F2281" s="193">
        <v>82</v>
      </c>
      <c r="G2281" s="193">
        <v>95.6</v>
      </c>
    </row>
    <row r="2282" spans="1:7" x14ac:dyDescent="0.3">
      <c r="A2282" s="195" t="s">
        <v>892</v>
      </c>
      <c r="B2282" s="195" t="s">
        <v>957</v>
      </c>
      <c r="C2282" s="193" t="s">
        <v>361</v>
      </c>
      <c r="D2282" s="20" t="s">
        <v>1314</v>
      </c>
      <c r="E2282" s="193">
        <v>103.8</v>
      </c>
      <c r="F2282" s="193">
        <v>82.6</v>
      </c>
      <c r="G2282" s="193">
        <v>93.1</v>
      </c>
    </row>
    <row r="2283" spans="1:7" x14ac:dyDescent="0.3">
      <c r="A2283" s="195" t="s">
        <v>892</v>
      </c>
      <c r="B2283" s="195" t="s">
        <v>957</v>
      </c>
      <c r="C2283" s="193" t="s">
        <v>1315</v>
      </c>
      <c r="D2283" s="20" t="s">
        <v>1316</v>
      </c>
      <c r="E2283" s="193">
        <v>131.1</v>
      </c>
      <c r="F2283" s="193">
        <v>87.8</v>
      </c>
      <c r="G2283" s="193">
        <v>128.69999999999999</v>
      </c>
    </row>
    <row r="2284" spans="1:7" x14ac:dyDescent="0.3">
      <c r="A2284" s="195" t="s">
        <v>892</v>
      </c>
      <c r="B2284" s="195" t="s">
        <v>957</v>
      </c>
      <c r="C2284" s="193" t="s">
        <v>1317</v>
      </c>
      <c r="D2284" s="20" t="s">
        <v>1318</v>
      </c>
      <c r="E2284" s="193">
        <v>116.5</v>
      </c>
      <c r="F2284" s="193">
        <v>107.2</v>
      </c>
      <c r="G2284" s="193">
        <v>110.1</v>
      </c>
    </row>
    <row r="2285" spans="1:7" x14ac:dyDescent="0.3">
      <c r="A2285" s="195" t="s">
        <v>892</v>
      </c>
      <c r="B2285" s="195" t="s">
        <v>957</v>
      </c>
      <c r="C2285" s="196" t="s">
        <v>1319</v>
      </c>
      <c r="D2285" s="203" t="s">
        <v>1320</v>
      </c>
      <c r="E2285" s="193">
        <v>117.7</v>
      </c>
      <c r="F2285" s="193">
        <v>89.2</v>
      </c>
      <c r="G2285" s="193">
        <v>105.1</v>
      </c>
    </row>
    <row r="2286" spans="1:7" x14ac:dyDescent="0.3">
      <c r="A2286" s="195" t="s">
        <v>958</v>
      </c>
      <c r="B2286" s="195" t="s">
        <v>959</v>
      </c>
      <c r="C2286" s="193" t="s">
        <v>1302</v>
      </c>
      <c r="D2286" s="20" t="s">
        <v>1303</v>
      </c>
      <c r="E2286" s="193">
        <v>174.9</v>
      </c>
      <c r="F2286" s="193">
        <v>83.5</v>
      </c>
      <c r="G2286" s="193">
        <v>119.8</v>
      </c>
    </row>
    <row r="2287" spans="1:7" x14ac:dyDescent="0.3">
      <c r="A2287" s="195" t="s">
        <v>958</v>
      </c>
      <c r="B2287" s="195" t="s">
        <v>959</v>
      </c>
      <c r="C2287" s="193" t="s">
        <v>1304</v>
      </c>
      <c r="D2287" s="20" t="s">
        <v>1305</v>
      </c>
      <c r="E2287" s="193">
        <v>145.80000000000001</v>
      </c>
      <c r="F2287" s="193">
        <v>78.5</v>
      </c>
      <c r="G2287" s="193">
        <v>118.9</v>
      </c>
    </row>
    <row r="2288" spans="1:7" x14ac:dyDescent="0.3">
      <c r="A2288" s="195" t="s">
        <v>958</v>
      </c>
      <c r="B2288" s="195" t="s">
        <v>959</v>
      </c>
      <c r="C2288" s="193" t="s">
        <v>1306</v>
      </c>
      <c r="D2288" s="20" t="s">
        <v>1307</v>
      </c>
      <c r="E2288" s="193">
        <v>199.3</v>
      </c>
      <c r="F2288" s="193">
        <v>72.8</v>
      </c>
      <c r="G2288" s="193">
        <v>139.5</v>
      </c>
    </row>
    <row r="2289" spans="1:7" x14ac:dyDescent="0.3">
      <c r="A2289" s="195" t="s">
        <v>958</v>
      </c>
      <c r="B2289" s="195" t="s">
        <v>959</v>
      </c>
      <c r="C2289" s="193" t="s">
        <v>1308</v>
      </c>
      <c r="D2289" s="20" t="s">
        <v>1309</v>
      </c>
      <c r="E2289" s="193">
        <v>156.30000000000001</v>
      </c>
      <c r="F2289" s="193">
        <v>76.7</v>
      </c>
      <c r="G2289" s="193">
        <v>125.4</v>
      </c>
    </row>
    <row r="2290" spans="1:7" x14ac:dyDescent="0.3">
      <c r="A2290" s="195" t="s">
        <v>958</v>
      </c>
      <c r="B2290" s="195" t="s">
        <v>959</v>
      </c>
      <c r="C2290" s="193" t="s">
        <v>1310</v>
      </c>
      <c r="D2290" s="20" t="s">
        <v>27</v>
      </c>
      <c r="E2290" s="193">
        <v>121.1</v>
      </c>
      <c r="F2290" s="193">
        <v>78.2</v>
      </c>
      <c r="G2290" s="193">
        <v>103.1</v>
      </c>
    </row>
    <row r="2291" spans="1:7" x14ac:dyDescent="0.3">
      <c r="A2291" s="195" t="s">
        <v>958</v>
      </c>
      <c r="B2291" s="195" t="s">
        <v>959</v>
      </c>
      <c r="C2291" s="193" t="s">
        <v>1311</v>
      </c>
      <c r="D2291" s="20" t="s">
        <v>1312</v>
      </c>
      <c r="E2291" s="193">
        <v>131.1</v>
      </c>
      <c r="F2291" s="193">
        <v>63.3</v>
      </c>
      <c r="G2291" s="193">
        <v>111.3</v>
      </c>
    </row>
    <row r="2292" spans="1:7" x14ac:dyDescent="0.3">
      <c r="A2292" s="195" t="s">
        <v>958</v>
      </c>
      <c r="B2292" s="195" t="s">
        <v>959</v>
      </c>
      <c r="C2292" s="193" t="s">
        <v>1313</v>
      </c>
      <c r="D2292" s="20" t="s">
        <v>1321</v>
      </c>
      <c r="E2292" s="193">
        <v>104.3</v>
      </c>
      <c r="F2292" s="193">
        <v>92.9</v>
      </c>
      <c r="G2292" s="193">
        <v>99.5</v>
      </c>
    </row>
    <row r="2293" spans="1:7" x14ac:dyDescent="0.3">
      <c r="A2293" s="195" t="s">
        <v>958</v>
      </c>
      <c r="B2293" s="195" t="s">
        <v>959</v>
      </c>
      <c r="C2293" s="193" t="s">
        <v>361</v>
      </c>
      <c r="D2293" s="20" t="s">
        <v>1314</v>
      </c>
      <c r="E2293" s="193">
        <v>126.9</v>
      </c>
      <c r="F2293" s="193">
        <v>84.6</v>
      </c>
      <c r="G2293" s="193">
        <v>105.5</v>
      </c>
    </row>
    <row r="2294" spans="1:7" x14ac:dyDescent="0.3">
      <c r="A2294" s="195" t="s">
        <v>958</v>
      </c>
      <c r="B2294" s="195" t="s">
        <v>959</v>
      </c>
      <c r="C2294" s="193" t="s">
        <v>1315</v>
      </c>
      <c r="D2294" s="20" t="s">
        <v>1316</v>
      </c>
      <c r="E2294" s="193">
        <v>131.1</v>
      </c>
      <c r="F2294" s="193">
        <v>79.5</v>
      </c>
      <c r="G2294" s="193">
        <v>128.19999999999999</v>
      </c>
    </row>
    <row r="2295" spans="1:7" x14ac:dyDescent="0.3">
      <c r="A2295" s="195" t="s">
        <v>958</v>
      </c>
      <c r="B2295" s="195" t="s">
        <v>959</v>
      </c>
      <c r="C2295" s="193" t="s">
        <v>1317</v>
      </c>
      <c r="D2295" s="20" t="s">
        <v>1318</v>
      </c>
      <c r="E2295" s="193">
        <v>165.5</v>
      </c>
      <c r="F2295" s="193">
        <v>100.2</v>
      </c>
      <c r="G2295" s="193">
        <v>121</v>
      </c>
    </row>
    <row r="2296" spans="1:7" x14ac:dyDescent="0.3">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09375" defaultRowHeight="14.4" x14ac:dyDescent="0.3"/>
  <cols>
    <col min="1" max="1" width="24.88671875" style="166" bestFit="1" customWidth="1"/>
    <col min="2" max="2" width="31.33203125" style="90" customWidth="1"/>
    <col min="3" max="3" width="82.109375" style="90" customWidth="1"/>
    <col min="4" max="4" width="16" style="90" customWidth="1"/>
    <col min="5" max="5" width="11.6640625" style="90" bestFit="1" customWidth="1"/>
    <col min="6" max="6" width="25.33203125" style="90" customWidth="1"/>
    <col min="7" max="7" width="39" style="90" customWidth="1"/>
    <col min="8" max="8" width="33" style="90" customWidth="1"/>
    <col min="9" max="9" width="25.5546875" style="90" customWidth="1"/>
    <col min="10" max="10" width="17.5546875" style="90" customWidth="1"/>
    <col min="11" max="11" width="18" style="90" customWidth="1"/>
    <col min="12" max="12" width="19.44140625" style="90" customWidth="1"/>
    <col min="13" max="13" width="31.109375" style="90" customWidth="1"/>
    <col min="14" max="14" width="44.44140625" style="90" customWidth="1"/>
    <col min="15" max="15" width="31.33203125" style="90" customWidth="1"/>
    <col min="16" max="16" width="35.6640625" style="90" customWidth="1"/>
    <col min="17" max="17" width="44.88671875" style="90" customWidth="1"/>
    <col min="18" max="18" width="34.44140625" style="90" customWidth="1"/>
    <col min="19" max="19" width="47.88671875" style="90" customWidth="1"/>
    <col min="20" max="20" width="32.5546875" style="90" customWidth="1"/>
    <col min="21" max="21" width="42.109375" style="90" customWidth="1"/>
    <col min="22" max="22" width="22.5546875" style="90" customWidth="1"/>
    <col min="23" max="23" width="34.109375" style="90" customWidth="1"/>
    <col min="24" max="25" width="22.5546875" style="90" customWidth="1"/>
    <col min="26" max="26" width="19.33203125" style="90" customWidth="1"/>
    <col min="27" max="27" width="13.6640625" style="90" customWidth="1"/>
    <col min="28" max="28" width="15.88671875" style="90" customWidth="1"/>
    <col min="29" max="29" width="11.88671875" style="90" customWidth="1"/>
    <col min="30" max="30" width="22.88671875" style="90" customWidth="1"/>
    <col min="31" max="31" width="25.109375" style="90" customWidth="1"/>
    <col min="32" max="32" width="28.6640625" style="90" customWidth="1"/>
    <col min="33" max="33" width="21.5546875" style="90" customWidth="1"/>
    <col min="34" max="34" width="19.6640625" style="90" customWidth="1"/>
    <col min="35" max="35" width="25.6640625" style="90" customWidth="1"/>
    <col min="36" max="36" width="27.6640625" style="90" customWidth="1"/>
    <col min="37" max="37" width="11.5546875" style="90" customWidth="1"/>
    <col min="38" max="38" width="13.5546875" style="90" customWidth="1"/>
    <col min="39" max="39" width="12.44140625" style="90" customWidth="1"/>
    <col min="40" max="16384" width="9.109375" style="90"/>
  </cols>
  <sheetData>
    <row r="1" spans="1:39" s="158" customFormat="1" ht="43.2" x14ac:dyDescent="0.3">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x14ac:dyDescent="0.3">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x14ac:dyDescent="0.3">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x14ac:dyDescent="0.3">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x14ac:dyDescent="0.3">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x14ac:dyDescent="0.3">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x14ac:dyDescent="0.3">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x14ac:dyDescent="0.3">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x14ac:dyDescent="0.3">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x14ac:dyDescent="0.3">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x14ac:dyDescent="0.3">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x14ac:dyDescent="0.3">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x14ac:dyDescent="0.3">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x14ac:dyDescent="0.3">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x14ac:dyDescent="0.3">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x14ac:dyDescent="0.3">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x14ac:dyDescent="0.3">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x14ac:dyDescent="0.3">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x14ac:dyDescent="0.3">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x14ac:dyDescent="0.3">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x14ac:dyDescent="0.3">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x14ac:dyDescent="0.3">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x14ac:dyDescent="0.3">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x14ac:dyDescent="0.3">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x14ac:dyDescent="0.3">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x14ac:dyDescent="0.3">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x14ac:dyDescent="0.3">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x14ac:dyDescent="0.3">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x14ac:dyDescent="0.3">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x14ac:dyDescent="0.3">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x14ac:dyDescent="0.3">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x14ac:dyDescent="0.3">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x14ac:dyDescent="0.3">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x14ac:dyDescent="0.3">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x14ac:dyDescent="0.3">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x14ac:dyDescent="0.3">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x14ac:dyDescent="0.3">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x14ac:dyDescent="0.3">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x14ac:dyDescent="0.3">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x14ac:dyDescent="0.3">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x14ac:dyDescent="0.3">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x14ac:dyDescent="0.3">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x14ac:dyDescent="0.3">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x14ac:dyDescent="0.3">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x14ac:dyDescent="0.3">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x14ac:dyDescent="0.3">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x14ac:dyDescent="0.3">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x14ac:dyDescent="0.3">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x14ac:dyDescent="0.3">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x14ac:dyDescent="0.3">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x14ac:dyDescent="0.3">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x14ac:dyDescent="0.3">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x14ac:dyDescent="0.3">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x14ac:dyDescent="0.3">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x14ac:dyDescent="0.3">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x14ac:dyDescent="0.3">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x14ac:dyDescent="0.3">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x14ac:dyDescent="0.3">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x14ac:dyDescent="0.3">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x14ac:dyDescent="0.3">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x14ac:dyDescent="0.3">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x14ac:dyDescent="0.3">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x14ac:dyDescent="0.3">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x14ac:dyDescent="0.3">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x14ac:dyDescent="0.3">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x14ac:dyDescent="0.3">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x14ac:dyDescent="0.3">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x14ac:dyDescent="0.3">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x14ac:dyDescent="0.3">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x14ac:dyDescent="0.3">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x14ac:dyDescent="0.3">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x14ac:dyDescent="0.3">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x14ac:dyDescent="0.3">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x14ac:dyDescent="0.3">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x14ac:dyDescent="0.3">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x14ac:dyDescent="0.3">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x14ac:dyDescent="0.3">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x14ac:dyDescent="0.3">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x14ac:dyDescent="0.3">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x14ac:dyDescent="0.3">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x14ac:dyDescent="0.3">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x14ac:dyDescent="0.3">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x14ac:dyDescent="0.3">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x14ac:dyDescent="0.3">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x14ac:dyDescent="0.3">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x14ac:dyDescent="0.3">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x14ac:dyDescent="0.3">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x14ac:dyDescent="0.3">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x14ac:dyDescent="0.3">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x14ac:dyDescent="0.3">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x14ac:dyDescent="0.3">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x14ac:dyDescent="0.3">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x14ac:dyDescent="0.3">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x14ac:dyDescent="0.3">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x14ac:dyDescent="0.3">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x14ac:dyDescent="0.3">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x14ac:dyDescent="0.3">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x14ac:dyDescent="0.3">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x14ac:dyDescent="0.3">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x14ac:dyDescent="0.3">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x14ac:dyDescent="0.3">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x14ac:dyDescent="0.3">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x14ac:dyDescent="0.3">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x14ac:dyDescent="0.3">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x14ac:dyDescent="0.3">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x14ac:dyDescent="0.3">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x14ac:dyDescent="0.3">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x14ac:dyDescent="0.3">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x14ac:dyDescent="0.3">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x14ac:dyDescent="0.3">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x14ac:dyDescent="0.3">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x14ac:dyDescent="0.3">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x14ac:dyDescent="0.3">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x14ac:dyDescent="0.3">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x14ac:dyDescent="0.3">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x14ac:dyDescent="0.3">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x14ac:dyDescent="0.3">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x14ac:dyDescent="0.3">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x14ac:dyDescent="0.3">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x14ac:dyDescent="0.3">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x14ac:dyDescent="0.3">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x14ac:dyDescent="0.3">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x14ac:dyDescent="0.3">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x14ac:dyDescent="0.3">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x14ac:dyDescent="0.3">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x14ac:dyDescent="0.3">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x14ac:dyDescent="0.3">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x14ac:dyDescent="0.3">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x14ac:dyDescent="0.3">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x14ac:dyDescent="0.3">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x14ac:dyDescent="0.3">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x14ac:dyDescent="0.3">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x14ac:dyDescent="0.3">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x14ac:dyDescent="0.3">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x14ac:dyDescent="0.3">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x14ac:dyDescent="0.3">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x14ac:dyDescent="0.3">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x14ac:dyDescent="0.3">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x14ac:dyDescent="0.3">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x14ac:dyDescent="0.3">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x14ac:dyDescent="0.3">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x14ac:dyDescent="0.3">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x14ac:dyDescent="0.3">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x14ac:dyDescent="0.3">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x14ac:dyDescent="0.3">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x14ac:dyDescent="0.3">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x14ac:dyDescent="0.3">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x14ac:dyDescent="0.3">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x14ac:dyDescent="0.3">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x14ac:dyDescent="0.3">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x14ac:dyDescent="0.3">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x14ac:dyDescent="0.3">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x14ac:dyDescent="0.3">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x14ac:dyDescent="0.3">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x14ac:dyDescent="0.3">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x14ac:dyDescent="0.3">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x14ac:dyDescent="0.3">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x14ac:dyDescent="0.3">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x14ac:dyDescent="0.3">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x14ac:dyDescent="0.3">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x14ac:dyDescent="0.3">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x14ac:dyDescent="0.3">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x14ac:dyDescent="0.3">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x14ac:dyDescent="0.3">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x14ac:dyDescent="0.3">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x14ac:dyDescent="0.3">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x14ac:dyDescent="0.3">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x14ac:dyDescent="0.3">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x14ac:dyDescent="0.3">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x14ac:dyDescent="0.3">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x14ac:dyDescent="0.3">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x14ac:dyDescent="0.3">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x14ac:dyDescent="0.3">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x14ac:dyDescent="0.3">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x14ac:dyDescent="0.3">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x14ac:dyDescent="0.3">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x14ac:dyDescent="0.3">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x14ac:dyDescent="0.3">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x14ac:dyDescent="0.3">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x14ac:dyDescent="0.3">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x14ac:dyDescent="0.3">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x14ac:dyDescent="0.3">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x14ac:dyDescent="0.3">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x14ac:dyDescent="0.3">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x14ac:dyDescent="0.3">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x14ac:dyDescent="0.3">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x14ac:dyDescent="0.3">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x14ac:dyDescent="0.3">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x14ac:dyDescent="0.3">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x14ac:dyDescent="0.3">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x14ac:dyDescent="0.3">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x14ac:dyDescent="0.3">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x14ac:dyDescent="0.3">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x14ac:dyDescent="0.3">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x14ac:dyDescent="0.3">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x14ac:dyDescent="0.3">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x14ac:dyDescent="0.3">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x14ac:dyDescent="0.3">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x14ac:dyDescent="0.3">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x14ac:dyDescent="0.3">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x14ac:dyDescent="0.3">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x14ac:dyDescent="0.3">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x14ac:dyDescent="0.3">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x14ac:dyDescent="0.3">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x14ac:dyDescent="0.3">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x14ac:dyDescent="0.3">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x14ac:dyDescent="0.3">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x14ac:dyDescent="0.3">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x14ac:dyDescent="0.3">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x14ac:dyDescent="0.3">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x14ac:dyDescent="0.3">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x14ac:dyDescent="0.3">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x14ac:dyDescent="0.3">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x14ac:dyDescent="0.3">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x14ac:dyDescent="0.3">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x14ac:dyDescent="0.3">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x14ac:dyDescent="0.3">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x14ac:dyDescent="0.3">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x14ac:dyDescent="0.3">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x14ac:dyDescent="0.3">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x14ac:dyDescent="0.3">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x14ac:dyDescent="0.3">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x14ac:dyDescent="0.3">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x14ac:dyDescent="0.3">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x14ac:dyDescent="0.3">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x14ac:dyDescent="0.3">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x14ac:dyDescent="0.3">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x14ac:dyDescent="0.3">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x14ac:dyDescent="0.3">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x14ac:dyDescent="0.3">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x14ac:dyDescent="0.3">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x14ac:dyDescent="0.3">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x14ac:dyDescent="0.3">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x14ac:dyDescent="0.3">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x14ac:dyDescent="0.3">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x14ac:dyDescent="0.3">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x14ac:dyDescent="0.3">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x14ac:dyDescent="0.3">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x14ac:dyDescent="0.3">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x14ac:dyDescent="0.3">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x14ac:dyDescent="0.3">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x14ac:dyDescent="0.3">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x14ac:dyDescent="0.3">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x14ac:dyDescent="0.3">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x14ac:dyDescent="0.3">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x14ac:dyDescent="0.3">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x14ac:dyDescent="0.3">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x14ac:dyDescent="0.3">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x14ac:dyDescent="0.3">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x14ac:dyDescent="0.3">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x14ac:dyDescent="0.3">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x14ac:dyDescent="0.3">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x14ac:dyDescent="0.3">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x14ac:dyDescent="0.3">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x14ac:dyDescent="0.3">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x14ac:dyDescent="0.3">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x14ac:dyDescent="0.3">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x14ac:dyDescent="0.3">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x14ac:dyDescent="0.3">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x14ac:dyDescent="0.3">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x14ac:dyDescent="0.3">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x14ac:dyDescent="0.3">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x14ac:dyDescent="0.3">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x14ac:dyDescent="0.3">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x14ac:dyDescent="0.3">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x14ac:dyDescent="0.3">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x14ac:dyDescent="0.3">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x14ac:dyDescent="0.3">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x14ac:dyDescent="0.3">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x14ac:dyDescent="0.3">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x14ac:dyDescent="0.3">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x14ac:dyDescent="0.3">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x14ac:dyDescent="0.3">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x14ac:dyDescent="0.3">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x14ac:dyDescent="0.3">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x14ac:dyDescent="0.3">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x14ac:dyDescent="0.3">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x14ac:dyDescent="0.3">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x14ac:dyDescent="0.3">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x14ac:dyDescent="0.3">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x14ac:dyDescent="0.3">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x14ac:dyDescent="0.3">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x14ac:dyDescent="0.3">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x14ac:dyDescent="0.3">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x14ac:dyDescent="0.3">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x14ac:dyDescent="0.3">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x14ac:dyDescent="0.3">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x14ac:dyDescent="0.3">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x14ac:dyDescent="0.3">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x14ac:dyDescent="0.3">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x14ac:dyDescent="0.3">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x14ac:dyDescent="0.3">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x14ac:dyDescent="0.3">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x14ac:dyDescent="0.3">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x14ac:dyDescent="0.3">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x14ac:dyDescent="0.3">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x14ac:dyDescent="0.3">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x14ac:dyDescent="0.3">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x14ac:dyDescent="0.3">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x14ac:dyDescent="0.3">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x14ac:dyDescent="0.3">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x14ac:dyDescent="0.3">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x14ac:dyDescent="0.3">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x14ac:dyDescent="0.3">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x14ac:dyDescent="0.3">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x14ac:dyDescent="0.3">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x14ac:dyDescent="0.3">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x14ac:dyDescent="0.3">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x14ac:dyDescent="0.3">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x14ac:dyDescent="0.3">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x14ac:dyDescent="0.3">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x14ac:dyDescent="0.3">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x14ac:dyDescent="0.3">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x14ac:dyDescent="0.3">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x14ac:dyDescent="0.3">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x14ac:dyDescent="0.3">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x14ac:dyDescent="0.3">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x14ac:dyDescent="0.3">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x14ac:dyDescent="0.3">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x14ac:dyDescent="0.3">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x14ac:dyDescent="0.3">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x14ac:dyDescent="0.3">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x14ac:dyDescent="0.3">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x14ac:dyDescent="0.3">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x14ac:dyDescent="0.3">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x14ac:dyDescent="0.3">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x14ac:dyDescent="0.3">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x14ac:dyDescent="0.3">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x14ac:dyDescent="0.3">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x14ac:dyDescent="0.3">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x14ac:dyDescent="0.3">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x14ac:dyDescent="0.3">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x14ac:dyDescent="0.3">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x14ac:dyDescent="0.3">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x14ac:dyDescent="0.3">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x14ac:dyDescent="0.3">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x14ac:dyDescent="0.3">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x14ac:dyDescent="0.3">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x14ac:dyDescent="0.3">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x14ac:dyDescent="0.3">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x14ac:dyDescent="0.3">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x14ac:dyDescent="0.3">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x14ac:dyDescent="0.3">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x14ac:dyDescent="0.3">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x14ac:dyDescent="0.3">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x14ac:dyDescent="0.3">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x14ac:dyDescent="0.3">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x14ac:dyDescent="0.3">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x14ac:dyDescent="0.3">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x14ac:dyDescent="0.3">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x14ac:dyDescent="0.3">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x14ac:dyDescent="0.3">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x14ac:dyDescent="0.3">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x14ac:dyDescent="0.3">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x14ac:dyDescent="0.3">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x14ac:dyDescent="0.3">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x14ac:dyDescent="0.3">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x14ac:dyDescent="0.3">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x14ac:dyDescent="0.3">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x14ac:dyDescent="0.3">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x14ac:dyDescent="0.3">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x14ac:dyDescent="0.3">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x14ac:dyDescent="0.3">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x14ac:dyDescent="0.3">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x14ac:dyDescent="0.3">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x14ac:dyDescent="0.3">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2" customHeight="1" x14ac:dyDescent="0.3">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2" customHeight="1" x14ac:dyDescent="0.3">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x14ac:dyDescent="0.3">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x14ac:dyDescent="0.3">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x14ac:dyDescent="0.3">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x14ac:dyDescent="0.3">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x14ac:dyDescent="0.3">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x14ac:dyDescent="0.3">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x14ac:dyDescent="0.3">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x14ac:dyDescent="0.3">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x14ac:dyDescent="0.3">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x14ac:dyDescent="0.3">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x14ac:dyDescent="0.3">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x14ac:dyDescent="0.3">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x14ac:dyDescent="0.3">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x14ac:dyDescent="0.3">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x14ac:dyDescent="0.3">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x14ac:dyDescent="0.3">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x14ac:dyDescent="0.3">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x14ac:dyDescent="0.3">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x14ac:dyDescent="0.3">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x14ac:dyDescent="0.3">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x14ac:dyDescent="0.3">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x14ac:dyDescent="0.3">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x14ac:dyDescent="0.3">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x14ac:dyDescent="0.3">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 customHeight="1" x14ac:dyDescent="0.3">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 customHeight="1" x14ac:dyDescent="0.3">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 customHeight="1" x14ac:dyDescent="0.3">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 customHeight="1" x14ac:dyDescent="0.3">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 customHeight="1" x14ac:dyDescent="0.3">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 customHeight="1" x14ac:dyDescent="0.3">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 customHeight="1" x14ac:dyDescent="0.3">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 customHeight="1" x14ac:dyDescent="0.3">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 customHeight="1" x14ac:dyDescent="0.3">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 customHeight="1" x14ac:dyDescent="0.3">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 customHeight="1" x14ac:dyDescent="0.3">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 customHeight="1" x14ac:dyDescent="0.3">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 customHeight="1" x14ac:dyDescent="0.3">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 customHeight="1" x14ac:dyDescent="0.3">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 customHeight="1" x14ac:dyDescent="0.3">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x14ac:dyDescent="0.3">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x14ac:dyDescent="0.3">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x14ac:dyDescent="0.3">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x14ac:dyDescent="0.3">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x14ac:dyDescent="0.3">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x14ac:dyDescent="0.3">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x14ac:dyDescent="0.3">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x14ac:dyDescent="0.3">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x14ac:dyDescent="0.3">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x14ac:dyDescent="0.3">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x14ac:dyDescent="0.3">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x14ac:dyDescent="0.3">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x14ac:dyDescent="0.3">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x14ac:dyDescent="0.3">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x14ac:dyDescent="0.3">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x14ac:dyDescent="0.3">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x14ac:dyDescent="0.3">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x14ac:dyDescent="0.3">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x14ac:dyDescent="0.3">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x14ac:dyDescent="0.3">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x14ac:dyDescent="0.3">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x14ac:dyDescent="0.3">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x14ac:dyDescent="0.3">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x14ac:dyDescent="0.3">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x14ac:dyDescent="0.3">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x14ac:dyDescent="0.3">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x14ac:dyDescent="0.3">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x14ac:dyDescent="0.3">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x14ac:dyDescent="0.3">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x14ac:dyDescent="0.3">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x14ac:dyDescent="0.3">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x14ac:dyDescent="0.3">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x14ac:dyDescent="0.3">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x14ac:dyDescent="0.3">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x14ac:dyDescent="0.3">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x14ac:dyDescent="0.3">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x14ac:dyDescent="0.3">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x14ac:dyDescent="0.3">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x14ac:dyDescent="0.3">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x14ac:dyDescent="0.3">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x14ac:dyDescent="0.3">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x14ac:dyDescent="0.3">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x14ac:dyDescent="0.3">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x14ac:dyDescent="0.3">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x14ac:dyDescent="0.3">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x14ac:dyDescent="0.3">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x14ac:dyDescent="0.3">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x14ac:dyDescent="0.3">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x14ac:dyDescent="0.3">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x14ac:dyDescent="0.3">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x14ac:dyDescent="0.3">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x14ac:dyDescent="0.3">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x14ac:dyDescent="0.3">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x14ac:dyDescent="0.3">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x14ac:dyDescent="0.3">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x14ac:dyDescent="0.3">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x14ac:dyDescent="0.3">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x14ac:dyDescent="0.3">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x14ac:dyDescent="0.3">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x14ac:dyDescent="0.3">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x14ac:dyDescent="0.3">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x14ac:dyDescent="0.3">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x14ac:dyDescent="0.3">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x14ac:dyDescent="0.3">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x14ac:dyDescent="0.3">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x14ac:dyDescent="0.3">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x14ac:dyDescent="0.3">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x14ac:dyDescent="0.3">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x14ac:dyDescent="0.3">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x14ac:dyDescent="0.3">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x14ac:dyDescent="0.3">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x14ac:dyDescent="0.3">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x14ac:dyDescent="0.3">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x14ac:dyDescent="0.3">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x14ac:dyDescent="0.3">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x14ac:dyDescent="0.3">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x14ac:dyDescent="0.3">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x14ac:dyDescent="0.3">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x14ac:dyDescent="0.3">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x14ac:dyDescent="0.3">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x14ac:dyDescent="0.3">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x14ac:dyDescent="0.3">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x14ac:dyDescent="0.3">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x14ac:dyDescent="0.3">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x14ac:dyDescent="0.3">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x14ac:dyDescent="0.3">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x14ac:dyDescent="0.3">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x14ac:dyDescent="0.3">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x14ac:dyDescent="0.3">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x14ac:dyDescent="0.3">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x14ac:dyDescent="0.3">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x14ac:dyDescent="0.3">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x14ac:dyDescent="0.3">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x14ac:dyDescent="0.3">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x14ac:dyDescent="0.3">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x14ac:dyDescent="0.3">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x14ac:dyDescent="0.3">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x14ac:dyDescent="0.3">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x14ac:dyDescent="0.3">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x14ac:dyDescent="0.3">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x14ac:dyDescent="0.3">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x14ac:dyDescent="0.3">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x14ac:dyDescent="0.3">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x14ac:dyDescent="0.3">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x14ac:dyDescent="0.3">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x14ac:dyDescent="0.3">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x14ac:dyDescent="0.3">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x14ac:dyDescent="0.3">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x14ac:dyDescent="0.3">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x14ac:dyDescent="0.3">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x14ac:dyDescent="0.3">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x14ac:dyDescent="0.3">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x14ac:dyDescent="0.3">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x14ac:dyDescent="0.3">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x14ac:dyDescent="0.3">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x14ac:dyDescent="0.3">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x14ac:dyDescent="0.3">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x14ac:dyDescent="0.3">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x14ac:dyDescent="0.3">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x14ac:dyDescent="0.3">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x14ac:dyDescent="0.3">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x14ac:dyDescent="0.3">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x14ac:dyDescent="0.3">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x14ac:dyDescent="0.3">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x14ac:dyDescent="0.3">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x14ac:dyDescent="0.3">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x14ac:dyDescent="0.3">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x14ac:dyDescent="0.3">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x14ac:dyDescent="0.3">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x14ac:dyDescent="0.3">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x14ac:dyDescent="0.3">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x14ac:dyDescent="0.3">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x14ac:dyDescent="0.3">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x14ac:dyDescent="0.3">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x14ac:dyDescent="0.3">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x14ac:dyDescent="0.3">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x14ac:dyDescent="0.3">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x14ac:dyDescent="0.3">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x14ac:dyDescent="0.3">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x14ac:dyDescent="0.3">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x14ac:dyDescent="0.3">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x14ac:dyDescent="0.3">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x14ac:dyDescent="0.3">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x14ac:dyDescent="0.3">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x14ac:dyDescent="0.3">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x14ac:dyDescent="0.3">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x14ac:dyDescent="0.3">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x14ac:dyDescent="0.3">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x14ac:dyDescent="0.3">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x14ac:dyDescent="0.3">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x14ac:dyDescent="0.3">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x14ac:dyDescent="0.3">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x14ac:dyDescent="0.3">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x14ac:dyDescent="0.3">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x14ac:dyDescent="0.3">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x14ac:dyDescent="0.3">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x14ac:dyDescent="0.3">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x14ac:dyDescent="0.3">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x14ac:dyDescent="0.3">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x14ac:dyDescent="0.3">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x14ac:dyDescent="0.3">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x14ac:dyDescent="0.3">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x14ac:dyDescent="0.3">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x14ac:dyDescent="0.3">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x14ac:dyDescent="0.3">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x14ac:dyDescent="0.3">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x14ac:dyDescent="0.3">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x14ac:dyDescent="0.3">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x14ac:dyDescent="0.3">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x14ac:dyDescent="0.3">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x14ac:dyDescent="0.3">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x14ac:dyDescent="0.3">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x14ac:dyDescent="0.3">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x14ac:dyDescent="0.3">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x14ac:dyDescent="0.3">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x14ac:dyDescent="0.3">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x14ac:dyDescent="0.3">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x14ac:dyDescent="0.3">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x14ac:dyDescent="0.3">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x14ac:dyDescent="0.3">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x14ac:dyDescent="0.3">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x14ac:dyDescent="0.3">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x14ac:dyDescent="0.3">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x14ac:dyDescent="0.3">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x14ac:dyDescent="0.3">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x14ac:dyDescent="0.3">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x14ac:dyDescent="0.3">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x14ac:dyDescent="0.3">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x14ac:dyDescent="0.3">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09375" defaultRowHeight="21" customHeight="1" x14ac:dyDescent="0.3"/>
  <cols>
    <col min="1" max="1" width="39.6640625" style="151" hidden="1" customWidth="1"/>
    <col min="2" max="2" width="12.88671875" style="147" hidden="1" customWidth="1"/>
    <col min="3" max="3" width="26.88671875" style="147" customWidth="1"/>
    <col min="4" max="4" width="9.88671875" hidden="1" customWidth="1"/>
    <col min="5" max="5" width="8.109375" customWidth="1"/>
    <col min="6" max="6" width="14.33203125" customWidth="1"/>
    <col min="7" max="7" width="40" style="147" hidden="1" customWidth="1"/>
    <col min="8" max="8" width="7.44140625" style="147" customWidth="1"/>
    <col min="9" max="9" width="10.33203125" style="147" customWidth="1"/>
    <col min="10" max="10" width="9.44140625" style="147" customWidth="1"/>
    <col min="11" max="11" width="19.109375" style="147" bestFit="1" customWidth="1"/>
    <col min="12" max="12" width="42.109375" style="147" customWidth="1"/>
    <col min="13" max="13" width="62.5546875" style="147" customWidth="1"/>
    <col min="14" max="14" width="67.6640625" style="147" customWidth="1"/>
    <col min="15" max="15" width="108" style="146" customWidth="1"/>
    <col min="16" max="16" width="9.109375" style="98"/>
    <col min="17" max="16384" width="9.109375" style="147"/>
  </cols>
  <sheetData>
    <row r="1" spans="1:16" s="97" customFormat="1" ht="21" customHeight="1" x14ac:dyDescent="0.3">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x14ac:dyDescent="0.3">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x14ac:dyDescent="0.3">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x14ac:dyDescent="0.3">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x14ac:dyDescent="0.3">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x14ac:dyDescent="0.3">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x14ac:dyDescent="0.3">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x14ac:dyDescent="0.3">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x14ac:dyDescent="0.3">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x14ac:dyDescent="0.3">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x14ac:dyDescent="0.3">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x14ac:dyDescent="0.3">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x14ac:dyDescent="0.3">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x14ac:dyDescent="0.3">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x14ac:dyDescent="0.3">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x14ac:dyDescent="0.3">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x14ac:dyDescent="0.3">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x14ac:dyDescent="0.3">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x14ac:dyDescent="0.3">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x14ac:dyDescent="0.3">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x14ac:dyDescent="0.3">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x14ac:dyDescent="0.3">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x14ac:dyDescent="0.3">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x14ac:dyDescent="0.3">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x14ac:dyDescent="0.3">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x14ac:dyDescent="0.3">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x14ac:dyDescent="0.3">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x14ac:dyDescent="0.3">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x14ac:dyDescent="0.3">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x14ac:dyDescent="0.3">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x14ac:dyDescent="0.3">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x14ac:dyDescent="0.3">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x14ac:dyDescent="0.3">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x14ac:dyDescent="0.3">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x14ac:dyDescent="0.3">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x14ac:dyDescent="0.3">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x14ac:dyDescent="0.3">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x14ac:dyDescent="0.3">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x14ac:dyDescent="0.3">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x14ac:dyDescent="0.3">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x14ac:dyDescent="0.3">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x14ac:dyDescent="0.3">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x14ac:dyDescent="0.3">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x14ac:dyDescent="0.3">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x14ac:dyDescent="0.3">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x14ac:dyDescent="0.3">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x14ac:dyDescent="0.3">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x14ac:dyDescent="0.3">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x14ac:dyDescent="0.3">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x14ac:dyDescent="0.3">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x14ac:dyDescent="0.3">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x14ac:dyDescent="0.3">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x14ac:dyDescent="0.3">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x14ac:dyDescent="0.3">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x14ac:dyDescent="0.3">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x14ac:dyDescent="0.3">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x14ac:dyDescent="0.3">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x14ac:dyDescent="0.3">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x14ac:dyDescent="0.3">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x14ac:dyDescent="0.3">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x14ac:dyDescent="0.3">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x14ac:dyDescent="0.3">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x14ac:dyDescent="0.3">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x14ac:dyDescent="0.3">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x14ac:dyDescent="0.3">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x14ac:dyDescent="0.3">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x14ac:dyDescent="0.3">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x14ac:dyDescent="0.3">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x14ac:dyDescent="0.3">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x14ac:dyDescent="0.3">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x14ac:dyDescent="0.3">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x14ac:dyDescent="0.3">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x14ac:dyDescent="0.3">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 customHeight="1" x14ac:dyDescent="0.3">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 customHeight="1" x14ac:dyDescent="0.3">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x14ac:dyDescent="0.3">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 customHeight="1" x14ac:dyDescent="0.3">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x14ac:dyDescent="0.3">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x14ac:dyDescent="0.3">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x14ac:dyDescent="0.3">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x14ac:dyDescent="0.3">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x14ac:dyDescent="0.3">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x14ac:dyDescent="0.3">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x14ac:dyDescent="0.3">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x14ac:dyDescent="0.3">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x14ac:dyDescent="0.3">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x14ac:dyDescent="0.3">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x14ac:dyDescent="0.3">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x14ac:dyDescent="0.3">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x14ac:dyDescent="0.3">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x14ac:dyDescent="0.3">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x14ac:dyDescent="0.3">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x14ac:dyDescent="0.3">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x14ac:dyDescent="0.3">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x14ac:dyDescent="0.3">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x14ac:dyDescent="0.3">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x14ac:dyDescent="0.3">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x14ac:dyDescent="0.3">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x14ac:dyDescent="0.3">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x14ac:dyDescent="0.3">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x14ac:dyDescent="0.3">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x14ac:dyDescent="0.3">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x14ac:dyDescent="0.3">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x14ac:dyDescent="0.3">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x14ac:dyDescent="0.3">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x14ac:dyDescent="0.3">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x14ac:dyDescent="0.3">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x14ac:dyDescent="0.3">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x14ac:dyDescent="0.3">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x14ac:dyDescent="0.3">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x14ac:dyDescent="0.3">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x14ac:dyDescent="0.3">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x14ac:dyDescent="0.3">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x14ac:dyDescent="0.3">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x14ac:dyDescent="0.3">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x14ac:dyDescent="0.3">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x14ac:dyDescent="0.3">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x14ac:dyDescent="0.3">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x14ac:dyDescent="0.3">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x14ac:dyDescent="0.3">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x14ac:dyDescent="0.3">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x14ac:dyDescent="0.3">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x14ac:dyDescent="0.3">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x14ac:dyDescent="0.3">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x14ac:dyDescent="0.3">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x14ac:dyDescent="0.3">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x14ac:dyDescent="0.3">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x14ac:dyDescent="0.3">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x14ac:dyDescent="0.3">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x14ac:dyDescent="0.3">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x14ac:dyDescent="0.3">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x14ac:dyDescent="0.3">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x14ac:dyDescent="0.3">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x14ac:dyDescent="0.3">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x14ac:dyDescent="0.3">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x14ac:dyDescent="0.3">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x14ac:dyDescent="0.3">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x14ac:dyDescent="0.3">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x14ac:dyDescent="0.3">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x14ac:dyDescent="0.3">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x14ac:dyDescent="0.3">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x14ac:dyDescent="0.3">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x14ac:dyDescent="0.3">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x14ac:dyDescent="0.3">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x14ac:dyDescent="0.3">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x14ac:dyDescent="0.3">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x14ac:dyDescent="0.3">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x14ac:dyDescent="0.3">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x14ac:dyDescent="0.3">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x14ac:dyDescent="0.3">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x14ac:dyDescent="0.3">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x14ac:dyDescent="0.3">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x14ac:dyDescent="0.3">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x14ac:dyDescent="0.3">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x14ac:dyDescent="0.3">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x14ac:dyDescent="0.3">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x14ac:dyDescent="0.3">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x14ac:dyDescent="0.3">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x14ac:dyDescent="0.3">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x14ac:dyDescent="0.3">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x14ac:dyDescent="0.3">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x14ac:dyDescent="0.3">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x14ac:dyDescent="0.3">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x14ac:dyDescent="0.3">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x14ac:dyDescent="0.3">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x14ac:dyDescent="0.3">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x14ac:dyDescent="0.3">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x14ac:dyDescent="0.3">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x14ac:dyDescent="0.3">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x14ac:dyDescent="0.3">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x14ac:dyDescent="0.3">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x14ac:dyDescent="0.3">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x14ac:dyDescent="0.3">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x14ac:dyDescent="0.3">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x14ac:dyDescent="0.3">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x14ac:dyDescent="0.3">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x14ac:dyDescent="0.3">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x14ac:dyDescent="0.3">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x14ac:dyDescent="0.3">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x14ac:dyDescent="0.3">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x14ac:dyDescent="0.3">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x14ac:dyDescent="0.3">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x14ac:dyDescent="0.3">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x14ac:dyDescent="0.3">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x14ac:dyDescent="0.3">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x14ac:dyDescent="0.3">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x14ac:dyDescent="0.3">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x14ac:dyDescent="0.3">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x14ac:dyDescent="0.3">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x14ac:dyDescent="0.3">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x14ac:dyDescent="0.3">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x14ac:dyDescent="0.3">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x14ac:dyDescent="0.3">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x14ac:dyDescent="0.3">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x14ac:dyDescent="0.3">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x14ac:dyDescent="0.3">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x14ac:dyDescent="0.3">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x14ac:dyDescent="0.3">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x14ac:dyDescent="0.35">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5">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x14ac:dyDescent="0.35">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x14ac:dyDescent="0.35">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x14ac:dyDescent="0.35">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x14ac:dyDescent="0.35">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x14ac:dyDescent="0.35">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x14ac:dyDescent="0.35">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5">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5">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5">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5">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5">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4.4" x14ac:dyDescent="0.3"/>
  <cols>
    <col min="1" max="1" width="30.44140625" style="112" customWidth="1"/>
    <col min="2" max="2" width="38.109375" style="112" customWidth="1"/>
    <col min="3" max="3" width="22.33203125" style="112" customWidth="1"/>
    <col min="4" max="4" width="25.33203125" customWidth="1"/>
    <col min="5" max="5" width="22" bestFit="1" customWidth="1"/>
    <col min="6" max="6" width="27.109375" bestFit="1" customWidth="1"/>
    <col min="7" max="7" width="12.44140625" customWidth="1"/>
    <col min="8" max="8" width="8.109375" bestFit="1" customWidth="1"/>
    <col min="9" max="9" width="14.88671875" bestFit="1" customWidth="1"/>
    <col min="10" max="10" width="39.88671875" style="94" customWidth="1"/>
    <col min="11" max="11" width="25.6640625" bestFit="1" customWidth="1"/>
    <col min="12" max="12" width="39" style="112" customWidth="1"/>
    <col min="13" max="13" width="12.44140625" bestFit="1" customWidth="1"/>
    <col min="18" max="18" width="45.109375" customWidth="1"/>
    <col min="19" max="19" width="22" customWidth="1"/>
    <col min="20" max="20" width="27.109375" customWidth="1"/>
    <col min="21" max="21" width="17.33203125" customWidth="1"/>
    <col min="22" max="22" width="29.6640625" customWidth="1"/>
    <col min="23" max="23" width="29.88671875" customWidth="1"/>
    <col min="24" max="24" width="23.6640625" customWidth="1"/>
    <col min="25" max="25" width="24.6640625" customWidth="1"/>
    <col min="26" max="26" width="16.33203125" customWidth="1"/>
    <col min="27" max="27" width="19.5546875" customWidth="1"/>
    <col min="28" max="28" width="34.5546875" bestFit="1" customWidth="1"/>
    <col min="29" max="29" width="26.109375" bestFit="1" customWidth="1"/>
    <col min="30" max="30" width="20.44140625" bestFit="1" customWidth="1"/>
  </cols>
  <sheetData>
    <row r="1" spans="1:31" s="86" customFormat="1" x14ac:dyDescent="0.3">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x14ac:dyDescent="0.3">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x14ac:dyDescent="0.3">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x14ac:dyDescent="0.3">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x14ac:dyDescent="0.3">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x14ac:dyDescent="0.3">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x14ac:dyDescent="0.3">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x14ac:dyDescent="0.3">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x14ac:dyDescent="0.3">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x14ac:dyDescent="0.3">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x14ac:dyDescent="0.3">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x14ac:dyDescent="0.3">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x14ac:dyDescent="0.3">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x14ac:dyDescent="0.3">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x14ac:dyDescent="0.3">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x14ac:dyDescent="0.3">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x14ac:dyDescent="0.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x14ac:dyDescent="0.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x14ac:dyDescent="0.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x14ac:dyDescent="0.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x14ac:dyDescent="0.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x14ac:dyDescent="0.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x14ac:dyDescent="0.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x14ac:dyDescent="0.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x14ac:dyDescent="0.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x14ac:dyDescent="0.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x14ac:dyDescent="0.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x14ac:dyDescent="0.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x14ac:dyDescent="0.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x14ac:dyDescent="0.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x14ac:dyDescent="0.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x14ac:dyDescent="0.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x14ac:dyDescent="0.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x14ac:dyDescent="0.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x14ac:dyDescent="0.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x14ac:dyDescent="0.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x14ac:dyDescent="0.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x14ac:dyDescent="0.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x14ac:dyDescent="0.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x14ac:dyDescent="0.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x14ac:dyDescent="0.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x14ac:dyDescent="0.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x14ac:dyDescent="0.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x14ac:dyDescent="0.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x14ac:dyDescent="0.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x14ac:dyDescent="0.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x14ac:dyDescent="0.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x14ac:dyDescent="0.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x14ac:dyDescent="0.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x14ac:dyDescent="0.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x14ac:dyDescent="0.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x14ac:dyDescent="0.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x14ac:dyDescent="0.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x14ac:dyDescent="0.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x14ac:dyDescent="0.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x14ac:dyDescent="0.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x14ac:dyDescent="0.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x14ac:dyDescent="0.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x14ac:dyDescent="0.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x14ac:dyDescent="0.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x14ac:dyDescent="0.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x14ac:dyDescent="0.3">
      <c r="L62" s="114" t="str">
        <f>layerlookup(K62,materials_glazing!A$2:G$301,7)</f>
        <v/>
      </c>
    </row>
    <row r="63" spans="1:13" x14ac:dyDescent="0.3">
      <c r="L63" s="114" t="str">
        <f>layerlookup(K63,materials_glazing!A$2:G$301,7)</f>
        <v/>
      </c>
    </row>
    <row r="64" spans="1:13" x14ac:dyDescent="0.3">
      <c r="L64" s="114" t="str">
        <f>layerlookup(K64,materials_glazing!A$2:G$301,7)</f>
        <v/>
      </c>
    </row>
    <row r="65" spans="12:12" x14ac:dyDescent="0.3">
      <c r="L65" s="114" t="str">
        <f>layerlookup(K65,materials_glazing!A$2:G$301,7)</f>
        <v/>
      </c>
    </row>
    <row r="66" spans="12:12" x14ac:dyDescent="0.3">
      <c r="L66" s="114" t="str">
        <f>layerlookup(K66,materials_glazing!A$2:G$301,7)</f>
        <v/>
      </c>
    </row>
    <row r="67" spans="12:12" x14ac:dyDescent="0.3">
      <c r="L67" s="114" t="str">
        <f>layerlookup(K67,materials_glazing!A$2:G$301,7)</f>
        <v/>
      </c>
    </row>
    <row r="68" spans="12:12" x14ac:dyDescent="0.3">
      <c r="L68" s="114" t="str">
        <f>layerlookup(K68,materials_glazing!A$2:G$301,7)</f>
        <v/>
      </c>
    </row>
    <row r="69" spans="12:12" x14ac:dyDescent="0.3">
      <c r="L69" s="114" t="str">
        <f>layerlookup(K69,materials_glazing!A$2:G$301,7)</f>
        <v/>
      </c>
    </row>
    <row r="70" spans="12:12" x14ac:dyDescent="0.3">
      <c r="L70" s="114" t="str">
        <f>layerlookup(K70,materials_glazing!A$2:G$301,7)</f>
        <v/>
      </c>
    </row>
    <row r="71" spans="12:12" x14ac:dyDescent="0.3">
      <c r="L71" s="114" t="str">
        <f>layerlookup(K71,materials_glazing!A$2:G$301,7)</f>
        <v/>
      </c>
    </row>
    <row r="72" spans="12:12" x14ac:dyDescent="0.3">
      <c r="L72" s="114" t="str">
        <f>layerlookup(K72,materials_glazing!A$2:G$301,7)</f>
        <v/>
      </c>
    </row>
    <row r="73" spans="12:12" x14ac:dyDescent="0.3">
      <c r="L73" s="114" t="str">
        <f>layerlookup(K73,materials_glazing!A$2:G$301,7)</f>
        <v/>
      </c>
    </row>
    <row r="74" spans="12:12" x14ac:dyDescent="0.3">
      <c r="L74" s="114" t="str">
        <f>layerlookup(K74,materials_glazing!A$2:G$301,7)</f>
        <v/>
      </c>
    </row>
    <row r="75" spans="12:12" x14ac:dyDescent="0.3">
      <c r="L75" s="114" t="str">
        <f>layerlookup(K75,materials_glazing!A$2:G$301,7)</f>
        <v/>
      </c>
    </row>
    <row r="76" spans="12:12" x14ac:dyDescent="0.3">
      <c r="L76" s="114" t="str">
        <f>layerlookup(K76,materials_glazing!A$2:G$301,7)</f>
        <v/>
      </c>
    </row>
    <row r="77" spans="12:12" x14ac:dyDescent="0.3">
      <c r="L77" s="114" t="str">
        <f>layerlookup(K77,materials_glazing!A$2:G$301,7)</f>
        <v/>
      </c>
    </row>
    <row r="78" spans="12:12" x14ac:dyDescent="0.3">
      <c r="L78" s="114" t="str">
        <f>layerlookup(K78,materials_glazing!A$2:G$301,7)</f>
        <v/>
      </c>
    </row>
    <row r="79" spans="12:12" x14ac:dyDescent="0.3">
      <c r="L79" s="114" t="str">
        <f>layerlookup(K79,materials_glazing!A$2:G$301,7)</f>
        <v/>
      </c>
    </row>
    <row r="80" spans="12:12" x14ac:dyDescent="0.3">
      <c r="L80" s="114" t="str">
        <f>layerlookup(K80,materials_glazing!A$2:G$301,7)</f>
        <v/>
      </c>
    </row>
    <row r="81" spans="12:12" x14ac:dyDescent="0.3">
      <c r="L81" s="114" t="str">
        <f>layerlookup(K81,materials_glazing!A$2:G$301,7)</f>
        <v/>
      </c>
    </row>
    <row r="82" spans="12:12" x14ac:dyDescent="0.3">
      <c r="L82" s="114" t="str">
        <f>layerlookup(K82,materials_glazing!A$2:G$301,7)</f>
        <v/>
      </c>
    </row>
    <row r="83" spans="12:12" x14ac:dyDescent="0.3">
      <c r="L83" s="114" t="str">
        <f>layerlookup(K83,materials_glazing!A$2:G$301,7)</f>
        <v/>
      </c>
    </row>
    <row r="84" spans="12:12" x14ac:dyDescent="0.3">
      <c r="L84" s="114" t="str">
        <f>layerlookup(K84,materials_glazing!A$2:G$301,7)</f>
        <v/>
      </c>
    </row>
    <row r="85" spans="12:12" x14ac:dyDescent="0.3">
      <c r="L85" s="114" t="str">
        <f>layerlookup(K85,materials_glazing!A$2:G$301,7)</f>
        <v/>
      </c>
    </row>
    <row r="86" spans="12:12" x14ac:dyDescent="0.3">
      <c r="L86" s="114" t="str">
        <f>layerlookup(K86,materials_glazing!A$2:G$301,7)</f>
        <v/>
      </c>
    </row>
    <row r="87" spans="12:12" x14ac:dyDescent="0.3">
      <c r="L87" s="114" t="str">
        <f>layerlookup(K87,materials_glazing!A$2:G$301,7)</f>
        <v/>
      </c>
    </row>
    <row r="88" spans="12:12" x14ac:dyDescent="0.3">
      <c r="L88" s="114" t="str">
        <f>layerlookup(K88,materials_glazing!A$2:G$301,7)</f>
        <v/>
      </c>
    </row>
    <row r="89" spans="12:12" x14ac:dyDescent="0.3">
      <c r="L89" s="114" t="str">
        <f>layerlookup(K89,materials_glazing!A$2:G$301,7)</f>
        <v/>
      </c>
    </row>
    <row r="90" spans="12:12" x14ac:dyDescent="0.3">
      <c r="L90" s="114" t="str">
        <f>layerlookup(K90,materials_glazing!A$2:G$301,7)</f>
        <v/>
      </c>
    </row>
    <row r="91" spans="12:12" x14ac:dyDescent="0.3">
      <c r="L91" s="114" t="str">
        <f>layerlookup(K91,materials_glazing!A$2:G$301,7)</f>
        <v/>
      </c>
    </row>
    <row r="92" spans="12:12" x14ac:dyDescent="0.3">
      <c r="L92" s="114" t="str">
        <f>layerlookup(K92,materials_glazing!A$2:G$301,7)</f>
        <v/>
      </c>
    </row>
    <row r="93" spans="12:12" x14ac:dyDescent="0.3">
      <c r="L93" s="114" t="str">
        <f>layerlookup(K93,materials_glazing!A$2:G$301,7)</f>
        <v/>
      </c>
    </row>
    <row r="94" spans="12:12" x14ac:dyDescent="0.3">
      <c r="L94" s="114" t="str">
        <f>layerlookup(K94,materials_glazing!A$2:G$301,7)</f>
        <v/>
      </c>
    </row>
    <row r="95" spans="12:12" x14ac:dyDescent="0.3">
      <c r="L95" s="114" t="str">
        <f>layerlookup(K95,materials_glazing!A$2:G$301,7)</f>
        <v/>
      </c>
    </row>
    <row r="96" spans="12:12" x14ac:dyDescent="0.3">
      <c r="L96" s="114" t="str">
        <f>layerlookup(K96,materials_glazing!A$2:G$301,7)</f>
        <v/>
      </c>
    </row>
    <row r="97" spans="12:12" x14ac:dyDescent="0.3">
      <c r="L97" s="114" t="str">
        <f>layerlookup(K97,materials_glazing!A$2:G$301,7)</f>
        <v/>
      </c>
    </row>
    <row r="98" spans="12:12" x14ac:dyDescent="0.3">
      <c r="L98" s="114" t="str">
        <f>layerlookup(K98,materials_glazing!A$2:G$301,7)</f>
        <v/>
      </c>
    </row>
    <row r="99" spans="12:12" x14ac:dyDescent="0.3">
      <c r="L99" s="114" t="str">
        <f>layerlookup(K99,materials_glazing!A$2:G$301,7)</f>
        <v/>
      </c>
    </row>
    <row r="100" spans="12:12" x14ac:dyDescent="0.3">
      <c r="L100" s="114" t="str">
        <f>layerlookup(K100,materials_glazing!A$2:G$301,7)</f>
        <v/>
      </c>
    </row>
    <row r="101" spans="12:12" x14ac:dyDescent="0.3">
      <c r="L101" s="114" t="str">
        <f>layerlookup(K101,materials_glazing!A$2:G$301,7)</f>
        <v/>
      </c>
    </row>
    <row r="102" spans="12:12" x14ac:dyDescent="0.3">
      <c r="L102" s="114" t="str">
        <f>layerlookup(K102,materials_glazing!A$2:G$301,7)</f>
        <v/>
      </c>
    </row>
    <row r="103" spans="12:12" x14ac:dyDescent="0.3">
      <c r="L103" s="114" t="str">
        <f>layerlookup(K103,materials_glazing!A$2:G$301,7)</f>
        <v/>
      </c>
    </row>
    <row r="104" spans="12:12" x14ac:dyDescent="0.3">
      <c r="L104" s="114" t="str">
        <f>layerlookup(K104,materials_glazing!A$2:G$301,7)</f>
        <v/>
      </c>
    </row>
    <row r="105" spans="12:12" x14ac:dyDescent="0.3">
      <c r="L105" s="114" t="str">
        <f>layerlookup(K105,materials_glazing!A$2:G$301,7)</f>
        <v/>
      </c>
    </row>
    <row r="106" spans="12:12" x14ac:dyDescent="0.3">
      <c r="L106" s="114" t="str">
        <f>layerlookup(K106,materials_glazing!A$2:G$301,7)</f>
        <v/>
      </c>
    </row>
    <row r="107" spans="12:12" x14ac:dyDescent="0.3">
      <c r="L107" s="114" t="str">
        <f>layerlookup(K107,materials_glazing!A$2:G$301,7)</f>
        <v/>
      </c>
    </row>
    <row r="108" spans="12:12" x14ac:dyDescent="0.3">
      <c r="L108" s="114" t="str">
        <f>layerlookup(K108,materials_glazing!A$2:G$301,7)</f>
        <v/>
      </c>
    </row>
    <row r="109" spans="12:12" x14ac:dyDescent="0.3">
      <c r="L109" s="114" t="str">
        <f>layerlookup(K109,materials_glazing!A$2:G$301,7)</f>
        <v/>
      </c>
    </row>
    <row r="110" spans="12:12" x14ac:dyDescent="0.3">
      <c r="L110" s="114" t="str">
        <f>layerlookup(K110,materials_glazing!A$2:G$301,7)</f>
        <v/>
      </c>
    </row>
    <row r="111" spans="12:12" x14ac:dyDescent="0.3">
      <c r="L111" s="114" t="str">
        <f>layerlookup(K111,materials_glazing!A$2:G$301,7)</f>
        <v/>
      </c>
    </row>
    <row r="112" spans="12:12" x14ac:dyDescent="0.3">
      <c r="L112" s="114" t="str">
        <f>layerlookup(K112,materials_glazing!A$2:G$301,7)</f>
        <v/>
      </c>
    </row>
    <row r="113" spans="12:12" x14ac:dyDescent="0.3">
      <c r="L113" s="114" t="str">
        <f>layerlookup(K113,materials_glazing!A$2:G$301,7)</f>
        <v/>
      </c>
    </row>
    <row r="114" spans="12:12" x14ac:dyDescent="0.3">
      <c r="L114" s="114" t="str">
        <f>layerlookup(K114,materials_glazing!A$2:G$301,7)</f>
        <v/>
      </c>
    </row>
    <row r="115" spans="12:12" x14ac:dyDescent="0.3">
      <c r="L115" s="114" t="str">
        <f>layerlookup(K115,materials_glazing!A$2:G$301,7)</f>
        <v/>
      </c>
    </row>
    <row r="116" spans="12:12" x14ac:dyDescent="0.3">
      <c r="L116" s="114" t="str">
        <f>layerlookup(K116,materials_glazing!A$2:G$301,7)</f>
        <v/>
      </c>
    </row>
    <row r="117" spans="12:12" x14ac:dyDescent="0.3">
      <c r="L117" s="114" t="str">
        <f>layerlookup(K117,materials_glazing!A$2:G$301,7)</f>
        <v/>
      </c>
    </row>
    <row r="118" spans="12:12" x14ac:dyDescent="0.3">
      <c r="L118" s="114" t="str">
        <f>layerlookup(K118,materials_glazing!A$2:G$301,7)</f>
        <v/>
      </c>
    </row>
    <row r="119" spans="12:12" x14ac:dyDescent="0.3">
      <c r="L119" s="114" t="str">
        <f>layerlookup(K119,materials_glazing!A$2:G$301,7)</f>
        <v/>
      </c>
    </row>
    <row r="120" spans="12:12" x14ac:dyDescent="0.3">
      <c r="L120" s="114" t="str">
        <f>layerlookup(K120,materials_glazing!A$2:G$301,7)</f>
        <v/>
      </c>
    </row>
    <row r="121" spans="12:12" x14ac:dyDescent="0.3">
      <c r="L121" s="114" t="str">
        <f>layerlookup(K121,materials_glazing!A$2:G$301,7)</f>
        <v/>
      </c>
    </row>
    <row r="122" spans="12:12" x14ac:dyDescent="0.3">
      <c r="L122" s="114" t="str">
        <f>layerlookup(K122,materials_glazing!A$2:G$301,7)</f>
        <v/>
      </c>
    </row>
    <row r="123" spans="12:12" x14ac:dyDescent="0.3">
      <c r="L123" s="114" t="str">
        <f>layerlookup(K123,materials_glazing!A$2:G$301,7)</f>
        <v/>
      </c>
    </row>
    <row r="124" spans="12:12" x14ac:dyDescent="0.3">
      <c r="L124" s="114" t="str">
        <f>layerlookup(K124,materials_glazing!A$2:G$301,7)</f>
        <v/>
      </c>
    </row>
    <row r="125" spans="12:12" x14ac:dyDescent="0.3">
      <c r="L125" s="114" t="str">
        <f>layerlookup(K125,materials_glazing!A$2:G$301,7)</f>
        <v/>
      </c>
    </row>
    <row r="126" spans="12:12" x14ac:dyDescent="0.3">
      <c r="L126" s="114" t="str">
        <f>layerlookup(K126,materials_glazing!A$2:G$301,7)</f>
        <v/>
      </c>
    </row>
    <row r="127" spans="12:12" x14ac:dyDescent="0.3">
      <c r="L127" s="114" t="str">
        <f>layerlookup(K127,materials_glazing!A$2:G$301,7)</f>
        <v/>
      </c>
    </row>
    <row r="128" spans="12:12" x14ac:dyDescent="0.3">
      <c r="L128" s="114" t="str">
        <f>layerlookup(K128,materials_glazing!A$2:G$301,7)</f>
        <v/>
      </c>
    </row>
    <row r="129" spans="12:12" x14ac:dyDescent="0.3">
      <c r="L129" s="114" t="str">
        <f>layerlookup(K129,materials_glazing!A$2:G$301,7)</f>
        <v/>
      </c>
    </row>
    <row r="130" spans="12:12" x14ac:dyDescent="0.3">
      <c r="L130" s="114" t="str">
        <f>layerlookup(K130,materials_glazing!A$2:G$301,7)</f>
        <v/>
      </c>
    </row>
    <row r="131" spans="12:12" x14ac:dyDescent="0.3">
      <c r="L131" s="114" t="str">
        <f>layerlookup(K131,materials_glazing!A$2:G$301,7)</f>
        <v/>
      </c>
    </row>
    <row r="132" spans="12:12" x14ac:dyDescent="0.3">
      <c r="L132" s="114" t="str">
        <f>layerlookup(K132,materials_glazing!A$2:G$301,7)</f>
        <v/>
      </c>
    </row>
    <row r="133" spans="12:12" x14ac:dyDescent="0.3">
      <c r="L133" s="114" t="str">
        <f>layerlookup(K133,materials_glazing!A$2:G$301,7)</f>
        <v/>
      </c>
    </row>
    <row r="134" spans="12:12" x14ac:dyDescent="0.3">
      <c r="L134" s="114" t="str">
        <f>layerlookup(K134,materials_glazing!A$2:G$301,7)</f>
        <v/>
      </c>
    </row>
    <row r="135" spans="12:12" x14ac:dyDescent="0.3">
      <c r="L135" s="114" t="str">
        <f>layerlookup(K135,materials_glazing!A$2:G$301,7)</f>
        <v/>
      </c>
    </row>
    <row r="136" spans="12:12" x14ac:dyDescent="0.3">
      <c r="L136" s="114" t="str">
        <f>layerlookup(K136,materials_glazing!A$2:G$301,7)</f>
        <v/>
      </c>
    </row>
    <row r="137" spans="12:12" x14ac:dyDescent="0.3">
      <c r="L137" s="114" t="str">
        <f>layerlookup(K137,materials_glazing!A$2:G$301,7)</f>
        <v/>
      </c>
    </row>
    <row r="138" spans="12:12" x14ac:dyDescent="0.3">
      <c r="L138" s="114" t="str">
        <f>layerlookup(K138,materials_glazing!A$2:G$301,7)</f>
        <v/>
      </c>
    </row>
    <row r="139" spans="12:12" x14ac:dyDescent="0.3">
      <c r="L139" s="114" t="str">
        <f>layerlookup(K139,materials_glazing!A$2:G$301,7)</f>
        <v/>
      </c>
    </row>
    <row r="140" spans="12:12" x14ac:dyDescent="0.3">
      <c r="L140" s="114" t="str">
        <f>layerlookup(K140,materials_glazing!A$2:G$301,7)</f>
        <v/>
      </c>
    </row>
    <row r="141" spans="12:12" x14ac:dyDescent="0.3">
      <c r="L141" s="114" t="str">
        <f>layerlookup(K141,materials_glazing!A$2:G$301,7)</f>
        <v/>
      </c>
    </row>
    <row r="142" spans="12:12" x14ac:dyDescent="0.3">
      <c r="L142" s="114" t="str">
        <f>layerlookup(K142,materials_glazing!A$2:G$301,7)</f>
        <v/>
      </c>
    </row>
    <row r="143" spans="12:12" x14ac:dyDescent="0.3">
      <c r="L143" s="114" t="str">
        <f>layerlookup(K143,materials_glazing!A$2:G$301,7)</f>
        <v/>
      </c>
    </row>
    <row r="144" spans="12:12" x14ac:dyDescent="0.3">
      <c r="L144" s="114" t="str">
        <f>layerlookup(K144,materials_glazing!A$2:G$301,7)</f>
        <v/>
      </c>
    </row>
    <row r="145" spans="12:12" x14ac:dyDescent="0.3">
      <c r="L145" s="114" t="str">
        <f>layerlookup(K145,materials_glazing!A$2:G$301,7)</f>
        <v/>
      </c>
    </row>
    <row r="146" spans="12:12" x14ac:dyDescent="0.3">
      <c r="L146" s="114" t="str">
        <f>layerlookup(K146,materials_glazing!A$2:G$301,7)</f>
        <v/>
      </c>
    </row>
    <row r="147" spans="12:12" x14ac:dyDescent="0.3">
      <c r="L147" s="114" t="str">
        <f>layerlookup(K147,materials_glazing!A$2:G$301,7)</f>
        <v/>
      </c>
    </row>
    <row r="148" spans="12:12" x14ac:dyDescent="0.3">
      <c r="L148" s="114" t="str">
        <f>layerlookup(K148,materials_glazing!A$2:G$301,7)</f>
        <v/>
      </c>
    </row>
    <row r="149" spans="12:12" x14ac:dyDescent="0.3">
      <c r="L149" s="114" t="str">
        <f>layerlookup(K149,materials_glazing!A$2:G$301,7)</f>
        <v/>
      </c>
    </row>
    <row r="150" spans="12:12" x14ac:dyDescent="0.3">
      <c r="L150" s="114" t="str">
        <f>layerlookup(K150,materials_glazing!A$2:G$301,7)</f>
        <v/>
      </c>
    </row>
    <row r="151" spans="12:12" x14ac:dyDescent="0.3">
      <c r="L151" s="114" t="str">
        <f>layerlookup(K151,materials_glazing!A$2:G$301,7)</f>
        <v/>
      </c>
    </row>
    <row r="152" spans="12:12" x14ac:dyDescent="0.3">
      <c r="L152" s="114" t="str">
        <f>layerlookup(K152,materials_glazing!A$2:G$301,7)</f>
        <v/>
      </c>
    </row>
    <row r="153" spans="12:12" x14ac:dyDescent="0.3">
      <c r="L153" s="114" t="str">
        <f>layerlookup(K153,materials_glazing!A$2:G$301,7)</f>
        <v/>
      </c>
    </row>
    <row r="154" spans="12:12" x14ac:dyDescent="0.3">
      <c r="L154" s="114" t="str">
        <f>layerlookup(K154,materials_glazing!A$2:G$301,7)</f>
        <v/>
      </c>
    </row>
    <row r="155" spans="12:12" x14ac:dyDescent="0.3">
      <c r="L155" s="114" t="str">
        <f>layerlookup(K155,materials_glazing!A$2:G$301,7)</f>
        <v/>
      </c>
    </row>
    <row r="156" spans="12:12" x14ac:dyDescent="0.3">
      <c r="L156" s="114" t="str">
        <f>layerlookup(K156,materials_glazing!A$2:G$301,7)</f>
        <v/>
      </c>
    </row>
    <row r="157" spans="12:12" x14ac:dyDescent="0.3">
      <c r="L157" s="114" t="str">
        <f>layerlookup(K157,materials_glazing!A$2:G$301,7)</f>
        <v/>
      </c>
    </row>
    <row r="158" spans="12:12" x14ac:dyDescent="0.3">
      <c r="L158" s="114" t="str">
        <f>layerlookup(K158,materials_glazing!A$2:G$301,7)</f>
        <v/>
      </c>
    </row>
    <row r="159" spans="12:12" x14ac:dyDescent="0.3">
      <c r="L159" s="114" t="str">
        <f>layerlookup(K159,materials_glazing!A$2:G$301,7)</f>
        <v/>
      </c>
    </row>
    <row r="160" spans="12:12" x14ac:dyDescent="0.3">
      <c r="L160" s="114" t="str">
        <f>layerlookup(K160,materials_glazing!A$2:G$301,7)</f>
        <v/>
      </c>
    </row>
    <row r="161" spans="12:12" x14ac:dyDescent="0.3">
      <c r="L161" s="114" t="str">
        <f>layerlookup(K161,materials_glazing!A$2:G$301,7)</f>
        <v/>
      </c>
    </row>
    <row r="162" spans="12:12" x14ac:dyDescent="0.3">
      <c r="L162" s="114" t="str">
        <f>layerlookup(K162,materials_glazing!A$2:G$301,7)</f>
        <v/>
      </c>
    </row>
    <row r="163" spans="12:12" x14ac:dyDescent="0.3">
      <c r="L163" s="114" t="str">
        <f>layerlookup(K163,materials_glazing!A$2:G$301,7)</f>
        <v/>
      </c>
    </row>
    <row r="164" spans="12:12" x14ac:dyDescent="0.3">
      <c r="L164" s="114" t="str">
        <f>layerlookup(K164,materials_glazing!A$2:G$301,7)</f>
        <v/>
      </c>
    </row>
    <row r="165" spans="12:12" x14ac:dyDescent="0.3">
      <c r="L165" s="114" t="str">
        <f>layerlookup(K165,materials_glazing!A$2:G$301,7)</f>
        <v/>
      </c>
    </row>
    <row r="166" spans="12:12" x14ac:dyDescent="0.3">
      <c r="L166" s="114" t="str">
        <f>layerlookup(K166,materials_glazing!A$2:G$301,7)</f>
        <v/>
      </c>
    </row>
    <row r="167" spans="12:12" x14ac:dyDescent="0.3">
      <c r="L167" s="114" t="str">
        <f>layerlookup(K167,materials_glazing!A$2:G$301,7)</f>
        <v/>
      </c>
    </row>
    <row r="168" spans="12:12" x14ac:dyDescent="0.3">
      <c r="L168" s="114" t="str">
        <f>layerlookup(K168,materials_glazing!A$2:G$301,7)</f>
        <v/>
      </c>
    </row>
    <row r="169" spans="12:12" x14ac:dyDescent="0.3">
      <c r="L169" s="114" t="str">
        <f>layerlookup(K169,materials_glazing!A$2:G$301,7)</f>
        <v/>
      </c>
    </row>
    <row r="170" spans="12:12" x14ac:dyDescent="0.3">
      <c r="L170" s="114" t="str">
        <f>layerlookup(K170,materials_glazing!A$2:G$301,7)</f>
        <v/>
      </c>
    </row>
    <row r="171" spans="12:12" x14ac:dyDescent="0.3">
      <c r="L171" s="114" t="str">
        <f>layerlookup(K171,materials_glazing!A$2:G$301,7)</f>
        <v/>
      </c>
    </row>
    <row r="172" spans="12:12" x14ac:dyDescent="0.3">
      <c r="L172" s="114" t="str">
        <f>layerlookup(K172,materials_glazing!A$2:G$301,7)</f>
        <v/>
      </c>
    </row>
    <row r="173" spans="12:12" x14ac:dyDescent="0.3">
      <c r="L173" s="114" t="str">
        <f>layerlookup(K173,materials_glazing!A$2:G$301,7)</f>
        <v/>
      </c>
    </row>
    <row r="174" spans="12:12" x14ac:dyDescent="0.3">
      <c r="L174" s="114" t="str">
        <f>layerlookup(K174,materials_glazing!A$2:G$301,7)</f>
        <v/>
      </c>
    </row>
    <row r="175" spans="12:12" x14ac:dyDescent="0.3">
      <c r="L175" s="114" t="str">
        <f>layerlookup(K175,materials_glazing!A$2:G$301,7)</f>
        <v/>
      </c>
    </row>
    <row r="176" spans="12:12" x14ac:dyDescent="0.3">
      <c r="L176" s="114" t="str">
        <f>layerlookup(K176,materials_glazing!A$2:G$301,7)</f>
        <v/>
      </c>
    </row>
    <row r="177" spans="12:12" x14ac:dyDescent="0.3">
      <c r="L177" s="114" t="str">
        <f>layerlookup(K177,materials_glazing!A$2:G$301,7)</f>
        <v/>
      </c>
    </row>
    <row r="178" spans="12:12" x14ac:dyDescent="0.3">
      <c r="L178" s="114" t="str">
        <f>layerlookup(K178,materials_glazing!A$2:G$301,7)</f>
        <v/>
      </c>
    </row>
    <row r="179" spans="12:12" x14ac:dyDescent="0.3">
      <c r="L179" s="114" t="str">
        <f>layerlookup(K179,materials_glazing!A$2:G$301,7)</f>
        <v/>
      </c>
    </row>
    <row r="180" spans="12:12" x14ac:dyDescent="0.3">
      <c r="L180" s="114" t="str">
        <f>layerlookup(K180,materials_glazing!A$2:G$301,7)</f>
        <v/>
      </c>
    </row>
    <row r="181" spans="12:12" x14ac:dyDescent="0.3">
      <c r="L181" s="114" t="str">
        <f>layerlookup(K181,materials_glazing!A$2:G$301,7)</f>
        <v/>
      </c>
    </row>
    <row r="182" spans="12:12" x14ac:dyDescent="0.3">
      <c r="L182" s="114" t="str">
        <f>layerlookup(K182,materials_glazing!A$2:G$301,7)</f>
        <v/>
      </c>
    </row>
    <row r="183" spans="12:12" x14ac:dyDescent="0.3">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2" activePane="bottomLeft" state="frozen"/>
      <selection activeCell="H33" sqref="H33"/>
      <selection pane="bottomLeft" activeCell="F5" sqref="F5"/>
    </sheetView>
  </sheetViews>
  <sheetFormatPr defaultColWidth="9.109375" defaultRowHeight="14.4" x14ac:dyDescent="0.3"/>
  <cols>
    <col min="1" max="1" width="23.6640625" style="111" customWidth="1"/>
    <col min="2" max="2" width="36" style="84" customWidth="1"/>
    <col min="3" max="3" width="16.88671875" style="111" customWidth="1"/>
    <col min="4" max="4" width="16.88671875" style="121" customWidth="1"/>
    <col min="5" max="5" width="16.88671875" style="111" customWidth="1"/>
    <col min="6" max="6" width="37.109375" style="121" bestFit="1" customWidth="1"/>
    <col min="7" max="7" width="16.88671875" style="142" customWidth="1"/>
    <col min="8" max="8" width="9.109375" style="84"/>
    <col min="9" max="9" width="9.109375" style="118"/>
    <col min="10" max="16384" width="9.109375" style="84"/>
  </cols>
  <sheetData>
    <row r="1" spans="1:12" x14ac:dyDescent="0.3">
      <c r="A1" s="110" t="s">
        <v>794</v>
      </c>
      <c r="B1" s="88" t="s">
        <v>286</v>
      </c>
      <c r="C1" s="105" t="s">
        <v>341</v>
      </c>
      <c r="D1" s="144" t="s">
        <v>343</v>
      </c>
      <c r="E1" s="109" t="s">
        <v>344</v>
      </c>
      <c r="F1" s="119" t="s">
        <v>345</v>
      </c>
      <c r="G1" s="96" t="s">
        <v>346</v>
      </c>
      <c r="H1" s="88" t="s">
        <v>348</v>
      </c>
      <c r="I1" s="88" t="s">
        <v>795</v>
      </c>
      <c r="J1" s="88" t="s">
        <v>349</v>
      </c>
      <c r="K1" s="88" t="s">
        <v>350</v>
      </c>
      <c r="L1" s="88" t="s">
        <v>351</v>
      </c>
    </row>
    <row r="2" spans="1:12" x14ac:dyDescent="0.3">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x14ac:dyDescent="0.3">
      <c r="A3" s="111">
        <v>2</v>
      </c>
      <c r="B3" s="130" t="s">
        <v>245</v>
      </c>
      <c r="C3" s="127" t="s">
        <v>342</v>
      </c>
      <c r="D3" s="128" t="s">
        <v>792</v>
      </c>
      <c r="E3" s="127" t="s">
        <v>347</v>
      </c>
      <c r="F3" s="128" t="s">
        <v>689</v>
      </c>
      <c r="G3" s="129" t="s">
        <v>88</v>
      </c>
      <c r="H3" s="130" t="s">
        <v>6</v>
      </c>
      <c r="I3" s="139">
        <v>1</v>
      </c>
      <c r="J3" s="130">
        <v>1</v>
      </c>
      <c r="K3" s="130">
        <v>1</v>
      </c>
      <c r="L3" s="130">
        <v>0</v>
      </c>
    </row>
    <row r="4" spans="1:12" x14ac:dyDescent="0.3">
      <c r="A4" s="111">
        <v>3</v>
      </c>
      <c r="B4" s="84" t="s">
        <v>12</v>
      </c>
      <c r="C4" s="113" t="s">
        <v>342</v>
      </c>
      <c r="D4" s="120" t="s">
        <v>13</v>
      </c>
      <c r="E4" s="113" t="s">
        <v>347</v>
      </c>
      <c r="F4" s="120" t="s">
        <v>688</v>
      </c>
      <c r="G4" s="141" t="s">
        <v>629</v>
      </c>
      <c r="H4" s="84" t="s">
        <v>9</v>
      </c>
      <c r="I4" s="139">
        <v>1</v>
      </c>
      <c r="J4" s="84">
        <v>1</v>
      </c>
      <c r="K4" s="84">
        <v>1</v>
      </c>
      <c r="L4" s="84">
        <v>0.54300000000000004</v>
      </c>
    </row>
    <row r="5" spans="1:12" x14ac:dyDescent="0.3">
      <c r="A5" s="111">
        <v>4</v>
      </c>
      <c r="B5" s="84" t="s">
        <v>136</v>
      </c>
      <c r="C5" s="113" t="s">
        <v>342</v>
      </c>
      <c r="D5" s="120" t="s">
        <v>13</v>
      </c>
      <c r="E5" s="113" t="s">
        <v>347</v>
      </c>
      <c r="F5" s="120" t="s">
        <v>688</v>
      </c>
      <c r="G5" s="141" t="s">
        <v>630</v>
      </c>
      <c r="H5" s="84" t="s">
        <v>9</v>
      </c>
      <c r="I5" s="139">
        <v>1</v>
      </c>
      <c r="J5" s="84">
        <v>1.33</v>
      </c>
      <c r="K5" s="84">
        <v>1</v>
      </c>
      <c r="L5" s="84">
        <v>0.3</v>
      </c>
    </row>
    <row r="6" spans="1:12" x14ac:dyDescent="0.3">
      <c r="A6" s="111">
        <v>5</v>
      </c>
      <c r="B6" s="84" t="s">
        <v>244</v>
      </c>
      <c r="C6" s="113" t="s">
        <v>342</v>
      </c>
      <c r="D6" s="120" t="s">
        <v>13</v>
      </c>
      <c r="E6" s="113" t="s">
        <v>347</v>
      </c>
      <c r="F6" s="120" t="s">
        <v>688</v>
      </c>
      <c r="G6" s="141" t="s">
        <v>631</v>
      </c>
      <c r="H6" s="84" t="s">
        <v>7</v>
      </c>
      <c r="I6" s="139">
        <v>1</v>
      </c>
      <c r="J6" s="84">
        <v>1</v>
      </c>
      <c r="K6" s="84">
        <v>1</v>
      </c>
      <c r="L6" s="84">
        <v>0.33</v>
      </c>
    </row>
    <row r="7" spans="1:12" x14ac:dyDescent="0.3">
      <c r="A7" s="111">
        <v>6</v>
      </c>
      <c r="B7" s="84" t="s">
        <v>14</v>
      </c>
      <c r="C7" s="113" t="s">
        <v>342</v>
      </c>
      <c r="D7" s="120" t="s">
        <v>13</v>
      </c>
      <c r="E7" s="113" t="s">
        <v>347</v>
      </c>
      <c r="F7" s="120" t="s">
        <v>688</v>
      </c>
      <c r="G7" s="141" t="s">
        <v>632</v>
      </c>
      <c r="H7" s="84" t="s">
        <v>9</v>
      </c>
      <c r="I7" s="139">
        <v>1</v>
      </c>
      <c r="J7" s="84">
        <v>1</v>
      </c>
      <c r="K7" s="84">
        <v>1</v>
      </c>
      <c r="L7" s="84">
        <v>0.28999999999999998</v>
      </c>
    </row>
    <row r="8" spans="1:12" x14ac:dyDescent="0.3">
      <c r="A8" s="111">
        <v>7</v>
      </c>
      <c r="B8" s="84" t="s">
        <v>10</v>
      </c>
      <c r="C8" s="113" t="s">
        <v>342</v>
      </c>
      <c r="D8" s="120" t="s">
        <v>13</v>
      </c>
      <c r="E8" s="113" t="s">
        <v>347</v>
      </c>
      <c r="F8" s="120" t="s">
        <v>688</v>
      </c>
      <c r="G8" s="141" t="s">
        <v>633</v>
      </c>
      <c r="H8" s="84" t="s">
        <v>9</v>
      </c>
      <c r="I8" s="139">
        <v>1</v>
      </c>
      <c r="J8" s="84">
        <v>1</v>
      </c>
      <c r="K8" s="84">
        <v>1</v>
      </c>
      <c r="L8" s="84">
        <v>0.18</v>
      </c>
    </row>
    <row r="9" spans="1:12" s="130" customFormat="1" x14ac:dyDescent="0.3">
      <c r="A9" s="111">
        <v>8</v>
      </c>
      <c r="B9" s="130" t="s">
        <v>22</v>
      </c>
      <c r="C9" s="127" t="s">
        <v>342</v>
      </c>
      <c r="D9" s="128" t="s">
        <v>792</v>
      </c>
      <c r="E9" s="127" t="s">
        <v>347</v>
      </c>
      <c r="F9" s="128" t="s">
        <v>689</v>
      </c>
      <c r="G9" s="129" t="s">
        <v>88</v>
      </c>
      <c r="H9" s="130" t="s">
        <v>21</v>
      </c>
      <c r="I9" s="139">
        <v>1</v>
      </c>
      <c r="J9" s="130">
        <v>1</v>
      </c>
      <c r="K9" s="130">
        <v>1</v>
      </c>
      <c r="L9" s="130">
        <v>0</v>
      </c>
    </row>
    <row r="10" spans="1:12" x14ac:dyDescent="0.3">
      <c r="A10" s="111">
        <v>9</v>
      </c>
      <c r="B10" s="84" t="s">
        <v>246</v>
      </c>
      <c r="C10" s="113" t="s">
        <v>342</v>
      </c>
      <c r="D10" s="120" t="s">
        <v>13</v>
      </c>
      <c r="E10" s="113" t="s">
        <v>347</v>
      </c>
      <c r="F10" s="120" t="s">
        <v>688</v>
      </c>
      <c r="G10" s="141" t="s">
        <v>634</v>
      </c>
      <c r="H10" s="84" t="s">
        <v>9</v>
      </c>
      <c r="I10" s="139">
        <v>1</v>
      </c>
      <c r="J10" s="84">
        <v>1</v>
      </c>
      <c r="K10" s="84">
        <v>1</v>
      </c>
      <c r="L10" s="84">
        <v>0.35</v>
      </c>
    </row>
    <row r="11" spans="1:12" x14ac:dyDescent="0.3">
      <c r="A11" s="111">
        <v>10</v>
      </c>
      <c r="B11" s="84" t="s">
        <v>247</v>
      </c>
      <c r="C11" s="113" t="s">
        <v>342</v>
      </c>
      <c r="D11" s="120" t="s">
        <v>13</v>
      </c>
      <c r="E11" s="113" t="s">
        <v>347</v>
      </c>
      <c r="F11" s="120" t="s">
        <v>688</v>
      </c>
      <c r="G11" s="141" t="s">
        <v>635</v>
      </c>
      <c r="H11" s="84" t="s">
        <v>9</v>
      </c>
      <c r="I11" s="139">
        <v>1</v>
      </c>
      <c r="J11" s="84">
        <v>1</v>
      </c>
      <c r="K11" s="84">
        <v>1</v>
      </c>
      <c r="L11" s="84">
        <v>0.36</v>
      </c>
    </row>
    <row r="12" spans="1:12" ht="15" x14ac:dyDescent="0.35">
      <c r="A12" s="111">
        <v>11</v>
      </c>
      <c r="B12" s="126" t="s">
        <v>715</v>
      </c>
      <c r="C12" s="113" t="s">
        <v>342</v>
      </c>
      <c r="D12" s="120" t="s">
        <v>13</v>
      </c>
      <c r="E12" s="113" t="s">
        <v>347</v>
      </c>
      <c r="F12" s="120" t="s">
        <v>688</v>
      </c>
      <c r="G12" s="143" t="s">
        <v>716</v>
      </c>
      <c r="H12" s="84" t="s">
        <v>6</v>
      </c>
      <c r="I12" s="118">
        <v>0.1</v>
      </c>
      <c r="J12" s="84">
        <v>1</v>
      </c>
      <c r="K12" s="84">
        <v>1</v>
      </c>
      <c r="L12" s="84">
        <v>0</v>
      </c>
    </row>
    <row r="13" spans="1:12" x14ac:dyDescent="0.3">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x14ac:dyDescent="0.3">
      <c r="A14" s="111">
        <v>13</v>
      </c>
      <c r="B14" s="130" t="s">
        <v>86</v>
      </c>
      <c r="C14" s="127" t="s">
        <v>342</v>
      </c>
      <c r="D14" s="128" t="s">
        <v>792</v>
      </c>
      <c r="E14" s="127" t="s">
        <v>347</v>
      </c>
      <c r="F14" s="128" t="s">
        <v>689</v>
      </c>
      <c r="G14" s="129" t="s">
        <v>88</v>
      </c>
      <c r="H14" s="130" t="s">
        <v>6</v>
      </c>
      <c r="I14" s="139">
        <v>1</v>
      </c>
      <c r="J14" s="130">
        <v>1</v>
      </c>
      <c r="K14" s="130">
        <v>1</v>
      </c>
      <c r="L14" s="130">
        <v>0</v>
      </c>
    </row>
    <row r="15" spans="1:12" x14ac:dyDescent="0.3">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x14ac:dyDescent="0.3">
      <c r="A16" s="111">
        <v>15</v>
      </c>
      <c r="B16" s="130" t="s">
        <v>17</v>
      </c>
      <c r="C16" s="127" t="s">
        <v>342</v>
      </c>
      <c r="D16" s="128" t="s">
        <v>792</v>
      </c>
      <c r="E16" s="127" t="s">
        <v>347</v>
      </c>
      <c r="F16" s="128" t="s">
        <v>689</v>
      </c>
      <c r="G16" s="129" t="s">
        <v>92</v>
      </c>
      <c r="H16" s="130" t="s">
        <v>9</v>
      </c>
      <c r="I16" s="139">
        <v>1</v>
      </c>
      <c r="J16" s="130">
        <v>1</v>
      </c>
      <c r="K16" s="130">
        <v>1</v>
      </c>
      <c r="L16" s="130">
        <v>0</v>
      </c>
    </row>
    <row r="17" spans="1:12" x14ac:dyDescent="0.3">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x14ac:dyDescent="0.3">
      <c r="A18" s="111">
        <v>17</v>
      </c>
      <c r="B18" s="84" t="s">
        <v>20</v>
      </c>
      <c r="C18" s="113" t="s">
        <v>342</v>
      </c>
      <c r="D18" s="120" t="s">
        <v>13</v>
      </c>
      <c r="E18" s="113" t="s">
        <v>347</v>
      </c>
      <c r="F18" s="120" t="s">
        <v>688</v>
      </c>
      <c r="G18" s="141" t="s">
        <v>638</v>
      </c>
      <c r="H18" s="84" t="s">
        <v>9</v>
      </c>
      <c r="I18" s="139">
        <v>1</v>
      </c>
      <c r="J18" s="84">
        <v>1</v>
      </c>
      <c r="K18" s="84">
        <v>1</v>
      </c>
      <c r="L18" s="84">
        <v>0.315</v>
      </c>
    </row>
    <row r="19" spans="1:12" x14ac:dyDescent="0.3">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x14ac:dyDescent="0.3">
      <c r="A20" s="111">
        <v>19</v>
      </c>
      <c r="B20" s="138" t="s">
        <v>22</v>
      </c>
      <c r="C20" s="135" t="s">
        <v>342</v>
      </c>
      <c r="D20" s="136" t="s">
        <v>792</v>
      </c>
      <c r="E20" s="135" t="s">
        <v>347</v>
      </c>
      <c r="F20" s="136" t="s">
        <v>689</v>
      </c>
      <c r="G20" s="137" t="s">
        <v>89</v>
      </c>
      <c r="H20" s="138" t="s">
        <v>21</v>
      </c>
      <c r="I20" s="139">
        <v>1</v>
      </c>
      <c r="J20" s="138">
        <v>1</v>
      </c>
      <c r="K20" s="138">
        <v>1</v>
      </c>
      <c r="L20" s="138">
        <v>0</v>
      </c>
    </row>
    <row r="21" spans="1:12" ht="15" x14ac:dyDescent="0.35">
      <c r="A21" s="111">
        <v>20</v>
      </c>
      <c r="B21" s="126" t="s">
        <v>693</v>
      </c>
      <c r="C21" s="113" t="s">
        <v>342</v>
      </c>
      <c r="D21" s="120" t="s">
        <v>13</v>
      </c>
      <c r="E21" s="113" t="s">
        <v>347</v>
      </c>
      <c r="F21" s="120" t="s">
        <v>688</v>
      </c>
      <c r="G21" s="143" t="s">
        <v>1110</v>
      </c>
      <c r="H21" t="s">
        <v>9</v>
      </c>
      <c r="I21" s="118">
        <v>1</v>
      </c>
      <c r="J21" s="84">
        <v>1</v>
      </c>
      <c r="K21" s="84">
        <v>1</v>
      </c>
      <c r="L21" s="84">
        <v>0</v>
      </c>
    </row>
    <row r="22" spans="1:12" ht="15" x14ac:dyDescent="0.35">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x14ac:dyDescent="0.3">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x14ac:dyDescent="0.3">
      <c r="A24" s="111">
        <v>23</v>
      </c>
      <c r="B24" s="138" t="s">
        <v>86</v>
      </c>
      <c r="C24" s="135" t="s">
        <v>342</v>
      </c>
      <c r="D24" s="136" t="s">
        <v>792</v>
      </c>
      <c r="E24" s="135" t="s">
        <v>347</v>
      </c>
      <c r="F24" s="136" t="s">
        <v>689</v>
      </c>
      <c r="G24" s="137" t="s">
        <v>87</v>
      </c>
      <c r="H24" s="138" t="s">
        <v>6</v>
      </c>
      <c r="I24" s="139">
        <v>1</v>
      </c>
      <c r="J24" s="138">
        <v>1</v>
      </c>
      <c r="K24" s="138">
        <v>1</v>
      </c>
      <c r="L24" s="138">
        <v>0</v>
      </c>
    </row>
    <row r="25" spans="1:12" x14ac:dyDescent="0.3">
      <c r="A25" s="111">
        <v>24</v>
      </c>
      <c r="B25" s="84" t="s">
        <v>29</v>
      </c>
      <c r="C25" s="113" t="s">
        <v>342</v>
      </c>
      <c r="D25" s="120" t="s">
        <v>13</v>
      </c>
      <c r="E25" s="113" t="s">
        <v>347</v>
      </c>
      <c r="F25" s="120" t="s">
        <v>688</v>
      </c>
      <c r="G25" s="143" t="s">
        <v>731</v>
      </c>
      <c r="H25" s="84" t="s">
        <v>9</v>
      </c>
      <c r="I25" s="118">
        <v>1</v>
      </c>
      <c r="J25" s="84">
        <v>1</v>
      </c>
      <c r="K25" s="84">
        <v>1</v>
      </c>
      <c r="L25" s="84">
        <v>0</v>
      </c>
    </row>
    <row r="26" spans="1:12" x14ac:dyDescent="0.3">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x14ac:dyDescent="0.3">
      <c r="A27" s="111">
        <v>26</v>
      </c>
      <c r="B27" s="84" t="s">
        <v>31</v>
      </c>
      <c r="C27" s="113" t="s">
        <v>342</v>
      </c>
      <c r="D27" s="120" t="s">
        <v>13</v>
      </c>
      <c r="E27" s="113" t="s">
        <v>347</v>
      </c>
      <c r="F27" s="120" t="s">
        <v>688</v>
      </c>
      <c r="G27" s="143" t="s">
        <v>734</v>
      </c>
      <c r="H27" s="84" t="s">
        <v>30</v>
      </c>
      <c r="I27" s="118">
        <v>0.43</v>
      </c>
      <c r="J27" s="84">
        <v>1</v>
      </c>
      <c r="K27" s="84">
        <v>1</v>
      </c>
      <c r="L27" s="84">
        <v>0</v>
      </c>
    </row>
    <row r="28" spans="1:12" x14ac:dyDescent="0.3">
      <c r="A28" s="111">
        <v>27</v>
      </c>
      <c r="B28" s="84" t="s">
        <v>33</v>
      </c>
      <c r="C28" s="113" t="s">
        <v>342</v>
      </c>
      <c r="D28" s="120" t="s">
        <v>13</v>
      </c>
      <c r="E28" s="113" t="s">
        <v>347</v>
      </c>
      <c r="F28" s="120" t="s">
        <v>688</v>
      </c>
      <c r="G28" s="143" t="s">
        <v>732</v>
      </c>
      <c r="H28" s="84" t="s">
        <v>6</v>
      </c>
      <c r="I28" s="118">
        <v>0.05</v>
      </c>
      <c r="J28" s="84">
        <v>1</v>
      </c>
      <c r="K28" s="84">
        <v>1</v>
      </c>
      <c r="L28" s="84">
        <v>0</v>
      </c>
    </row>
    <row r="29" spans="1:12" x14ac:dyDescent="0.3">
      <c r="A29" s="111">
        <v>28</v>
      </c>
      <c r="B29" s="84" t="s">
        <v>34</v>
      </c>
      <c r="C29" s="113" t="s">
        <v>342</v>
      </c>
      <c r="D29" s="120" t="s">
        <v>13</v>
      </c>
      <c r="E29" s="113" t="s">
        <v>347</v>
      </c>
      <c r="F29" s="120" t="s">
        <v>688</v>
      </c>
      <c r="G29" s="143" t="s">
        <v>735</v>
      </c>
      <c r="H29" s="84" t="s">
        <v>9</v>
      </c>
      <c r="I29" s="118">
        <v>0.188</v>
      </c>
      <c r="J29" s="84">
        <v>1</v>
      </c>
      <c r="K29" s="84">
        <v>1</v>
      </c>
      <c r="L29" s="84">
        <v>0</v>
      </c>
    </row>
    <row r="30" spans="1:12" x14ac:dyDescent="0.3">
      <c r="A30" s="111">
        <v>29</v>
      </c>
      <c r="B30" s="84" t="s">
        <v>137</v>
      </c>
      <c r="C30" s="113" t="s">
        <v>342</v>
      </c>
      <c r="D30" s="120" t="s">
        <v>13</v>
      </c>
      <c r="E30" s="113" t="s">
        <v>347</v>
      </c>
      <c r="F30" s="120" t="s">
        <v>688</v>
      </c>
      <c r="G30" s="141" t="s">
        <v>115</v>
      </c>
      <c r="H30" s="84" t="s">
        <v>9</v>
      </c>
      <c r="I30" s="139">
        <v>1</v>
      </c>
      <c r="J30" s="84">
        <v>1.25</v>
      </c>
      <c r="K30" s="84">
        <v>1</v>
      </c>
      <c r="L30" s="84">
        <v>0.22</v>
      </c>
    </row>
    <row r="31" spans="1:12" x14ac:dyDescent="0.3">
      <c r="A31" s="111">
        <v>30</v>
      </c>
      <c r="B31" s="83" t="s">
        <v>174</v>
      </c>
      <c r="C31" s="113" t="s">
        <v>342</v>
      </c>
      <c r="D31" s="120" t="s">
        <v>13</v>
      </c>
      <c r="E31" s="113" t="s">
        <v>347</v>
      </c>
      <c r="F31" s="120" t="s">
        <v>688</v>
      </c>
      <c r="G31" s="141" t="s">
        <v>116</v>
      </c>
      <c r="H31" s="83" t="s">
        <v>9</v>
      </c>
      <c r="I31" s="139">
        <v>1</v>
      </c>
      <c r="J31" s="84">
        <v>1</v>
      </c>
      <c r="K31" s="84">
        <v>1</v>
      </c>
      <c r="L31" s="84">
        <v>0.27</v>
      </c>
    </row>
    <row r="32" spans="1:12" x14ac:dyDescent="0.3">
      <c r="A32" s="111">
        <v>31</v>
      </c>
      <c r="B32" s="83" t="s">
        <v>1111</v>
      </c>
      <c r="C32" s="113" t="s">
        <v>342</v>
      </c>
      <c r="D32" s="120" t="s">
        <v>13</v>
      </c>
      <c r="E32" s="113" t="s">
        <v>347</v>
      </c>
      <c r="F32" s="120" t="s">
        <v>688</v>
      </c>
      <c r="G32" s="143" t="s">
        <v>1112</v>
      </c>
      <c r="H32" s="83" t="s">
        <v>37</v>
      </c>
      <c r="I32" s="83">
        <v>1.16E-4</v>
      </c>
      <c r="J32" s="84">
        <v>1</v>
      </c>
      <c r="K32" s="84">
        <v>1</v>
      </c>
      <c r="L32" s="84">
        <v>0</v>
      </c>
    </row>
    <row r="33" spans="1:12" x14ac:dyDescent="0.3">
      <c r="A33" s="111">
        <v>32</v>
      </c>
      <c r="B33" s="83" t="s">
        <v>38</v>
      </c>
      <c r="C33" s="113" t="s">
        <v>342</v>
      </c>
      <c r="D33" s="120" t="s">
        <v>13</v>
      </c>
      <c r="E33" s="113" t="s">
        <v>347</v>
      </c>
      <c r="F33" s="120" t="s">
        <v>688</v>
      </c>
      <c r="G33" s="143" t="s">
        <v>738</v>
      </c>
      <c r="H33" s="83" t="s">
        <v>6</v>
      </c>
      <c r="I33" s="83">
        <v>0.24</v>
      </c>
      <c r="J33" s="84">
        <v>1</v>
      </c>
      <c r="K33" s="84">
        <v>1</v>
      </c>
      <c r="L33" s="84">
        <v>0</v>
      </c>
    </row>
    <row r="34" spans="1:12" x14ac:dyDescent="0.3">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x14ac:dyDescent="0.3">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x14ac:dyDescent="0.3">
      <c r="A36" s="111">
        <v>35</v>
      </c>
      <c r="B36" s="83" t="s">
        <v>41</v>
      </c>
      <c r="C36" s="113" t="s">
        <v>342</v>
      </c>
      <c r="D36" s="120" t="s">
        <v>13</v>
      </c>
      <c r="E36" s="113" t="s">
        <v>347</v>
      </c>
      <c r="F36" s="120" t="s">
        <v>688</v>
      </c>
      <c r="G36" s="143" t="s">
        <v>740</v>
      </c>
      <c r="H36" s="83" t="s">
        <v>9</v>
      </c>
      <c r="I36" s="83">
        <v>0.02</v>
      </c>
      <c r="J36" s="84">
        <v>1</v>
      </c>
      <c r="K36" s="84">
        <v>1</v>
      </c>
      <c r="L36" s="84">
        <v>0</v>
      </c>
    </row>
    <row r="37" spans="1:12" x14ac:dyDescent="0.3">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x14ac:dyDescent="0.3">
      <c r="A38" s="111">
        <v>37</v>
      </c>
      <c r="B38" s="83" t="s">
        <v>44</v>
      </c>
      <c r="C38" s="113" t="s">
        <v>342</v>
      </c>
      <c r="D38" s="120" t="s">
        <v>13</v>
      </c>
      <c r="E38" s="113" t="s">
        <v>347</v>
      </c>
      <c r="F38" s="120" t="s">
        <v>688</v>
      </c>
      <c r="G38" s="143" t="s">
        <v>742</v>
      </c>
      <c r="H38" s="83" t="s">
        <v>737</v>
      </c>
      <c r="I38" s="83">
        <v>0.01</v>
      </c>
      <c r="J38" s="84">
        <v>1</v>
      </c>
      <c r="K38" s="84">
        <v>1</v>
      </c>
      <c r="L38" s="84">
        <v>0</v>
      </c>
    </row>
    <row r="39" spans="1:12" x14ac:dyDescent="0.3">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x14ac:dyDescent="0.3">
      <c r="A40" s="111">
        <v>39</v>
      </c>
      <c r="B40" s="83" t="s">
        <v>62</v>
      </c>
      <c r="C40" s="113" t="s">
        <v>342</v>
      </c>
      <c r="D40" s="120" t="s">
        <v>13</v>
      </c>
      <c r="E40" s="113" t="s">
        <v>347</v>
      </c>
      <c r="F40" s="120" t="s">
        <v>688</v>
      </c>
      <c r="G40" s="143" t="s">
        <v>743</v>
      </c>
      <c r="H40" s="83" t="s">
        <v>30</v>
      </c>
      <c r="I40" s="83">
        <v>0.19</v>
      </c>
      <c r="J40" s="84">
        <v>1</v>
      </c>
      <c r="K40" s="84">
        <v>1</v>
      </c>
      <c r="L40" s="84">
        <v>0</v>
      </c>
    </row>
    <row r="41" spans="1:12" x14ac:dyDescent="0.3">
      <c r="A41" s="111">
        <v>40</v>
      </c>
      <c r="B41" s="83" t="s">
        <v>59</v>
      </c>
      <c r="C41" s="113" t="s">
        <v>342</v>
      </c>
      <c r="D41" s="120" t="s">
        <v>13</v>
      </c>
      <c r="E41" s="113" t="s">
        <v>347</v>
      </c>
      <c r="F41" s="120" t="s">
        <v>688</v>
      </c>
      <c r="G41" s="141" t="s">
        <v>114</v>
      </c>
      <c r="H41" s="83" t="s">
        <v>9</v>
      </c>
      <c r="I41" s="139">
        <v>1</v>
      </c>
      <c r="J41" s="84">
        <v>1</v>
      </c>
      <c r="K41" s="84">
        <v>1</v>
      </c>
      <c r="L41" s="84">
        <v>0.253</v>
      </c>
    </row>
    <row r="42" spans="1:12" x14ac:dyDescent="0.3">
      <c r="A42" s="111">
        <v>41</v>
      </c>
      <c r="B42" s="83" t="s">
        <v>1118</v>
      </c>
      <c r="C42" s="113" t="s">
        <v>342</v>
      </c>
      <c r="D42" s="120" t="s">
        <v>13</v>
      </c>
      <c r="E42" s="113" t="s">
        <v>347</v>
      </c>
      <c r="F42" s="120" t="s">
        <v>688</v>
      </c>
      <c r="G42" s="143" t="s">
        <v>1119</v>
      </c>
      <c r="H42" s="83" t="s">
        <v>9</v>
      </c>
      <c r="I42" s="83">
        <v>1</v>
      </c>
      <c r="J42" s="84">
        <v>1</v>
      </c>
      <c r="K42" s="84">
        <v>1</v>
      </c>
      <c r="L42" s="84">
        <v>0</v>
      </c>
    </row>
    <row r="43" spans="1:12" x14ac:dyDescent="0.3">
      <c r="A43" s="111">
        <v>42</v>
      </c>
      <c r="B43" s="83" t="s">
        <v>59</v>
      </c>
      <c r="C43" s="113" t="s">
        <v>342</v>
      </c>
      <c r="D43" s="120" t="s">
        <v>13</v>
      </c>
      <c r="E43" s="113" t="s">
        <v>347</v>
      </c>
      <c r="F43" s="120" t="s">
        <v>688</v>
      </c>
      <c r="G43" s="141" t="s">
        <v>114</v>
      </c>
      <c r="H43" s="83" t="s">
        <v>9</v>
      </c>
      <c r="I43" s="139">
        <v>1</v>
      </c>
      <c r="J43" s="84">
        <v>2</v>
      </c>
      <c r="K43" s="84">
        <v>1.25</v>
      </c>
      <c r="L43" s="84">
        <v>0.253</v>
      </c>
    </row>
    <row r="44" spans="1:12" x14ac:dyDescent="0.3">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x14ac:dyDescent="0.3">
      <c r="A45" s="111">
        <v>44</v>
      </c>
      <c r="B45" s="83" t="s">
        <v>50</v>
      </c>
      <c r="C45" s="113" t="s">
        <v>342</v>
      </c>
      <c r="D45" s="120" t="s">
        <v>13</v>
      </c>
      <c r="E45" s="113" t="s">
        <v>347</v>
      </c>
      <c r="F45" s="120" t="s">
        <v>688</v>
      </c>
      <c r="G45" s="143" t="s">
        <v>754</v>
      </c>
      <c r="H45" s="83" t="s">
        <v>51</v>
      </c>
      <c r="I45" s="83">
        <v>2</v>
      </c>
      <c r="J45" s="84">
        <v>1</v>
      </c>
      <c r="K45" s="84">
        <v>1</v>
      </c>
      <c r="L45" s="84">
        <v>0</v>
      </c>
    </row>
    <row r="46" spans="1:12" x14ac:dyDescent="0.3">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x14ac:dyDescent="0.3">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x14ac:dyDescent="0.3">
      <c r="A48" s="111">
        <v>47</v>
      </c>
      <c r="B48" s="83" t="s">
        <v>54</v>
      </c>
      <c r="C48" s="113" t="s">
        <v>342</v>
      </c>
      <c r="D48" s="120" t="s">
        <v>13</v>
      </c>
      <c r="E48" s="113" t="s">
        <v>347</v>
      </c>
      <c r="F48" s="120" t="s">
        <v>688</v>
      </c>
      <c r="G48" s="143" t="s">
        <v>755</v>
      </c>
      <c r="H48" s="83" t="s">
        <v>9</v>
      </c>
      <c r="I48" s="83">
        <v>2</v>
      </c>
      <c r="J48" s="84">
        <v>1</v>
      </c>
      <c r="K48" s="84">
        <v>1</v>
      </c>
      <c r="L48" s="84">
        <v>0</v>
      </c>
    </row>
    <row r="49" spans="1:12" x14ac:dyDescent="0.3">
      <c r="A49" s="111">
        <v>48</v>
      </c>
      <c r="B49" s="83" t="s">
        <v>61</v>
      </c>
      <c r="C49" s="113" t="s">
        <v>342</v>
      </c>
      <c r="D49" s="120" t="s">
        <v>13</v>
      </c>
      <c r="E49" s="113" t="s">
        <v>347</v>
      </c>
      <c r="F49" s="120" t="s">
        <v>688</v>
      </c>
      <c r="G49" s="143" t="s">
        <v>761</v>
      </c>
      <c r="H49" s="83" t="s">
        <v>9</v>
      </c>
      <c r="I49" s="139">
        <v>1</v>
      </c>
      <c r="J49" s="84">
        <v>1.5</v>
      </c>
      <c r="K49" s="84">
        <v>1</v>
      </c>
      <c r="L49" s="84">
        <v>0</v>
      </c>
    </row>
    <row r="50" spans="1:12" x14ac:dyDescent="0.3">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x14ac:dyDescent="0.3">
      <c r="A51" s="111">
        <v>50</v>
      </c>
      <c r="B51" s="83" t="s">
        <v>63</v>
      </c>
      <c r="C51" s="113" t="s">
        <v>342</v>
      </c>
      <c r="D51" s="120" t="s">
        <v>13</v>
      </c>
      <c r="E51" s="113" t="s">
        <v>347</v>
      </c>
      <c r="F51" s="120" t="s">
        <v>688</v>
      </c>
      <c r="G51" s="143" t="s">
        <v>762</v>
      </c>
      <c r="H51" s="83" t="s">
        <v>9</v>
      </c>
      <c r="I51" s="139">
        <v>1</v>
      </c>
      <c r="J51" s="84">
        <v>1</v>
      </c>
      <c r="K51" s="84">
        <v>1</v>
      </c>
      <c r="L51" s="84">
        <v>0</v>
      </c>
    </row>
    <row r="52" spans="1:12" x14ac:dyDescent="0.3">
      <c r="A52" s="111">
        <v>51</v>
      </c>
      <c r="B52" s="83" t="s">
        <v>64</v>
      </c>
      <c r="C52" s="113" t="s">
        <v>342</v>
      </c>
      <c r="D52" s="120" t="s">
        <v>13</v>
      </c>
      <c r="E52" s="113" t="s">
        <v>347</v>
      </c>
      <c r="F52" s="120" t="s">
        <v>688</v>
      </c>
      <c r="G52" s="143" t="s">
        <v>763</v>
      </c>
      <c r="H52" s="83" t="s">
        <v>9</v>
      </c>
      <c r="I52" s="139">
        <v>1</v>
      </c>
      <c r="J52" s="84">
        <v>1</v>
      </c>
      <c r="K52" s="84">
        <v>1</v>
      </c>
      <c r="L52" s="84">
        <v>0</v>
      </c>
    </row>
    <row r="53" spans="1:12" x14ac:dyDescent="0.3">
      <c r="A53" s="111">
        <v>52</v>
      </c>
      <c r="B53" s="83" t="s">
        <v>68</v>
      </c>
      <c r="C53" s="113" t="s">
        <v>342</v>
      </c>
      <c r="D53" s="120" t="s">
        <v>13</v>
      </c>
      <c r="E53" s="113" t="s">
        <v>347</v>
      </c>
      <c r="F53" s="120" t="s">
        <v>688</v>
      </c>
      <c r="G53" s="143" t="s">
        <v>761</v>
      </c>
      <c r="H53" s="83" t="s">
        <v>9</v>
      </c>
      <c r="I53" s="139">
        <v>1</v>
      </c>
      <c r="J53" s="84">
        <v>1</v>
      </c>
      <c r="K53" s="84">
        <v>1</v>
      </c>
      <c r="L53" s="84">
        <v>0</v>
      </c>
    </row>
    <row r="54" spans="1:12" x14ac:dyDescent="0.3">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x14ac:dyDescent="0.3">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x14ac:dyDescent="0.3">
      <c r="A56" s="111">
        <v>55</v>
      </c>
      <c r="B56" s="83" t="s">
        <v>59</v>
      </c>
      <c r="C56" s="113" t="s">
        <v>342</v>
      </c>
      <c r="D56" s="120" t="s">
        <v>13</v>
      </c>
      <c r="E56" s="113" t="s">
        <v>347</v>
      </c>
      <c r="F56" s="120" t="s">
        <v>688</v>
      </c>
      <c r="G56" s="141" t="s">
        <v>114</v>
      </c>
      <c r="H56" s="83" t="s">
        <v>9</v>
      </c>
      <c r="I56" s="139">
        <v>1</v>
      </c>
      <c r="J56" s="84">
        <v>2.5</v>
      </c>
      <c r="K56" s="84">
        <v>1.25</v>
      </c>
      <c r="L56" s="84">
        <v>0.253</v>
      </c>
    </row>
    <row r="57" spans="1:12" x14ac:dyDescent="0.3">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x14ac:dyDescent="0.3">
      <c r="A58" s="111">
        <v>57</v>
      </c>
      <c r="B58" s="83" t="s">
        <v>59</v>
      </c>
      <c r="C58" s="113" t="s">
        <v>342</v>
      </c>
      <c r="D58" s="120" t="s">
        <v>13</v>
      </c>
      <c r="E58" s="113" t="s">
        <v>347</v>
      </c>
      <c r="F58" s="120" t="s">
        <v>688</v>
      </c>
      <c r="G58" s="141" t="s">
        <v>114</v>
      </c>
      <c r="H58" s="83" t="s">
        <v>9</v>
      </c>
      <c r="I58" s="139">
        <v>1</v>
      </c>
      <c r="J58" s="84">
        <v>1</v>
      </c>
      <c r="K58" s="84">
        <v>1</v>
      </c>
      <c r="L58" s="84">
        <v>0.253</v>
      </c>
    </row>
    <row r="59" spans="1:12" x14ac:dyDescent="0.3">
      <c r="A59" s="111">
        <v>58</v>
      </c>
      <c r="B59" s="83" t="s">
        <v>59</v>
      </c>
      <c r="C59" s="113" t="s">
        <v>342</v>
      </c>
      <c r="D59" s="120" t="s">
        <v>13</v>
      </c>
      <c r="E59" s="113" t="s">
        <v>347</v>
      </c>
      <c r="F59" s="120" t="s">
        <v>688</v>
      </c>
      <c r="G59" s="141" t="s">
        <v>114</v>
      </c>
      <c r="H59" s="83" t="s">
        <v>9</v>
      </c>
      <c r="I59" s="139">
        <v>1</v>
      </c>
      <c r="J59" s="84">
        <v>2.25</v>
      </c>
      <c r="K59" s="84">
        <v>1.25</v>
      </c>
      <c r="L59" s="84">
        <v>0.253</v>
      </c>
    </row>
    <row r="60" spans="1:12" x14ac:dyDescent="0.3">
      <c r="A60" s="111">
        <v>59</v>
      </c>
      <c r="B60" s="83" t="s">
        <v>59</v>
      </c>
      <c r="C60" s="113" t="s">
        <v>342</v>
      </c>
      <c r="D60" s="120" t="s">
        <v>13</v>
      </c>
      <c r="E60" s="113" t="s">
        <v>347</v>
      </c>
      <c r="F60" s="120" t="s">
        <v>688</v>
      </c>
      <c r="G60" s="141" t="s">
        <v>114</v>
      </c>
      <c r="H60" s="83" t="s">
        <v>9</v>
      </c>
      <c r="I60" s="139">
        <v>1</v>
      </c>
      <c r="J60" s="84">
        <v>3</v>
      </c>
      <c r="K60" s="84">
        <v>1.3</v>
      </c>
      <c r="L60" s="84">
        <v>0.253</v>
      </c>
    </row>
    <row r="61" spans="1:12" x14ac:dyDescent="0.3">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x14ac:dyDescent="0.3">
      <c r="A62" s="111">
        <v>61</v>
      </c>
      <c r="B62" s="83" t="s">
        <v>227</v>
      </c>
      <c r="C62" s="113" t="s">
        <v>342</v>
      </c>
      <c r="D62" s="120" t="s">
        <v>13</v>
      </c>
      <c r="E62" s="113" t="s">
        <v>347</v>
      </c>
      <c r="F62" s="120" t="s">
        <v>688</v>
      </c>
      <c r="G62" s="141" t="s">
        <v>120</v>
      </c>
      <c r="H62" s="83" t="s">
        <v>9</v>
      </c>
      <c r="I62" s="139">
        <v>1</v>
      </c>
      <c r="J62" s="84">
        <v>1</v>
      </c>
      <c r="K62" s="84">
        <v>1</v>
      </c>
    </row>
    <row r="63" spans="1:12" x14ac:dyDescent="0.3">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x14ac:dyDescent="0.3">
      <c r="A64" s="111">
        <v>63</v>
      </c>
      <c r="B64" s="84" t="s">
        <v>250</v>
      </c>
      <c r="C64" s="113" t="s">
        <v>342</v>
      </c>
      <c r="D64" s="120" t="s">
        <v>13</v>
      </c>
      <c r="E64" s="113" t="s">
        <v>347</v>
      </c>
      <c r="F64" s="120" t="s">
        <v>688</v>
      </c>
      <c r="G64" s="141" t="s">
        <v>110</v>
      </c>
      <c r="H64" s="84" t="s">
        <v>9</v>
      </c>
      <c r="I64" s="139">
        <v>1</v>
      </c>
      <c r="J64" s="84">
        <v>1</v>
      </c>
      <c r="K64" s="84">
        <v>1</v>
      </c>
      <c r="L64" s="84">
        <v>0.34</v>
      </c>
    </row>
    <row r="65" spans="1:12" x14ac:dyDescent="0.3">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x14ac:dyDescent="0.3">
      <c r="A66" s="111">
        <v>65</v>
      </c>
      <c r="B66" s="83" t="s">
        <v>59</v>
      </c>
      <c r="C66" s="113" t="s">
        <v>342</v>
      </c>
      <c r="D66" s="120" t="s">
        <v>13</v>
      </c>
      <c r="E66" s="113" t="s">
        <v>347</v>
      </c>
      <c r="F66" s="120" t="s">
        <v>688</v>
      </c>
      <c r="G66" s="141" t="s">
        <v>114</v>
      </c>
      <c r="H66" s="83" t="s">
        <v>9</v>
      </c>
      <c r="I66" s="139">
        <v>1</v>
      </c>
      <c r="J66" s="84">
        <v>2.5</v>
      </c>
      <c r="K66" s="84">
        <v>1.3</v>
      </c>
      <c r="L66" s="84">
        <v>0.253</v>
      </c>
    </row>
    <row r="67" spans="1:12" x14ac:dyDescent="0.3">
      <c r="A67" s="111">
        <v>66</v>
      </c>
      <c r="B67" s="83" t="s">
        <v>230</v>
      </c>
      <c r="C67" s="113" t="s">
        <v>342</v>
      </c>
      <c r="D67" s="120" t="s">
        <v>13</v>
      </c>
      <c r="E67" s="113" t="s">
        <v>347</v>
      </c>
      <c r="F67" s="120" t="s">
        <v>688</v>
      </c>
      <c r="G67" s="141" t="s">
        <v>121</v>
      </c>
      <c r="H67" s="83" t="s">
        <v>9</v>
      </c>
      <c r="I67" s="139">
        <v>1</v>
      </c>
      <c r="J67" s="84">
        <v>1</v>
      </c>
      <c r="K67" s="84">
        <v>1</v>
      </c>
      <c r="L67" s="84">
        <v>0.2</v>
      </c>
    </row>
    <row r="68" spans="1:12" x14ac:dyDescent="0.3">
      <c r="A68" s="111">
        <v>67</v>
      </c>
      <c r="B68" s="84" t="s">
        <v>218</v>
      </c>
      <c r="C68" s="113" t="s">
        <v>342</v>
      </c>
      <c r="D68" s="120" t="s">
        <v>13</v>
      </c>
      <c r="E68" s="113" t="s">
        <v>347</v>
      </c>
      <c r="F68" s="120" t="s">
        <v>688</v>
      </c>
      <c r="G68" s="141" t="s">
        <v>111</v>
      </c>
      <c r="H68" s="83" t="s">
        <v>7</v>
      </c>
      <c r="I68" s="139">
        <v>1</v>
      </c>
      <c r="J68" s="84">
        <v>1</v>
      </c>
      <c r="K68" s="84">
        <v>1</v>
      </c>
      <c r="L68" s="84">
        <v>0.31</v>
      </c>
    </row>
    <row r="69" spans="1:12" x14ac:dyDescent="0.3">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x14ac:dyDescent="0.3">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x14ac:dyDescent="0.3">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x14ac:dyDescent="0.3">
      <c r="A72" s="111">
        <v>71</v>
      </c>
      <c r="B72" s="83" t="s">
        <v>59</v>
      </c>
      <c r="C72" s="113" t="s">
        <v>342</v>
      </c>
      <c r="D72" s="120" t="s">
        <v>13</v>
      </c>
      <c r="E72" s="113" t="s">
        <v>347</v>
      </c>
      <c r="F72" s="120" t="s">
        <v>688</v>
      </c>
      <c r="G72" s="141" t="s">
        <v>114</v>
      </c>
      <c r="H72" s="83" t="s">
        <v>9</v>
      </c>
      <c r="I72" s="139">
        <v>1</v>
      </c>
      <c r="J72" s="84">
        <v>2.5</v>
      </c>
      <c r="K72" s="84">
        <v>1.25</v>
      </c>
      <c r="L72" s="84">
        <v>0.253</v>
      </c>
    </row>
    <row r="73" spans="1:12" x14ac:dyDescent="0.3">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x14ac:dyDescent="0.3">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x14ac:dyDescent="0.3">
      <c r="A75" s="111">
        <v>74</v>
      </c>
      <c r="B75" s="83" t="s">
        <v>236</v>
      </c>
      <c r="C75" s="113" t="s">
        <v>342</v>
      </c>
      <c r="D75" s="120" t="s">
        <v>13</v>
      </c>
      <c r="E75" s="113" t="s">
        <v>347</v>
      </c>
      <c r="F75" s="120" t="s">
        <v>688</v>
      </c>
      <c r="G75" s="141" t="s">
        <v>641</v>
      </c>
      <c r="H75" s="83" t="s">
        <v>9</v>
      </c>
      <c r="I75" s="139">
        <v>1</v>
      </c>
      <c r="J75" s="84">
        <v>1</v>
      </c>
      <c r="K75" s="84">
        <v>1</v>
      </c>
      <c r="L75" s="84">
        <v>0.378</v>
      </c>
    </row>
    <row r="76" spans="1:12" x14ac:dyDescent="0.3">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x14ac:dyDescent="0.3">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x14ac:dyDescent="0.3">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x14ac:dyDescent="0.3">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x14ac:dyDescent="0.3">
      <c r="A80" s="111">
        <v>79</v>
      </c>
      <c r="B80" s="84" t="s">
        <v>197</v>
      </c>
      <c r="C80" s="113" t="s">
        <v>342</v>
      </c>
      <c r="D80" s="120" t="s">
        <v>13</v>
      </c>
      <c r="E80" s="113" t="s">
        <v>347</v>
      </c>
      <c r="F80" s="120" t="s">
        <v>688</v>
      </c>
      <c r="G80" s="141" t="s">
        <v>116</v>
      </c>
      <c r="H80" s="84" t="s">
        <v>9</v>
      </c>
      <c r="I80" s="139">
        <v>1</v>
      </c>
      <c r="J80" s="84">
        <v>1</v>
      </c>
      <c r="K80" s="84">
        <v>1</v>
      </c>
      <c r="L80" s="84">
        <v>0.27</v>
      </c>
    </row>
    <row r="81" spans="1:12" x14ac:dyDescent="0.3">
      <c r="A81" s="111">
        <v>80</v>
      </c>
      <c r="B81" s="84" t="s">
        <v>137</v>
      </c>
      <c r="C81" s="113" t="s">
        <v>342</v>
      </c>
      <c r="D81" s="120" t="s">
        <v>13</v>
      </c>
      <c r="E81" s="113" t="s">
        <v>347</v>
      </c>
      <c r="F81" s="120" t="s">
        <v>688</v>
      </c>
      <c r="G81" s="141" t="s">
        <v>115</v>
      </c>
      <c r="H81" s="84" t="s">
        <v>9</v>
      </c>
      <c r="I81" s="139">
        <v>1</v>
      </c>
      <c r="J81" s="84">
        <v>1</v>
      </c>
      <c r="K81" s="84">
        <v>1</v>
      </c>
      <c r="L81" s="84">
        <v>0.221</v>
      </c>
    </row>
    <row r="82" spans="1:12" x14ac:dyDescent="0.3">
      <c r="A82" s="111">
        <v>81</v>
      </c>
      <c r="B82" s="84" t="s">
        <v>199</v>
      </c>
      <c r="C82" s="113" t="s">
        <v>342</v>
      </c>
      <c r="D82" s="120" t="s">
        <v>13</v>
      </c>
      <c r="E82" s="113" t="s">
        <v>347</v>
      </c>
      <c r="F82" s="120" t="s">
        <v>688</v>
      </c>
      <c r="G82" s="141" t="s">
        <v>117</v>
      </c>
      <c r="H82" s="84" t="s">
        <v>9</v>
      </c>
      <c r="I82" s="139">
        <v>1</v>
      </c>
      <c r="J82" s="84">
        <v>1</v>
      </c>
      <c r="K82" s="84">
        <v>1</v>
      </c>
      <c r="L82" s="84">
        <v>0.27</v>
      </c>
    </row>
    <row r="83" spans="1:12" x14ac:dyDescent="0.3">
      <c r="A83" s="111">
        <v>82</v>
      </c>
      <c r="B83" s="83" t="s">
        <v>59</v>
      </c>
      <c r="C83" s="113" t="s">
        <v>342</v>
      </c>
      <c r="D83" s="120" t="s">
        <v>13</v>
      </c>
      <c r="E83" s="113" t="s">
        <v>347</v>
      </c>
      <c r="F83" s="120" t="s">
        <v>688</v>
      </c>
      <c r="G83" s="141" t="s">
        <v>114</v>
      </c>
      <c r="H83" s="83" t="s">
        <v>9</v>
      </c>
      <c r="I83" s="139">
        <v>1</v>
      </c>
      <c r="J83" s="84">
        <v>2</v>
      </c>
      <c r="K83" s="84">
        <v>1.33</v>
      </c>
      <c r="L83" s="84">
        <v>0.253</v>
      </c>
    </row>
    <row r="84" spans="1:12" x14ac:dyDescent="0.3">
      <c r="A84" s="111">
        <v>83</v>
      </c>
      <c r="B84" s="84" t="s">
        <v>198</v>
      </c>
      <c r="C84" s="113" t="s">
        <v>342</v>
      </c>
      <c r="D84" s="120" t="s">
        <v>13</v>
      </c>
      <c r="E84" s="113" t="s">
        <v>347</v>
      </c>
      <c r="F84" s="120" t="s">
        <v>688</v>
      </c>
      <c r="G84" s="141" t="s">
        <v>119</v>
      </c>
      <c r="H84" s="84" t="s">
        <v>9</v>
      </c>
      <c r="I84" s="139">
        <v>1</v>
      </c>
      <c r="J84" s="84">
        <v>1</v>
      </c>
      <c r="K84" s="84">
        <v>1</v>
      </c>
      <c r="L84" s="84">
        <v>0.23</v>
      </c>
    </row>
    <row r="85" spans="1:12" x14ac:dyDescent="0.3">
      <c r="A85" s="111">
        <v>84</v>
      </c>
      <c r="B85" s="83" t="s">
        <v>59</v>
      </c>
      <c r="C85" s="113" t="s">
        <v>342</v>
      </c>
      <c r="D85" s="120" t="s">
        <v>13</v>
      </c>
      <c r="E85" s="113" t="s">
        <v>347</v>
      </c>
      <c r="F85" s="120" t="s">
        <v>688</v>
      </c>
      <c r="G85" s="141" t="s">
        <v>114</v>
      </c>
      <c r="H85" s="83" t="s">
        <v>9</v>
      </c>
      <c r="I85" s="139">
        <v>1</v>
      </c>
      <c r="J85" s="84">
        <v>2</v>
      </c>
      <c r="K85" s="84">
        <v>1.33</v>
      </c>
      <c r="L85" s="84">
        <v>0.253</v>
      </c>
    </row>
    <row r="86" spans="1:12" x14ac:dyDescent="0.3">
      <c r="A86" s="111">
        <v>85</v>
      </c>
      <c r="B86" s="84" t="s">
        <v>137</v>
      </c>
      <c r="C86" s="113" t="s">
        <v>342</v>
      </c>
      <c r="D86" s="120" t="s">
        <v>13</v>
      </c>
      <c r="E86" s="113" t="s">
        <v>347</v>
      </c>
      <c r="F86" s="120" t="s">
        <v>688</v>
      </c>
      <c r="G86" s="141" t="s">
        <v>115</v>
      </c>
      <c r="H86" s="84" t="s">
        <v>9</v>
      </c>
      <c r="I86" s="139">
        <v>1</v>
      </c>
      <c r="J86" s="84">
        <v>1.75</v>
      </c>
      <c r="K86" s="84">
        <v>1.33</v>
      </c>
      <c r="L86" s="84">
        <v>0.221</v>
      </c>
    </row>
    <row r="87" spans="1:12" x14ac:dyDescent="0.3">
      <c r="A87" s="111">
        <v>86</v>
      </c>
      <c r="B87" s="84" t="s">
        <v>253</v>
      </c>
      <c r="C87" s="113" t="s">
        <v>342</v>
      </c>
      <c r="D87" s="120" t="s">
        <v>13</v>
      </c>
      <c r="E87" s="113" t="s">
        <v>347</v>
      </c>
      <c r="F87" s="120" t="s">
        <v>688</v>
      </c>
      <c r="G87" s="141" t="s">
        <v>124</v>
      </c>
      <c r="H87" s="84" t="s">
        <v>9</v>
      </c>
      <c r="I87" s="139">
        <v>1</v>
      </c>
      <c r="J87" s="84">
        <v>1</v>
      </c>
      <c r="K87" s="84">
        <v>1</v>
      </c>
      <c r="L87" s="84">
        <v>0.2</v>
      </c>
    </row>
    <row r="88" spans="1:12" x14ac:dyDescent="0.3">
      <c r="A88" s="111">
        <v>87</v>
      </c>
      <c r="B88" s="84" t="s">
        <v>243</v>
      </c>
      <c r="C88" s="113" t="s">
        <v>342</v>
      </c>
      <c r="D88" s="120" t="s">
        <v>13</v>
      </c>
      <c r="E88" s="113" t="s">
        <v>347</v>
      </c>
      <c r="F88" s="120" t="s">
        <v>688</v>
      </c>
      <c r="G88" s="141" t="s">
        <v>642</v>
      </c>
      <c r="H88" s="84" t="s">
        <v>1109</v>
      </c>
      <c r="I88" s="139">
        <v>0.01</v>
      </c>
      <c r="J88" s="84">
        <v>1</v>
      </c>
      <c r="K88" s="84">
        <v>1</v>
      </c>
      <c r="L88" s="84">
        <v>0.378</v>
      </c>
    </row>
    <row r="89" spans="1:12" x14ac:dyDescent="0.3">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x14ac:dyDescent="0.3">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x14ac:dyDescent="0.3">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x14ac:dyDescent="0.3">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x14ac:dyDescent="0.3">
      <c r="A93" s="111">
        <v>92</v>
      </c>
      <c r="B93" s="84" t="s">
        <v>140</v>
      </c>
      <c r="C93" s="113" t="s">
        <v>342</v>
      </c>
      <c r="D93" s="120" t="s">
        <v>13</v>
      </c>
      <c r="E93" s="113" t="s">
        <v>347</v>
      </c>
      <c r="F93" s="120" t="s">
        <v>688</v>
      </c>
      <c r="G93" s="141" t="s">
        <v>646</v>
      </c>
      <c r="H93" s="84" t="s">
        <v>9</v>
      </c>
      <c r="I93" s="139">
        <v>1</v>
      </c>
      <c r="J93" s="84">
        <v>1</v>
      </c>
      <c r="K93" s="84">
        <v>1</v>
      </c>
      <c r="L93" s="84">
        <v>0.191</v>
      </c>
    </row>
    <row r="94" spans="1:12" x14ac:dyDescent="0.3">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x14ac:dyDescent="0.3">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x14ac:dyDescent="0.3">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x14ac:dyDescent="0.3">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x14ac:dyDescent="0.3">
      <c r="A98" s="111">
        <v>97</v>
      </c>
      <c r="B98" s="84" t="s">
        <v>78</v>
      </c>
      <c r="C98" s="113" t="s">
        <v>342</v>
      </c>
      <c r="D98" s="120" t="s">
        <v>13</v>
      </c>
      <c r="E98" s="113" t="s">
        <v>347</v>
      </c>
      <c r="F98" s="120" t="s">
        <v>688</v>
      </c>
      <c r="G98" s="141" t="s">
        <v>651</v>
      </c>
      <c r="H98" s="84" t="s">
        <v>9</v>
      </c>
      <c r="I98" s="139">
        <v>1</v>
      </c>
      <c r="J98" s="84">
        <v>1</v>
      </c>
      <c r="K98" s="84">
        <v>1</v>
      </c>
      <c r="L98" s="84">
        <v>0.215</v>
      </c>
    </row>
    <row r="99" spans="1:12" x14ac:dyDescent="0.3">
      <c r="A99" s="111">
        <v>98</v>
      </c>
      <c r="B99" s="84" t="s">
        <v>241</v>
      </c>
      <c r="C99" s="113" t="s">
        <v>342</v>
      </c>
      <c r="D99" s="120" t="s">
        <v>13</v>
      </c>
      <c r="E99" s="113" t="s">
        <v>347</v>
      </c>
      <c r="F99" s="120" t="s">
        <v>688</v>
      </c>
      <c r="G99" s="141" t="s">
        <v>652</v>
      </c>
      <c r="H99" s="84" t="s">
        <v>9</v>
      </c>
      <c r="I99" s="139">
        <v>1</v>
      </c>
      <c r="J99" s="84">
        <v>1</v>
      </c>
      <c r="K99" s="84">
        <v>1</v>
      </c>
      <c r="L99" s="84">
        <v>0.3</v>
      </c>
    </row>
    <row r="100" spans="1:12" x14ac:dyDescent="0.3">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x14ac:dyDescent="0.3">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x14ac:dyDescent="0.3">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x14ac:dyDescent="0.3">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x14ac:dyDescent="0.3">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x14ac:dyDescent="0.3">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x14ac:dyDescent="0.3">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x14ac:dyDescent="0.3">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x14ac:dyDescent="0.3">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x14ac:dyDescent="0.3">
      <c r="A109" s="111">
        <v>108</v>
      </c>
      <c r="B109" s="83" t="s">
        <v>11</v>
      </c>
      <c r="C109" s="113" t="s">
        <v>342</v>
      </c>
      <c r="D109" s="120" t="s">
        <v>13</v>
      </c>
      <c r="E109" s="113" t="s">
        <v>347</v>
      </c>
      <c r="F109" s="120" t="s">
        <v>688</v>
      </c>
      <c r="G109" s="141" t="s">
        <v>628</v>
      </c>
      <c r="H109" s="83" t="s">
        <v>9</v>
      </c>
      <c r="I109" s="139">
        <v>1</v>
      </c>
      <c r="J109" s="84">
        <v>1</v>
      </c>
      <c r="K109" s="84">
        <v>1</v>
      </c>
    </row>
    <row r="110" spans="1:12" x14ac:dyDescent="0.3">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x14ac:dyDescent="0.3">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x14ac:dyDescent="0.3">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x14ac:dyDescent="0.3">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x14ac:dyDescent="0.3">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x14ac:dyDescent="0.3">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x14ac:dyDescent="0.3">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x14ac:dyDescent="0.3">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x14ac:dyDescent="0.3">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x14ac:dyDescent="0.3">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x14ac:dyDescent="0.3">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x14ac:dyDescent="0.3">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x14ac:dyDescent="0.3">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x14ac:dyDescent="0.3">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28.8" x14ac:dyDescent="0.3">
      <c r="A124" s="111">
        <v>123</v>
      </c>
      <c r="B124" s="31" t="s">
        <v>180</v>
      </c>
      <c r="C124" s="113" t="s">
        <v>342</v>
      </c>
      <c r="D124" s="120" t="s">
        <v>13</v>
      </c>
      <c r="E124" s="113" t="s">
        <v>347</v>
      </c>
      <c r="F124" s="120" t="s">
        <v>688</v>
      </c>
      <c r="G124" s="143" t="s">
        <v>738</v>
      </c>
      <c r="H124" t="s">
        <v>6</v>
      </c>
      <c r="I124">
        <v>0.03</v>
      </c>
      <c r="J124">
        <v>1</v>
      </c>
      <c r="K124">
        <v>1</v>
      </c>
      <c r="L124">
        <v>0</v>
      </c>
    </row>
    <row r="125" spans="1:12" x14ac:dyDescent="0.3">
      <c r="A125" s="111">
        <v>124</v>
      </c>
      <c r="B125" t="s">
        <v>181</v>
      </c>
      <c r="C125" s="113" t="s">
        <v>342</v>
      </c>
      <c r="D125" s="120" t="s">
        <v>13</v>
      </c>
      <c r="E125" s="113" t="s">
        <v>347</v>
      </c>
      <c r="F125" s="120" t="s">
        <v>688</v>
      </c>
      <c r="G125" s="143" t="s">
        <v>785</v>
      </c>
      <c r="H125" t="s">
        <v>6</v>
      </c>
      <c r="I125">
        <v>0.22</v>
      </c>
      <c r="J125">
        <v>1</v>
      </c>
      <c r="K125">
        <v>1</v>
      </c>
      <c r="L125">
        <v>0</v>
      </c>
    </row>
    <row r="126" spans="1:12" x14ac:dyDescent="0.3">
      <c r="A126" s="111">
        <v>125</v>
      </c>
      <c r="B126" t="s">
        <v>182</v>
      </c>
      <c r="C126" s="113" t="s">
        <v>342</v>
      </c>
      <c r="D126" s="120" t="s">
        <v>13</v>
      </c>
      <c r="E126" s="113" t="s">
        <v>347</v>
      </c>
      <c r="F126" s="120" t="s">
        <v>688</v>
      </c>
      <c r="G126" s="143" t="s">
        <v>786</v>
      </c>
      <c r="H126" t="s">
        <v>737</v>
      </c>
      <c r="I126">
        <v>1.2E-2</v>
      </c>
      <c r="J126">
        <v>1</v>
      </c>
      <c r="K126">
        <v>1</v>
      </c>
      <c r="L126">
        <v>0</v>
      </c>
    </row>
    <row r="127" spans="1:12" ht="43.2" x14ac:dyDescent="0.3">
      <c r="A127" s="111">
        <v>126</v>
      </c>
      <c r="B127" s="31" t="s">
        <v>183</v>
      </c>
      <c r="C127" s="113" t="s">
        <v>342</v>
      </c>
      <c r="D127" s="120" t="s">
        <v>13</v>
      </c>
      <c r="E127" s="113" t="s">
        <v>347</v>
      </c>
      <c r="F127" s="120" t="s">
        <v>688</v>
      </c>
      <c r="G127" s="143" t="s">
        <v>787</v>
      </c>
      <c r="H127" t="s">
        <v>184</v>
      </c>
      <c r="I127">
        <v>1.9E-2</v>
      </c>
      <c r="J127">
        <v>1</v>
      </c>
      <c r="K127">
        <v>1</v>
      </c>
      <c r="L127">
        <v>0</v>
      </c>
    </row>
    <row r="128" spans="1:12" ht="15" x14ac:dyDescent="0.35">
      <c r="A128" s="111">
        <v>127</v>
      </c>
      <c r="B128" s="126" t="s">
        <v>779</v>
      </c>
      <c r="C128" s="113" t="s">
        <v>342</v>
      </c>
      <c r="D128" s="120" t="s">
        <v>13</v>
      </c>
      <c r="E128" s="113" t="s">
        <v>347</v>
      </c>
      <c r="F128" s="120" t="s">
        <v>688</v>
      </c>
      <c r="G128" s="143" t="s">
        <v>788</v>
      </c>
      <c r="H128" t="s">
        <v>184</v>
      </c>
      <c r="I128">
        <v>1.9E-2</v>
      </c>
      <c r="J128">
        <v>1</v>
      </c>
      <c r="K128">
        <v>1</v>
      </c>
      <c r="L128">
        <v>0</v>
      </c>
    </row>
    <row r="129" spans="1:12" ht="15" x14ac:dyDescent="0.35">
      <c r="A129" s="111">
        <v>128</v>
      </c>
      <c r="B129" s="126" t="s">
        <v>780</v>
      </c>
      <c r="C129" s="113" t="s">
        <v>342</v>
      </c>
      <c r="D129" s="120" t="s">
        <v>13</v>
      </c>
      <c r="E129" s="113" t="s">
        <v>347</v>
      </c>
      <c r="F129" s="120" t="s">
        <v>688</v>
      </c>
      <c r="G129" s="143" t="s">
        <v>767</v>
      </c>
      <c r="H129" t="s">
        <v>9</v>
      </c>
      <c r="I129" s="139">
        <v>1</v>
      </c>
      <c r="J129">
        <v>1</v>
      </c>
      <c r="K129">
        <v>1</v>
      </c>
      <c r="L129">
        <v>0</v>
      </c>
    </row>
    <row r="130" spans="1:12" ht="28.8" x14ac:dyDescent="0.3">
      <c r="A130" s="111">
        <v>129</v>
      </c>
      <c r="B130" s="31" t="s">
        <v>187</v>
      </c>
      <c r="C130" s="113" t="s">
        <v>342</v>
      </c>
      <c r="D130" s="120" t="s">
        <v>13</v>
      </c>
      <c r="E130" s="113" t="s">
        <v>347</v>
      </c>
      <c r="F130" s="120" t="s">
        <v>688</v>
      </c>
      <c r="G130" s="143" t="s">
        <v>742</v>
      </c>
      <c r="H130" t="s">
        <v>737</v>
      </c>
      <c r="I130">
        <v>0.01</v>
      </c>
      <c r="J130">
        <v>1</v>
      </c>
      <c r="K130">
        <v>1</v>
      </c>
      <c r="L130">
        <v>0</v>
      </c>
    </row>
    <row r="131" spans="1:12" x14ac:dyDescent="0.3">
      <c r="A131" s="111">
        <v>130</v>
      </c>
      <c r="B131" s="31" t="s">
        <v>188</v>
      </c>
      <c r="C131" s="113" t="s">
        <v>342</v>
      </c>
      <c r="D131" s="120" t="s">
        <v>13</v>
      </c>
      <c r="E131" s="113" t="s">
        <v>347</v>
      </c>
      <c r="F131" s="120" t="s">
        <v>688</v>
      </c>
      <c r="G131" s="143" t="s">
        <v>789</v>
      </c>
      <c r="H131" t="s">
        <v>781</v>
      </c>
      <c r="I131">
        <v>0.01</v>
      </c>
      <c r="J131">
        <v>1</v>
      </c>
      <c r="K131">
        <v>1</v>
      </c>
      <c r="L131">
        <v>0</v>
      </c>
    </row>
    <row r="132" spans="1:12" ht="15" x14ac:dyDescent="0.35">
      <c r="A132" s="111">
        <v>131</v>
      </c>
      <c r="B132" s="126" t="s">
        <v>783</v>
      </c>
      <c r="C132" s="113" t="s">
        <v>342</v>
      </c>
      <c r="D132" s="120" t="s">
        <v>13</v>
      </c>
      <c r="E132" s="113" t="s">
        <v>347</v>
      </c>
      <c r="F132" s="120" t="s">
        <v>688</v>
      </c>
      <c r="G132" s="143" t="s">
        <v>790</v>
      </c>
      <c r="H132" t="s">
        <v>782</v>
      </c>
      <c r="I132">
        <v>0.11</v>
      </c>
      <c r="J132">
        <v>1</v>
      </c>
      <c r="K132">
        <v>1</v>
      </c>
      <c r="L132">
        <v>0</v>
      </c>
    </row>
    <row r="133" spans="1:12" ht="15" x14ac:dyDescent="0.35">
      <c r="A133" s="111">
        <v>132</v>
      </c>
      <c r="B133" s="126" t="s">
        <v>784</v>
      </c>
      <c r="C133" s="113" t="s">
        <v>342</v>
      </c>
      <c r="D133" s="120" t="s">
        <v>13</v>
      </c>
      <c r="E133" s="113" t="s">
        <v>347</v>
      </c>
      <c r="F133" s="120" t="s">
        <v>688</v>
      </c>
      <c r="G133" s="143" t="s">
        <v>791</v>
      </c>
      <c r="H133" t="s">
        <v>9</v>
      </c>
      <c r="I133">
        <v>1</v>
      </c>
      <c r="J133">
        <v>1</v>
      </c>
      <c r="K133">
        <v>1</v>
      </c>
      <c r="L133">
        <v>0</v>
      </c>
    </row>
    <row r="134" spans="1:12" x14ac:dyDescent="0.3">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x14ac:dyDescent="0.3">
      <c r="A135" s="111">
        <v>134</v>
      </c>
      <c r="B135" s="31" t="s">
        <v>191</v>
      </c>
      <c r="C135" s="113" t="s">
        <v>342</v>
      </c>
      <c r="D135" s="120" t="s">
        <v>13</v>
      </c>
      <c r="E135" s="113" t="s">
        <v>347</v>
      </c>
      <c r="F135" s="120" t="s">
        <v>688</v>
      </c>
      <c r="G135" s="141" t="s">
        <v>129</v>
      </c>
      <c r="H135" t="s">
        <v>9</v>
      </c>
      <c r="I135" s="139">
        <v>1</v>
      </c>
      <c r="J135">
        <v>1</v>
      </c>
      <c r="K135">
        <v>1</v>
      </c>
      <c r="L135">
        <v>0.18</v>
      </c>
    </row>
    <row r="136" spans="1:12" ht="15" x14ac:dyDescent="0.35">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ht="15" x14ac:dyDescent="0.35">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ht="15" x14ac:dyDescent="0.35">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ht="15" x14ac:dyDescent="0.35">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ht="15" x14ac:dyDescent="0.35">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ht="15" x14ac:dyDescent="0.35">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ht="15" x14ac:dyDescent="0.35">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ht="15" x14ac:dyDescent="0.35">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ht="15" x14ac:dyDescent="0.35">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ht="15" x14ac:dyDescent="0.35">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ht="15" x14ac:dyDescent="0.35">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ht="15" x14ac:dyDescent="0.35">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ht="15" x14ac:dyDescent="0.35">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ht="15" x14ac:dyDescent="0.35">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ht="15" x14ac:dyDescent="0.35">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x14ac:dyDescent="0.3">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x14ac:dyDescent="0.3">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x14ac:dyDescent="0.3">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x14ac:dyDescent="0.3">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4.4" x14ac:dyDescent="0.3"/>
  <cols>
    <col min="1" max="1" width="28.44140625" style="112" customWidth="1"/>
    <col min="2" max="2" width="15" style="104" customWidth="1"/>
    <col min="3" max="3" width="16.5546875" style="124" customWidth="1"/>
    <col min="4" max="4" width="13.5546875" style="104" bestFit="1" customWidth="1"/>
    <col min="5" max="5" width="37.5546875" style="124" bestFit="1" customWidth="1"/>
    <col min="6" max="6" width="13.33203125" style="117" bestFit="1" customWidth="1"/>
    <col min="7" max="7" width="81.33203125" style="94" customWidth="1"/>
    <col min="8" max="8" width="6" style="90" customWidth="1"/>
    <col min="9" max="9" width="18" style="90" customWidth="1"/>
    <col min="10" max="10" width="11.88671875" style="90" bestFit="1" customWidth="1"/>
    <col min="11" max="11" width="8.44140625" style="90" bestFit="1" customWidth="1"/>
    <col min="12" max="12" width="19" style="90" customWidth="1"/>
    <col min="13" max="13" width="17.44140625" style="90" bestFit="1" customWidth="1"/>
    <col min="14" max="14" width="29.6640625" style="90" bestFit="1" customWidth="1"/>
    <col min="15" max="15" width="29.88671875" style="90" bestFit="1" customWidth="1"/>
    <col min="16" max="16" width="32" style="90" bestFit="1" customWidth="1"/>
    <col min="17" max="17" width="24.6640625" style="90" bestFit="1" customWidth="1"/>
    <col min="18" max="18" width="16.33203125" style="90" bestFit="1" customWidth="1"/>
    <col min="19" max="19" width="19.5546875" style="90" bestFit="1" customWidth="1"/>
    <col min="20" max="20" width="34.5546875" style="90" bestFit="1" customWidth="1"/>
    <col min="21" max="21" width="26.109375" style="90" bestFit="1" customWidth="1"/>
    <col min="22" max="22" width="20.44140625" style="90" bestFit="1" customWidth="1"/>
    <col min="23" max="23" width="44.109375" customWidth="1"/>
  </cols>
  <sheetData>
    <row r="1" spans="1:23" s="95" customFormat="1" x14ac:dyDescent="0.3">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x14ac:dyDescent="0.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x14ac:dyDescent="0.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x14ac:dyDescent="0.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x14ac:dyDescent="0.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x14ac:dyDescent="0.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x14ac:dyDescent="0.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x14ac:dyDescent="0.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x14ac:dyDescent="0.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x14ac:dyDescent="0.3">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x14ac:dyDescent="0.3">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x14ac:dyDescent="0.3">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x14ac:dyDescent="0.3">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x14ac:dyDescent="0.3">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x14ac:dyDescent="0.3">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x14ac:dyDescent="0.3">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x14ac:dyDescent="0.3">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x14ac:dyDescent="0.3">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x14ac:dyDescent="0.3">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x14ac:dyDescent="0.3">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x14ac:dyDescent="0.3">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x14ac:dyDescent="0.3">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x14ac:dyDescent="0.3">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x14ac:dyDescent="0.3">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x14ac:dyDescent="0.3">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x14ac:dyDescent="0.3">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x14ac:dyDescent="0.3">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x14ac:dyDescent="0.3">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x14ac:dyDescent="0.3">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09375" defaultRowHeight="14.4" x14ac:dyDescent="0.3"/>
  <cols>
    <col min="1" max="1" width="10.6640625" style="166" customWidth="1"/>
    <col min="2" max="2" width="23.33203125" style="90" customWidth="1"/>
    <col min="3" max="3" width="49" style="90" customWidth="1"/>
    <col min="4" max="4" width="11.33203125" style="90" customWidth="1"/>
    <col min="5" max="5" width="8.33203125" style="90" customWidth="1"/>
    <col min="6" max="6" width="8.88671875" style="124" customWidth="1"/>
    <col min="7" max="7" width="9.6640625" style="90" customWidth="1"/>
    <col min="8" max="8" width="8.6640625" style="90" customWidth="1"/>
    <col min="9" max="9" width="9.6640625" style="90" customWidth="1"/>
    <col min="10" max="16384" width="9.109375" style="90"/>
  </cols>
  <sheetData>
    <row r="1" spans="1:9" s="158" customFormat="1" ht="57.6" x14ac:dyDescent="0.3">
      <c r="A1" s="173" t="s">
        <v>834</v>
      </c>
      <c r="B1" s="232" t="s">
        <v>835</v>
      </c>
      <c r="C1" s="172" t="s">
        <v>836</v>
      </c>
      <c r="D1" s="162" t="s">
        <v>399</v>
      </c>
      <c r="E1" s="162" t="s">
        <v>400</v>
      </c>
      <c r="F1" s="218" t="s">
        <v>1979</v>
      </c>
      <c r="G1" s="160" t="s">
        <v>1980</v>
      </c>
      <c r="H1" s="160" t="s">
        <v>1981</v>
      </c>
      <c r="I1" s="160" t="s">
        <v>1982</v>
      </c>
    </row>
    <row r="2" spans="1:9" ht="15" customHeight="1" x14ac:dyDescent="0.3">
      <c r="A2" s="166" t="s">
        <v>402</v>
      </c>
      <c r="B2" s="90" t="s">
        <v>372</v>
      </c>
      <c r="C2" s="90" t="s">
        <v>590</v>
      </c>
      <c r="D2" s="90">
        <v>1</v>
      </c>
      <c r="E2" s="90">
        <v>999</v>
      </c>
      <c r="F2" s="219">
        <v>8.8000000000000007</v>
      </c>
      <c r="G2" s="90">
        <v>1</v>
      </c>
      <c r="H2" s="90">
        <v>7</v>
      </c>
      <c r="I2" s="158">
        <v>9</v>
      </c>
    </row>
    <row r="3" spans="1:9" s="91" customFormat="1" ht="15" customHeight="1" x14ac:dyDescent="0.3">
      <c r="A3" s="169" t="s">
        <v>402</v>
      </c>
      <c r="B3" s="91" t="s">
        <v>373</v>
      </c>
      <c r="C3" s="91" t="s">
        <v>590</v>
      </c>
      <c r="D3" s="91">
        <v>1</v>
      </c>
      <c r="E3" s="90">
        <v>999</v>
      </c>
      <c r="F3" s="219">
        <v>11.6</v>
      </c>
      <c r="G3" s="90">
        <v>2</v>
      </c>
      <c r="H3" s="90">
        <v>7</v>
      </c>
      <c r="I3" s="158">
        <v>10</v>
      </c>
    </row>
    <row r="4" spans="1:9" s="91" customFormat="1" ht="15" customHeight="1" x14ac:dyDescent="0.3">
      <c r="A4" s="169" t="s">
        <v>402</v>
      </c>
      <c r="B4" s="91" t="s">
        <v>374</v>
      </c>
      <c r="C4" s="91" t="s">
        <v>590</v>
      </c>
      <c r="D4" s="91">
        <v>1</v>
      </c>
      <c r="E4" s="90">
        <v>999</v>
      </c>
      <c r="F4" s="219">
        <v>11.3</v>
      </c>
      <c r="G4" s="158">
        <v>2</v>
      </c>
      <c r="H4" s="158">
        <v>9</v>
      </c>
      <c r="I4" s="158">
        <v>10</v>
      </c>
    </row>
    <row r="5" spans="1:9" s="91" customFormat="1" ht="15" customHeight="1" x14ac:dyDescent="0.3">
      <c r="A5" s="169" t="s">
        <v>402</v>
      </c>
      <c r="B5" s="91" t="s">
        <v>591</v>
      </c>
      <c r="C5" s="91" t="s">
        <v>590</v>
      </c>
      <c r="D5" s="91">
        <v>1</v>
      </c>
      <c r="E5" s="90">
        <v>999</v>
      </c>
      <c r="F5" s="219">
        <v>10.7</v>
      </c>
      <c r="G5" s="158">
        <v>2</v>
      </c>
      <c r="H5" s="158">
        <v>7</v>
      </c>
      <c r="I5" s="158">
        <v>17</v>
      </c>
    </row>
    <row r="6" spans="1:9" s="91" customFormat="1" ht="15" customHeight="1" x14ac:dyDescent="0.3">
      <c r="A6" s="169" t="s">
        <v>402</v>
      </c>
      <c r="B6" s="91" t="s">
        <v>592</v>
      </c>
      <c r="C6" s="91" t="s">
        <v>590</v>
      </c>
      <c r="D6" s="91">
        <v>1</v>
      </c>
      <c r="E6" s="90">
        <v>999</v>
      </c>
      <c r="F6" s="219">
        <v>9.6999999999999993</v>
      </c>
      <c r="G6" s="158">
        <v>2</v>
      </c>
      <c r="H6" s="158">
        <v>7</v>
      </c>
      <c r="I6" s="158">
        <v>17</v>
      </c>
    </row>
    <row r="7" spans="1:9" s="91" customFormat="1" ht="15" customHeight="1" x14ac:dyDescent="0.3">
      <c r="A7" s="169" t="s">
        <v>402</v>
      </c>
      <c r="B7" s="91" t="s">
        <v>593</v>
      </c>
      <c r="C7" s="91" t="s">
        <v>590</v>
      </c>
      <c r="D7" s="91">
        <v>1</v>
      </c>
      <c r="E7" s="90">
        <v>999</v>
      </c>
      <c r="F7" s="219">
        <v>9.6</v>
      </c>
      <c r="G7" s="158">
        <v>2</v>
      </c>
      <c r="H7" s="158">
        <v>7</v>
      </c>
      <c r="I7" s="158">
        <v>17</v>
      </c>
    </row>
    <row r="8" spans="1:9" s="91" customFormat="1" ht="15" customHeight="1" x14ac:dyDescent="0.3">
      <c r="A8" s="169" t="s">
        <v>402</v>
      </c>
      <c r="B8" s="91" t="s">
        <v>375</v>
      </c>
      <c r="C8" s="91" t="s">
        <v>590</v>
      </c>
      <c r="D8" s="91">
        <v>1</v>
      </c>
      <c r="E8" s="91">
        <v>4</v>
      </c>
      <c r="F8" s="219">
        <v>6.6</v>
      </c>
      <c r="G8" s="158">
        <v>1</v>
      </c>
      <c r="H8" s="158">
        <v>7</v>
      </c>
      <c r="I8" s="158">
        <v>17</v>
      </c>
    </row>
    <row r="9" spans="1:9" s="91" customFormat="1" ht="15" customHeight="1" x14ac:dyDescent="0.3">
      <c r="A9" s="169" t="s">
        <v>402</v>
      </c>
      <c r="B9" s="91" t="s">
        <v>375</v>
      </c>
      <c r="C9" s="91" t="s">
        <v>590</v>
      </c>
      <c r="D9" s="91">
        <v>5</v>
      </c>
      <c r="E9" s="91">
        <v>999</v>
      </c>
      <c r="F9" s="216">
        <v>6.6</v>
      </c>
      <c r="G9" s="158">
        <v>1</v>
      </c>
      <c r="H9" s="158">
        <v>6</v>
      </c>
      <c r="I9" s="158">
        <v>9</v>
      </c>
    </row>
    <row r="10" spans="1:9" s="91" customFormat="1" ht="15" customHeight="1" x14ac:dyDescent="0.3">
      <c r="A10" s="169" t="s">
        <v>402</v>
      </c>
      <c r="B10" s="91" t="s">
        <v>376</v>
      </c>
      <c r="C10" s="91" t="s">
        <v>590</v>
      </c>
      <c r="D10" s="91">
        <v>1</v>
      </c>
      <c r="E10" s="90">
        <v>999</v>
      </c>
      <c r="F10" s="219">
        <v>9.5</v>
      </c>
      <c r="G10" s="158">
        <v>2</v>
      </c>
      <c r="H10" s="158">
        <v>9</v>
      </c>
      <c r="I10" s="158">
        <v>9</v>
      </c>
    </row>
    <row r="11" spans="1:9" s="91" customFormat="1" ht="15" customHeight="1" x14ac:dyDescent="0.3">
      <c r="A11" s="169" t="s">
        <v>402</v>
      </c>
      <c r="B11" s="91" t="s">
        <v>377</v>
      </c>
      <c r="C11" s="91" t="s">
        <v>590</v>
      </c>
      <c r="D11" s="91">
        <v>1</v>
      </c>
      <c r="E11" s="90">
        <v>999</v>
      </c>
      <c r="F11" s="219">
        <v>7.6</v>
      </c>
      <c r="G11" s="158">
        <v>1</v>
      </c>
      <c r="H11" s="158">
        <v>9</v>
      </c>
      <c r="I11" s="158">
        <v>9</v>
      </c>
    </row>
    <row r="12" spans="1:9" s="91" customFormat="1" ht="15" customHeight="1" x14ac:dyDescent="0.3">
      <c r="A12" s="169" t="s">
        <v>402</v>
      </c>
      <c r="B12" s="91" t="s">
        <v>378</v>
      </c>
      <c r="C12" s="91" t="s">
        <v>590</v>
      </c>
      <c r="D12" s="91">
        <v>1</v>
      </c>
      <c r="E12" s="90">
        <v>999</v>
      </c>
      <c r="F12" s="219">
        <v>10.8</v>
      </c>
      <c r="G12" s="158">
        <v>2</v>
      </c>
      <c r="H12" s="158">
        <v>9</v>
      </c>
      <c r="I12" s="158">
        <v>9</v>
      </c>
    </row>
    <row r="13" spans="1:9" s="91" customFormat="1" ht="15" customHeight="1" x14ac:dyDescent="0.3">
      <c r="A13" s="169" t="s">
        <v>402</v>
      </c>
      <c r="B13" s="91" t="s">
        <v>594</v>
      </c>
      <c r="C13" s="91" t="s">
        <v>590</v>
      </c>
      <c r="D13" s="91">
        <v>1</v>
      </c>
      <c r="E13" s="91">
        <v>2</v>
      </c>
      <c r="F13" s="216">
        <v>9.4</v>
      </c>
      <c r="G13" s="158">
        <v>1</v>
      </c>
      <c r="H13" s="158">
        <v>7</v>
      </c>
      <c r="I13" s="158">
        <v>9</v>
      </c>
    </row>
    <row r="14" spans="1:9" s="91" customFormat="1" ht="15" customHeight="1" x14ac:dyDescent="0.3">
      <c r="A14" s="169" t="s">
        <v>402</v>
      </c>
      <c r="B14" s="91" t="s">
        <v>594</v>
      </c>
      <c r="C14" s="91" t="s">
        <v>590</v>
      </c>
      <c r="D14" s="91">
        <v>3</v>
      </c>
      <c r="E14" s="91">
        <v>999</v>
      </c>
      <c r="F14" s="216">
        <v>9.4</v>
      </c>
      <c r="G14" s="158">
        <v>1</v>
      </c>
      <c r="H14" s="158">
        <v>7</v>
      </c>
      <c r="I14" s="158">
        <v>9</v>
      </c>
    </row>
    <row r="15" spans="1:9" s="91" customFormat="1" ht="15" customHeight="1" x14ac:dyDescent="0.3">
      <c r="A15" s="169" t="s">
        <v>402</v>
      </c>
      <c r="B15" s="91" t="s">
        <v>379</v>
      </c>
      <c r="C15" s="91" t="s">
        <v>590</v>
      </c>
      <c r="D15" s="91">
        <v>1</v>
      </c>
      <c r="E15" s="91">
        <v>999</v>
      </c>
      <c r="F15" s="216">
        <v>13</v>
      </c>
      <c r="G15" s="158">
        <v>2</v>
      </c>
      <c r="H15" s="158">
        <v>7</v>
      </c>
      <c r="I15" s="158">
        <v>10</v>
      </c>
    </row>
    <row r="16" spans="1:9" s="91" customFormat="1" ht="15" customHeight="1" x14ac:dyDescent="0.3">
      <c r="A16" s="169" t="s">
        <v>402</v>
      </c>
      <c r="B16" s="91" t="s">
        <v>380</v>
      </c>
      <c r="C16" s="91" t="s">
        <v>590</v>
      </c>
      <c r="D16" s="91">
        <v>1</v>
      </c>
      <c r="E16" s="91">
        <v>4</v>
      </c>
      <c r="F16" s="216">
        <v>10.8</v>
      </c>
      <c r="G16" s="158">
        <v>2</v>
      </c>
      <c r="H16" s="158">
        <v>7</v>
      </c>
      <c r="I16" s="158">
        <v>9</v>
      </c>
    </row>
    <row r="17" spans="1:9" s="91" customFormat="1" ht="15" customHeight="1" x14ac:dyDescent="0.3">
      <c r="A17" s="169" t="s">
        <v>402</v>
      </c>
      <c r="B17" s="91" t="s">
        <v>380</v>
      </c>
      <c r="C17" s="91" t="s">
        <v>590</v>
      </c>
      <c r="D17" s="91">
        <v>5</v>
      </c>
      <c r="E17" s="91">
        <v>999</v>
      </c>
      <c r="F17" s="216">
        <v>10.8</v>
      </c>
      <c r="G17" s="158">
        <v>2</v>
      </c>
      <c r="H17" s="158">
        <v>7</v>
      </c>
      <c r="I17" s="158">
        <v>9</v>
      </c>
    </row>
    <row r="18" spans="1:9" s="91" customFormat="1" ht="15" customHeight="1" x14ac:dyDescent="0.3">
      <c r="A18" s="169" t="s">
        <v>402</v>
      </c>
      <c r="B18" s="91" t="s">
        <v>381</v>
      </c>
      <c r="C18" s="91" t="s">
        <v>590</v>
      </c>
      <c r="D18" s="91">
        <v>1</v>
      </c>
      <c r="E18" s="91">
        <v>2</v>
      </c>
      <c r="F18" s="216">
        <v>12.7</v>
      </c>
      <c r="G18" s="90">
        <v>2</v>
      </c>
      <c r="H18" s="91">
        <v>7</v>
      </c>
      <c r="I18" s="91">
        <v>18</v>
      </c>
    </row>
    <row r="19" spans="1:9" s="91" customFormat="1" ht="15" customHeight="1" x14ac:dyDescent="0.3">
      <c r="A19" s="169" t="s">
        <v>402</v>
      </c>
      <c r="B19" s="91" t="s">
        <v>381</v>
      </c>
      <c r="C19" s="91" t="s">
        <v>590</v>
      </c>
      <c r="D19" s="91">
        <v>3</v>
      </c>
      <c r="E19" s="91">
        <v>999</v>
      </c>
      <c r="F19" s="216">
        <v>12.7</v>
      </c>
      <c r="G19" s="90">
        <v>2</v>
      </c>
      <c r="H19" s="91">
        <v>7</v>
      </c>
      <c r="I19" s="91">
        <v>18</v>
      </c>
    </row>
    <row r="20" spans="1:9" s="91" customFormat="1" ht="15" customHeight="1" x14ac:dyDescent="0.3">
      <c r="A20" s="169" t="s">
        <v>402</v>
      </c>
      <c r="B20" s="91" t="s">
        <v>382</v>
      </c>
      <c r="C20" s="91" t="s">
        <v>590</v>
      </c>
      <c r="D20" s="91">
        <v>1</v>
      </c>
      <c r="E20" s="90">
        <v>999</v>
      </c>
      <c r="F20" s="220">
        <v>11.9</v>
      </c>
      <c r="G20" s="158">
        <v>2</v>
      </c>
      <c r="H20" s="158">
        <v>9</v>
      </c>
      <c r="I20" s="158">
        <v>14</v>
      </c>
    </row>
    <row r="21" spans="1:9" s="91" customFormat="1" ht="14.25" customHeight="1" x14ac:dyDescent="0.3">
      <c r="A21" s="169" t="s">
        <v>402</v>
      </c>
      <c r="B21" s="91" t="s">
        <v>383</v>
      </c>
      <c r="C21" s="91" t="s">
        <v>590</v>
      </c>
      <c r="D21" s="91">
        <v>1</v>
      </c>
      <c r="E21" s="91">
        <v>4</v>
      </c>
      <c r="F21" s="216">
        <v>9.5</v>
      </c>
      <c r="G21" s="158">
        <v>2</v>
      </c>
      <c r="H21" s="158">
        <v>7</v>
      </c>
      <c r="I21" s="158">
        <v>9</v>
      </c>
    </row>
    <row r="22" spans="1:9" s="91" customFormat="1" ht="14.25" customHeight="1" x14ac:dyDescent="0.3">
      <c r="A22" s="169" t="s">
        <v>402</v>
      </c>
      <c r="B22" s="91" t="s">
        <v>383</v>
      </c>
      <c r="C22" s="91" t="s">
        <v>590</v>
      </c>
      <c r="D22" s="91">
        <v>5</v>
      </c>
      <c r="E22" s="91">
        <v>999</v>
      </c>
      <c r="F22" s="216">
        <v>9.5</v>
      </c>
      <c r="G22" s="158">
        <v>2</v>
      </c>
      <c r="H22" s="158">
        <v>7</v>
      </c>
      <c r="I22" s="158">
        <v>9</v>
      </c>
    </row>
    <row r="23" spans="1:9" s="91" customFormat="1" ht="14.25" customHeight="1" x14ac:dyDescent="0.3">
      <c r="A23" s="169" t="s">
        <v>402</v>
      </c>
      <c r="B23" s="91" t="s">
        <v>384</v>
      </c>
      <c r="C23" s="91" t="s">
        <v>590</v>
      </c>
      <c r="D23" s="91">
        <v>1</v>
      </c>
      <c r="E23" s="90">
        <v>999</v>
      </c>
      <c r="F23" s="220">
        <v>8.9</v>
      </c>
      <c r="G23" s="158">
        <v>2</v>
      </c>
      <c r="H23" s="158">
        <v>7</v>
      </c>
      <c r="I23" s="158">
        <v>17</v>
      </c>
    </row>
    <row r="24" spans="1:9" s="91" customFormat="1" ht="15" customHeight="1" x14ac:dyDescent="0.3">
      <c r="A24" s="169" t="s">
        <v>402</v>
      </c>
      <c r="B24" s="91" t="s">
        <v>595</v>
      </c>
      <c r="C24" s="91" t="s">
        <v>590</v>
      </c>
      <c r="D24" s="91">
        <v>1</v>
      </c>
      <c r="E24" s="91">
        <v>4</v>
      </c>
      <c r="F24" s="216">
        <v>6.5</v>
      </c>
      <c r="G24" s="158">
        <v>1</v>
      </c>
      <c r="H24" s="158">
        <v>6</v>
      </c>
      <c r="I24" s="158">
        <v>9</v>
      </c>
    </row>
    <row r="25" spans="1:9" s="91" customFormat="1" ht="15" customHeight="1" x14ac:dyDescent="0.3">
      <c r="A25" s="169" t="s">
        <v>402</v>
      </c>
      <c r="B25" s="91" t="s">
        <v>595</v>
      </c>
      <c r="C25" s="91" t="s">
        <v>590</v>
      </c>
      <c r="D25" s="91">
        <v>5</v>
      </c>
      <c r="E25" s="91">
        <v>999</v>
      </c>
      <c r="F25" s="216">
        <v>6.5</v>
      </c>
      <c r="G25" s="158">
        <v>1</v>
      </c>
      <c r="H25" s="158">
        <v>6</v>
      </c>
      <c r="I25" s="158">
        <v>9</v>
      </c>
    </row>
    <row r="26" spans="1:9" s="91" customFormat="1" ht="15" customHeight="1" x14ac:dyDescent="0.3">
      <c r="A26" s="169" t="s">
        <v>402</v>
      </c>
      <c r="B26" s="91" t="s">
        <v>385</v>
      </c>
      <c r="C26" s="91" t="s">
        <v>590</v>
      </c>
      <c r="D26" s="91">
        <v>1</v>
      </c>
      <c r="E26" s="91">
        <v>2</v>
      </c>
      <c r="F26" s="216">
        <v>11.4</v>
      </c>
      <c r="G26" s="158">
        <v>2</v>
      </c>
      <c r="H26" s="158">
        <v>17</v>
      </c>
      <c r="I26" s="158">
        <v>17</v>
      </c>
    </row>
    <row r="27" spans="1:9" s="91" customFormat="1" ht="15" customHeight="1" x14ac:dyDescent="0.3">
      <c r="A27" s="169" t="s">
        <v>402</v>
      </c>
      <c r="B27" s="91" t="s">
        <v>385</v>
      </c>
      <c r="C27" s="91" t="s">
        <v>590</v>
      </c>
      <c r="D27" s="91">
        <v>3</v>
      </c>
      <c r="E27" s="91">
        <v>999</v>
      </c>
      <c r="F27" s="216">
        <v>11.4</v>
      </c>
      <c r="G27" s="158">
        <v>2</v>
      </c>
      <c r="H27" s="158">
        <v>17</v>
      </c>
      <c r="I27" s="158">
        <v>17</v>
      </c>
    </row>
    <row r="28" spans="1:9" s="91" customFormat="1" ht="15" customHeight="1" x14ac:dyDescent="0.3">
      <c r="A28" s="169" t="s">
        <v>402</v>
      </c>
      <c r="B28" s="91" t="s">
        <v>386</v>
      </c>
      <c r="C28" s="91" t="s">
        <v>590</v>
      </c>
      <c r="D28" s="91">
        <v>1</v>
      </c>
      <c r="E28" s="91">
        <v>2</v>
      </c>
      <c r="F28" s="216">
        <v>9.6999999999999993</v>
      </c>
      <c r="G28" s="158">
        <v>2</v>
      </c>
      <c r="H28" s="158">
        <v>7</v>
      </c>
      <c r="I28" s="158">
        <v>9</v>
      </c>
    </row>
    <row r="29" spans="1:9" s="91" customFormat="1" ht="15" customHeight="1" x14ac:dyDescent="0.3">
      <c r="A29" s="169" t="s">
        <v>402</v>
      </c>
      <c r="B29" s="91" t="s">
        <v>386</v>
      </c>
      <c r="C29" s="91" t="s">
        <v>590</v>
      </c>
      <c r="D29" s="91">
        <v>3</v>
      </c>
      <c r="E29" s="91">
        <v>999</v>
      </c>
      <c r="F29" s="216">
        <v>9.6999999999999993</v>
      </c>
      <c r="G29" s="158">
        <v>2</v>
      </c>
      <c r="H29" s="158">
        <v>7</v>
      </c>
      <c r="I29" s="158">
        <v>9</v>
      </c>
    </row>
    <row r="30" spans="1:9" s="91" customFormat="1" ht="15" customHeight="1" x14ac:dyDescent="0.3">
      <c r="A30" s="169" t="s">
        <v>402</v>
      </c>
      <c r="B30" s="91" t="s">
        <v>387</v>
      </c>
      <c r="C30" s="91" t="s">
        <v>590</v>
      </c>
      <c r="D30" s="91">
        <v>1</v>
      </c>
      <c r="E30" s="91">
        <v>999</v>
      </c>
      <c r="F30" s="216">
        <v>2.7</v>
      </c>
      <c r="G30" s="158">
        <v>1</v>
      </c>
      <c r="H30" s="158">
        <v>9</v>
      </c>
      <c r="I30" s="158">
        <v>9</v>
      </c>
    </row>
    <row r="31" spans="1:9" s="91" customFormat="1" ht="15" customHeight="1" x14ac:dyDescent="0.3">
      <c r="A31" s="169" t="s">
        <v>402</v>
      </c>
      <c r="B31" s="91" t="s">
        <v>596</v>
      </c>
      <c r="C31" s="91" t="s">
        <v>590</v>
      </c>
      <c r="D31" s="91">
        <v>1</v>
      </c>
      <c r="E31" s="91">
        <v>999</v>
      </c>
      <c r="F31" s="219">
        <v>10.4</v>
      </c>
      <c r="G31" s="158">
        <v>2</v>
      </c>
      <c r="H31" s="158">
        <v>7</v>
      </c>
      <c r="I31" s="158">
        <v>9</v>
      </c>
    </row>
    <row r="32" spans="1:9" s="91" customFormat="1" ht="15" customHeight="1" x14ac:dyDescent="0.3">
      <c r="A32" s="169" t="s">
        <v>402</v>
      </c>
      <c r="B32" s="91" t="s">
        <v>597</v>
      </c>
      <c r="C32" s="91" t="s">
        <v>590</v>
      </c>
      <c r="D32" s="91">
        <v>1</v>
      </c>
      <c r="E32" s="91">
        <v>999</v>
      </c>
      <c r="F32" s="219">
        <v>15</v>
      </c>
      <c r="G32" s="158">
        <v>3</v>
      </c>
      <c r="H32" s="158">
        <v>7</v>
      </c>
      <c r="I32" s="158">
        <v>17</v>
      </c>
    </row>
    <row r="33" spans="1:9" s="91" customFormat="1" ht="15" customHeight="1" x14ac:dyDescent="0.3">
      <c r="A33" s="169" t="s">
        <v>402</v>
      </c>
      <c r="B33" s="91" t="s">
        <v>388</v>
      </c>
      <c r="C33" s="91" t="s">
        <v>590</v>
      </c>
      <c r="D33" s="91">
        <v>1</v>
      </c>
      <c r="E33" s="91">
        <v>999</v>
      </c>
      <c r="F33" s="219">
        <v>10.3</v>
      </c>
      <c r="G33" s="158">
        <v>2</v>
      </c>
      <c r="H33" s="158">
        <v>9</v>
      </c>
      <c r="I33" s="158">
        <v>9</v>
      </c>
    </row>
    <row r="34" spans="1:9" s="91" customFormat="1" ht="15" customHeight="1" x14ac:dyDescent="0.3">
      <c r="A34" s="169" t="s">
        <v>402</v>
      </c>
      <c r="B34" s="91" t="s">
        <v>389</v>
      </c>
      <c r="C34" s="91" t="s">
        <v>590</v>
      </c>
      <c r="D34" s="91">
        <v>1</v>
      </c>
      <c r="E34" s="91">
        <v>2</v>
      </c>
      <c r="F34" s="216">
        <v>9.4</v>
      </c>
      <c r="G34" s="158">
        <v>1</v>
      </c>
      <c r="H34" s="158">
        <v>7</v>
      </c>
      <c r="I34" s="158">
        <v>9</v>
      </c>
    </row>
    <row r="35" spans="1:9" s="91" customFormat="1" ht="15" customHeight="1" x14ac:dyDescent="0.3">
      <c r="A35" s="169" t="s">
        <v>402</v>
      </c>
      <c r="B35" s="91" t="s">
        <v>389</v>
      </c>
      <c r="C35" s="91" t="s">
        <v>590</v>
      </c>
      <c r="D35" s="91">
        <v>3</v>
      </c>
      <c r="E35" s="91">
        <v>999</v>
      </c>
      <c r="F35" s="216">
        <v>9.4</v>
      </c>
      <c r="G35" s="158">
        <v>1</v>
      </c>
      <c r="H35" s="158">
        <v>7</v>
      </c>
      <c r="I35" s="158">
        <v>9</v>
      </c>
    </row>
    <row r="36" spans="1:9" s="91" customFormat="1" ht="15" customHeight="1" x14ac:dyDescent="0.3">
      <c r="A36" s="169" t="s">
        <v>402</v>
      </c>
      <c r="B36" s="91" t="s">
        <v>598</v>
      </c>
      <c r="C36" s="91" t="s">
        <v>590</v>
      </c>
      <c r="D36" s="91">
        <v>1</v>
      </c>
      <c r="E36" s="91">
        <v>999</v>
      </c>
      <c r="F36" s="216">
        <v>11.3</v>
      </c>
      <c r="G36" s="158">
        <v>2</v>
      </c>
      <c r="H36" s="158">
        <v>7</v>
      </c>
      <c r="I36" s="158">
        <v>18</v>
      </c>
    </row>
    <row r="37" spans="1:9" s="91" customFormat="1" ht="15" customHeight="1" x14ac:dyDescent="0.3">
      <c r="A37" s="169" t="s">
        <v>402</v>
      </c>
      <c r="B37" s="91" t="s">
        <v>390</v>
      </c>
      <c r="C37" s="91" t="s">
        <v>590</v>
      </c>
      <c r="D37" s="91">
        <v>1</v>
      </c>
      <c r="E37" s="91">
        <v>2</v>
      </c>
      <c r="F37" s="216">
        <v>15.1</v>
      </c>
      <c r="G37" s="158">
        <v>3</v>
      </c>
      <c r="H37" s="158">
        <v>7</v>
      </c>
      <c r="I37" s="158">
        <v>18</v>
      </c>
    </row>
    <row r="38" spans="1:9" s="91" customFormat="1" ht="15" customHeight="1" x14ac:dyDescent="0.3">
      <c r="A38" s="169" t="s">
        <v>402</v>
      </c>
      <c r="B38" s="91" t="s">
        <v>390</v>
      </c>
      <c r="C38" s="91" t="s">
        <v>590</v>
      </c>
      <c r="D38" s="91">
        <v>3</v>
      </c>
      <c r="E38" s="91">
        <v>999</v>
      </c>
      <c r="F38" s="216">
        <v>15.1</v>
      </c>
      <c r="G38" s="158">
        <v>3</v>
      </c>
      <c r="H38" s="158">
        <v>7</v>
      </c>
      <c r="I38" s="158">
        <v>18</v>
      </c>
    </row>
    <row r="39" spans="1:9" s="91" customFormat="1" ht="15" customHeight="1" x14ac:dyDescent="0.3">
      <c r="A39" s="169" t="s">
        <v>402</v>
      </c>
      <c r="B39" s="91" t="s">
        <v>391</v>
      </c>
      <c r="C39" s="91" t="s">
        <v>590</v>
      </c>
      <c r="D39" s="91">
        <v>1</v>
      </c>
      <c r="E39" s="91">
        <v>4</v>
      </c>
      <c r="F39" s="216">
        <v>10.7</v>
      </c>
      <c r="G39" s="158">
        <v>2</v>
      </c>
      <c r="H39" s="158">
        <v>7</v>
      </c>
      <c r="I39" s="158">
        <v>17</v>
      </c>
    </row>
    <row r="40" spans="1:9" s="91" customFormat="1" ht="15" customHeight="1" x14ac:dyDescent="0.3">
      <c r="A40" s="169" t="s">
        <v>402</v>
      </c>
      <c r="B40" s="91" t="s">
        <v>391</v>
      </c>
      <c r="C40" s="91" t="s">
        <v>590</v>
      </c>
      <c r="D40" s="91">
        <v>5</v>
      </c>
      <c r="E40" s="91">
        <v>999</v>
      </c>
      <c r="F40" s="216">
        <v>10.7</v>
      </c>
      <c r="G40" s="158">
        <v>2</v>
      </c>
      <c r="H40" s="158">
        <v>7</v>
      </c>
      <c r="I40" s="158">
        <v>17</v>
      </c>
    </row>
    <row r="41" spans="1:9" s="91" customFormat="1" ht="15" customHeight="1" x14ac:dyDescent="0.3">
      <c r="A41" s="169" t="s">
        <v>402</v>
      </c>
      <c r="B41" s="91" t="s">
        <v>392</v>
      </c>
      <c r="C41" s="91" t="s">
        <v>590</v>
      </c>
      <c r="D41" s="91">
        <v>1</v>
      </c>
      <c r="E41" s="91">
        <v>999</v>
      </c>
      <c r="F41" s="216">
        <v>8.4</v>
      </c>
      <c r="G41" s="158">
        <v>1</v>
      </c>
      <c r="H41" s="158">
        <v>7</v>
      </c>
      <c r="I41" s="158">
        <v>9</v>
      </c>
    </row>
    <row r="42" spans="1:9" s="91" customFormat="1" ht="15" customHeight="1" x14ac:dyDescent="0.3">
      <c r="A42" s="169" t="s">
        <v>402</v>
      </c>
      <c r="B42" s="91" t="s">
        <v>393</v>
      </c>
      <c r="C42" s="91" t="s">
        <v>590</v>
      </c>
      <c r="D42" s="91">
        <v>1</v>
      </c>
      <c r="E42" s="91">
        <v>4</v>
      </c>
      <c r="F42" s="216">
        <v>9.9</v>
      </c>
      <c r="G42" s="158">
        <v>2</v>
      </c>
      <c r="H42" s="158">
        <v>7</v>
      </c>
      <c r="I42" s="158">
        <v>17</v>
      </c>
    </row>
    <row r="43" spans="1:9" s="91" customFormat="1" ht="15" customHeight="1" x14ac:dyDescent="0.3">
      <c r="A43" s="169" t="s">
        <v>402</v>
      </c>
      <c r="B43" s="91" t="s">
        <v>393</v>
      </c>
      <c r="C43" s="91" t="s">
        <v>590</v>
      </c>
      <c r="D43" s="91">
        <v>5</v>
      </c>
      <c r="E43" s="91">
        <v>999</v>
      </c>
      <c r="F43" s="216">
        <v>9.9</v>
      </c>
      <c r="G43" s="158">
        <v>2</v>
      </c>
      <c r="H43" s="158">
        <v>7</v>
      </c>
      <c r="I43" s="158">
        <v>17</v>
      </c>
    </row>
    <row r="44" spans="1:9" s="91" customFormat="1" ht="15" customHeight="1" x14ac:dyDescent="0.3">
      <c r="A44" s="169" t="s">
        <v>402</v>
      </c>
      <c r="B44" s="91" t="s">
        <v>394</v>
      </c>
      <c r="C44" s="91" t="s">
        <v>590</v>
      </c>
      <c r="D44" s="91">
        <v>1</v>
      </c>
      <c r="E44" s="91">
        <v>4</v>
      </c>
      <c r="F44" s="216">
        <v>8.3000000000000007</v>
      </c>
      <c r="G44" s="158">
        <v>1</v>
      </c>
      <c r="H44" s="158">
        <v>9</v>
      </c>
      <c r="I44" s="158">
        <v>9</v>
      </c>
    </row>
    <row r="45" spans="1:9" s="91" customFormat="1" ht="15" customHeight="1" x14ac:dyDescent="0.3">
      <c r="A45" s="169" t="s">
        <v>402</v>
      </c>
      <c r="B45" s="91" t="s">
        <v>394</v>
      </c>
      <c r="C45" s="91" t="s">
        <v>590</v>
      </c>
      <c r="D45" s="91">
        <v>5</v>
      </c>
      <c r="E45" s="91">
        <v>999</v>
      </c>
      <c r="F45" s="216">
        <v>8.3000000000000007</v>
      </c>
      <c r="G45" s="158">
        <v>1</v>
      </c>
      <c r="H45" s="158">
        <v>9</v>
      </c>
      <c r="I45" s="158">
        <v>9</v>
      </c>
    </row>
    <row r="46" spans="1:9" s="91" customFormat="1" ht="15" customHeight="1" x14ac:dyDescent="0.3">
      <c r="A46" s="169" t="s">
        <v>402</v>
      </c>
      <c r="B46" s="91" t="s">
        <v>395</v>
      </c>
      <c r="C46" s="91" t="s">
        <v>590</v>
      </c>
      <c r="D46" s="91">
        <v>1</v>
      </c>
      <c r="E46" s="91">
        <v>999</v>
      </c>
      <c r="F46" s="216">
        <v>7.1</v>
      </c>
      <c r="G46" s="158">
        <v>1</v>
      </c>
      <c r="H46" s="158">
        <v>9</v>
      </c>
      <c r="I46" s="158">
        <v>9</v>
      </c>
    </row>
    <row r="47" spans="1:9" s="91" customFormat="1" x14ac:dyDescent="0.3">
      <c r="A47" s="169" t="s">
        <v>402</v>
      </c>
      <c r="B47" s="91" t="s">
        <v>396</v>
      </c>
      <c r="C47" s="91" t="s">
        <v>590</v>
      </c>
      <c r="D47" s="91">
        <v>1</v>
      </c>
      <c r="E47" s="91">
        <v>999</v>
      </c>
      <c r="F47" s="216">
        <v>12.9</v>
      </c>
      <c r="G47" s="158">
        <v>2</v>
      </c>
      <c r="H47" s="158">
        <v>7</v>
      </c>
      <c r="I47" s="158">
        <v>9</v>
      </c>
    </row>
    <row r="48" spans="1:9" s="91" customFormat="1" x14ac:dyDescent="0.3">
      <c r="A48" s="169" t="s">
        <v>402</v>
      </c>
      <c r="B48" s="170" t="s">
        <v>599</v>
      </c>
      <c r="C48" s="170" t="s">
        <v>590</v>
      </c>
      <c r="D48" s="91">
        <v>1</v>
      </c>
      <c r="E48" s="91">
        <v>999</v>
      </c>
      <c r="F48" s="216">
        <v>7.1</v>
      </c>
      <c r="G48" s="158">
        <v>1</v>
      </c>
      <c r="H48" s="158">
        <v>9</v>
      </c>
      <c r="I48" s="158">
        <v>9</v>
      </c>
    </row>
    <row r="49" spans="1:9" s="91" customFormat="1" x14ac:dyDescent="0.3">
      <c r="A49" s="169" t="s">
        <v>402</v>
      </c>
      <c r="B49" s="91" t="s">
        <v>403</v>
      </c>
      <c r="C49" s="91" t="s">
        <v>405</v>
      </c>
      <c r="D49" s="91">
        <v>1</v>
      </c>
      <c r="E49" s="91">
        <v>999</v>
      </c>
      <c r="F49" s="216">
        <v>1.3</v>
      </c>
      <c r="G49" s="158">
        <v>4</v>
      </c>
      <c r="H49" s="158">
        <v>7</v>
      </c>
      <c r="I49" s="158">
        <v>17</v>
      </c>
    </row>
    <row r="50" spans="1:9" s="91" customFormat="1" x14ac:dyDescent="0.3">
      <c r="A50" s="169" t="s">
        <v>402</v>
      </c>
      <c r="B50" s="91" t="s">
        <v>403</v>
      </c>
      <c r="C50" s="91" t="s">
        <v>406</v>
      </c>
      <c r="D50" s="91">
        <v>1</v>
      </c>
      <c r="E50" s="91">
        <v>999</v>
      </c>
      <c r="F50" s="216">
        <v>9.8000000000000007</v>
      </c>
      <c r="G50" s="158">
        <v>4</v>
      </c>
      <c r="H50" s="158">
        <v>17</v>
      </c>
      <c r="I50" s="90">
        <v>13</v>
      </c>
    </row>
    <row r="51" spans="1:9" s="91" customFormat="1" x14ac:dyDescent="0.3">
      <c r="A51" s="169" t="s">
        <v>402</v>
      </c>
      <c r="B51" s="91" t="s">
        <v>403</v>
      </c>
      <c r="C51" s="91" t="s">
        <v>407</v>
      </c>
      <c r="D51" s="91">
        <v>1</v>
      </c>
      <c r="E51" s="91">
        <v>1</v>
      </c>
      <c r="F51" s="216">
        <v>8.5</v>
      </c>
      <c r="G51" s="90">
        <v>1</v>
      </c>
      <c r="H51" s="158">
        <v>7</v>
      </c>
      <c r="I51" s="158">
        <v>9</v>
      </c>
    </row>
    <row r="52" spans="1:9" s="91" customFormat="1" x14ac:dyDescent="0.3">
      <c r="A52" s="169" t="s">
        <v>402</v>
      </c>
      <c r="B52" s="91" t="s">
        <v>403</v>
      </c>
      <c r="C52" s="91" t="s">
        <v>407</v>
      </c>
      <c r="D52" s="91">
        <v>2</v>
      </c>
      <c r="E52" s="91">
        <v>999</v>
      </c>
      <c r="F52" s="216">
        <v>8.5</v>
      </c>
      <c r="G52" s="90">
        <v>1</v>
      </c>
      <c r="H52" s="158">
        <v>7</v>
      </c>
      <c r="I52" s="158">
        <v>9</v>
      </c>
    </row>
    <row r="53" spans="1:9" s="91" customFormat="1" x14ac:dyDescent="0.3">
      <c r="A53" s="169" t="s">
        <v>402</v>
      </c>
      <c r="B53" s="91" t="s">
        <v>403</v>
      </c>
      <c r="C53" s="91" t="s">
        <v>409</v>
      </c>
      <c r="D53" s="91">
        <v>1</v>
      </c>
      <c r="E53" s="91">
        <v>999</v>
      </c>
      <c r="F53" s="220">
        <v>26.2</v>
      </c>
      <c r="G53" s="158">
        <v>4</v>
      </c>
      <c r="H53" s="158">
        <v>7</v>
      </c>
      <c r="I53" s="158">
        <v>19</v>
      </c>
    </row>
    <row r="54" spans="1:9" s="91" customFormat="1" x14ac:dyDescent="0.3">
      <c r="A54" s="169" t="s">
        <v>402</v>
      </c>
      <c r="B54" s="91" t="s">
        <v>403</v>
      </c>
      <c r="C54" s="91" t="s">
        <v>408</v>
      </c>
      <c r="D54" s="91">
        <v>1</v>
      </c>
      <c r="E54" s="91">
        <v>999</v>
      </c>
      <c r="F54" s="220">
        <v>12.3</v>
      </c>
      <c r="G54" s="158">
        <v>2</v>
      </c>
      <c r="H54" s="158">
        <v>7</v>
      </c>
      <c r="I54" s="158">
        <v>18</v>
      </c>
    </row>
    <row r="55" spans="1:9" s="91" customFormat="1" ht="15" customHeight="1" x14ac:dyDescent="0.3">
      <c r="A55" s="169" t="s">
        <v>402</v>
      </c>
      <c r="B55" s="91" t="s">
        <v>403</v>
      </c>
      <c r="C55" s="91" t="s">
        <v>397</v>
      </c>
      <c r="D55" s="91">
        <v>1</v>
      </c>
      <c r="E55" s="91">
        <v>1</v>
      </c>
      <c r="F55" s="220">
        <v>13.3</v>
      </c>
      <c r="G55" s="90">
        <v>2</v>
      </c>
      <c r="H55" s="90">
        <v>7</v>
      </c>
      <c r="I55" s="158">
        <v>18</v>
      </c>
    </row>
    <row r="56" spans="1:9" s="91" customFormat="1" ht="15" customHeight="1" x14ac:dyDescent="0.3">
      <c r="A56" s="169" t="s">
        <v>402</v>
      </c>
      <c r="B56" s="91" t="s">
        <v>403</v>
      </c>
      <c r="C56" s="91" t="s">
        <v>397</v>
      </c>
      <c r="D56" s="91">
        <v>2</v>
      </c>
      <c r="E56" s="91">
        <v>999</v>
      </c>
      <c r="F56" s="216">
        <v>13.3</v>
      </c>
      <c r="G56" s="90">
        <v>2</v>
      </c>
      <c r="H56" s="90">
        <v>7</v>
      </c>
      <c r="I56" s="158">
        <v>18</v>
      </c>
    </row>
    <row r="57" spans="1:9" s="91" customFormat="1" ht="15" customHeight="1" x14ac:dyDescent="0.3">
      <c r="A57" s="169" t="s">
        <v>402</v>
      </c>
      <c r="B57" s="91" t="s">
        <v>403</v>
      </c>
      <c r="C57" s="91" t="s">
        <v>412</v>
      </c>
      <c r="D57" s="91">
        <v>1</v>
      </c>
      <c r="E57" s="91">
        <v>1</v>
      </c>
      <c r="F57" s="216">
        <v>13.2</v>
      </c>
      <c r="G57" s="90">
        <v>2</v>
      </c>
      <c r="H57" s="90">
        <v>7</v>
      </c>
      <c r="I57" s="158">
        <v>18</v>
      </c>
    </row>
    <row r="58" spans="1:9" s="91" customFormat="1" ht="15" customHeight="1" x14ac:dyDescent="0.3">
      <c r="A58" s="169" t="s">
        <v>402</v>
      </c>
      <c r="B58" s="91" t="s">
        <v>403</v>
      </c>
      <c r="C58" s="91" t="s">
        <v>412</v>
      </c>
      <c r="D58" s="91">
        <v>2</v>
      </c>
      <c r="E58" s="91">
        <v>999</v>
      </c>
      <c r="F58" s="216">
        <v>13.2</v>
      </c>
      <c r="G58" s="90">
        <v>2</v>
      </c>
      <c r="H58" s="90">
        <v>7</v>
      </c>
      <c r="I58" s="158">
        <v>18</v>
      </c>
    </row>
    <row r="59" spans="1:9" s="91" customFormat="1" ht="15" customHeight="1" x14ac:dyDescent="0.3">
      <c r="A59" s="169" t="s">
        <v>402</v>
      </c>
      <c r="B59" s="91" t="s">
        <v>403</v>
      </c>
      <c r="C59" s="91" t="s">
        <v>424</v>
      </c>
      <c r="D59" s="91">
        <v>1</v>
      </c>
      <c r="E59" s="91">
        <v>999</v>
      </c>
      <c r="F59" s="216">
        <v>7.1</v>
      </c>
      <c r="G59" s="90">
        <v>1</v>
      </c>
      <c r="H59" s="90">
        <v>7</v>
      </c>
      <c r="I59" s="158">
        <v>17</v>
      </c>
    </row>
    <row r="60" spans="1:9" s="91" customFormat="1" ht="15" customHeight="1" x14ac:dyDescent="0.3">
      <c r="A60" s="169" t="s">
        <v>402</v>
      </c>
      <c r="B60" s="91" t="s">
        <v>403</v>
      </c>
      <c r="C60" s="91" t="s">
        <v>425</v>
      </c>
      <c r="D60" s="91">
        <v>1</v>
      </c>
      <c r="E60" s="91">
        <v>999</v>
      </c>
      <c r="F60" s="216">
        <v>7.1</v>
      </c>
      <c r="G60" s="90">
        <v>1</v>
      </c>
      <c r="H60" s="90">
        <v>7</v>
      </c>
      <c r="I60" s="158">
        <v>17</v>
      </c>
    </row>
    <row r="61" spans="1:9" s="91" customFormat="1" ht="15" customHeight="1" x14ac:dyDescent="0.3">
      <c r="A61" s="169" t="s">
        <v>402</v>
      </c>
      <c r="B61" s="91" t="s">
        <v>403</v>
      </c>
      <c r="C61" s="91" t="s">
        <v>426</v>
      </c>
      <c r="D61" s="91">
        <v>1</v>
      </c>
      <c r="E61" s="91">
        <v>999</v>
      </c>
      <c r="F61" s="216">
        <v>7.1</v>
      </c>
      <c r="G61" s="90">
        <v>1</v>
      </c>
      <c r="H61" s="90">
        <v>7</v>
      </c>
      <c r="I61" s="158">
        <v>17</v>
      </c>
    </row>
    <row r="62" spans="1:9" s="91" customFormat="1" ht="15" customHeight="1" x14ac:dyDescent="0.3">
      <c r="A62" s="169" t="s">
        <v>402</v>
      </c>
      <c r="B62" s="91" t="s">
        <v>403</v>
      </c>
      <c r="C62" s="91" t="s">
        <v>427</v>
      </c>
      <c r="D62" s="91">
        <v>1</v>
      </c>
      <c r="E62" s="91">
        <v>999</v>
      </c>
      <c r="F62" s="216">
        <v>7.1</v>
      </c>
      <c r="G62" s="90">
        <v>1</v>
      </c>
      <c r="H62" s="90">
        <v>7</v>
      </c>
      <c r="I62" s="158">
        <v>17</v>
      </c>
    </row>
    <row r="63" spans="1:9" s="91" customFormat="1" ht="15" customHeight="1" x14ac:dyDescent="0.3">
      <c r="A63" s="169" t="s">
        <v>402</v>
      </c>
      <c r="B63" s="91" t="s">
        <v>403</v>
      </c>
      <c r="C63" s="91" t="s">
        <v>428</v>
      </c>
      <c r="D63" s="91">
        <v>1</v>
      </c>
      <c r="E63" s="91">
        <v>999</v>
      </c>
      <c r="F63" s="216">
        <v>7.1</v>
      </c>
      <c r="G63" s="90">
        <v>1</v>
      </c>
      <c r="H63" s="90">
        <v>7</v>
      </c>
      <c r="I63" s="158">
        <v>17</v>
      </c>
    </row>
    <row r="64" spans="1:9" s="91" customFormat="1" ht="15" customHeight="1" x14ac:dyDescent="0.3">
      <c r="A64" s="169" t="s">
        <v>402</v>
      </c>
      <c r="B64" s="91" t="s">
        <v>403</v>
      </c>
      <c r="C64" s="91" t="s">
        <v>429</v>
      </c>
      <c r="D64" s="91">
        <v>1</v>
      </c>
      <c r="E64" s="91">
        <v>999</v>
      </c>
      <c r="F64" s="216">
        <v>7.1</v>
      </c>
      <c r="G64" s="90">
        <v>1</v>
      </c>
      <c r="H64" s="90">
        <v>7</v>
      </c>
      <c r="I64" s="158">
        <v>17</v>
      </c>
    </row>
    <row r="65" spans="1:9" s="91" customFormat="1" ht="15" customHeight="1" x14ac:dyDescent="0.3">
      <c r="A65" s="169" t="s">
        <v>402</v>
      </c>
      <c r="B65" s="91" t="s">
        <v>403</v>
      </c>
      <c r="C65" s="91" t="s">
        <v>430</v>
      </c>
      <c r="D65" s="91">
        <v>1</v>
      </c>
      <c r="E65" s="91">
        <v>999</v>
      </c>
      <c r="F65" s="216">
        <v>7.1</v>
      </c>
      <c r="G65" s="90">
        <v>1</v>
      </c>
      <c r="H65" s="90">
        <v>7</v>
      </c>
      <c r="I65" s="158">
        <v>17</v>
      </c>
    </row>
    <row r="66" spans="1:9" s="91" customFormat="1" x14ac:dyDescent="0.3">
      <c r="A66" s="169" t="s">
        <v>402</v>
      </c>
      <c r="B66" s="91" t="s">
        <v>403</v>
      </c>
      <c r="C66" s="91" t="s">
        <v>431</v>
      </c>
      <c r="D66" s="91">
        <v>1</v>
      </c>
      <c r="E66" s="91">
        <v>999</v>
      </c>
      <c r="F66" s="216">
        <v>7.1</v>
      </c>
      <c r="G66" s="90">
        <v>1</v>
      </c>
      <c r="H66" s="90">
        <v>7</v>
      </c>
      <c r="I66" s="158">
        <v>17</v>
      </c>
    </row>
    <row r="67" spans="1:9" s="91" customFormat="1" x14ac:dyDescent="0.3">
      <c r="A67" s="169" t="s">
        <v>402</v>
      </c>
      <c r="B67" s="91" t="s">
        <v>403</v>
      </c>
      <c r="C67" s="91" t="s">
        <v>432</v>
      </c>
      <c r="D67" s="91">
        <v>1</v>
      </c>
      <c r="E67" s="91">
        <v>999</v>
      </c>
      <c r="F67" s="216">
        <v>7.1</v>
      </c>
      <c r="G67" s="90">
        <v>1</v>
      </c>
      <c r="H67" s="90">
        <v>7</v>
      </c>
      <c r="I67" s="158">
        <v>17</v>
      </c>
    </row>
    <row r="68" spans="1:9" s="91" customFormat="1" x14ac:dyDescent="0.3">
      <c r="A68" s="169" t="s">
        <v>402</v>
      </c>
      <c r="B68" s="91" t="s">
        <v>403</v>
      </c>
      <c r="C68" s="91" t="s">
        <v>415</v>
      </c>
      <c r="D68" s="91">
        <v>1</v>
      </c>
      <c r="E68" s="91">
        <v>999</v>
      </c>
      <c r="F68" s="216">
        <v>8.4</v>
      </c>
      <c r="G68" s="90">
        <v>1</v>
      </c>
      <c r="H68" s="90">
        <v>7</v>
      </c>
      <c r="I68" s="158">
        <v>17</v>
      </c>
    </row>
    <row r="69" spans="1:9" s="91" customFormat="1" x14ac:dyDescent="0.3">
      <c r="A69" s="169" t="s">
        <v>402</v>
      </c>
      <c r="B69" s="91" t="s">
        <v>403</v>
      </c>
      <c r="C69" s="91" t="s">
        <v>416</v>
      </c>
      <c r="D69" s="91">
        <v>1</v>
      </c>
      <c r="E69" s="91">
        <v>999</v>
      </c>
      <c r="F69" s="216">
        <v>8.4</v>
      </c>
      <c r="G69" s="90">
        <v>1</v>
      </c>
      <c r="H69" s="90">
        <v>7</v>
      </c>
      <c r="I69" s="158">
        <v>17</v>
      </c>
    </row>
    <row r="70" spans="1:9" s="91" customFormat="1" x14ac:dyDescent="0.3">
      <c r="A70" s="169" t="s">
        <v>402</v>
      </c>
      <c r="B70" s="91" t="s">
        <v>403</v>
      </c>
      <c r="C70" s="91" t="s">
        <v>417</v>
      </c>
      <c r="D70" s="91">
        <v>1</v>
      </c>
      <c r="E70" s="91">
        <v>999</v>
      </c>
      <c r="F70" s="216">
        <v>8.4</v>
      </c>
      <c r="G70" s="90">
        <v>1</v>
      </c>
      <c r="H70" s="90">
        <v>7</v>
      </c>
      <c r="I70" s="158">
        <v>17</v>
      </c>
    </row>
    <row r="71" spans="1:9" s="91" customFormat="1" x14ac:dyDescent="0.3">
      <c r="A71" s="169" t="s">
        <v>402</v>
      </c>
      <c r="B71" s="91" t="s">
        <v>403</v>
      </c>
      <c r="C71" s="91" t="s">
        <v>418</v>
      </c>
      <c r="D71" s="91">
        <v>1</v>
      </c>
      <c r="E71" s="91">
        <v>999</v>
      </c>
      <c r="F71" s="216">
        <v>8.4</v>
      </c>
      <c r="G71" s="90">
        <v>1</v>
      </c>
      <c r="H71" s="90">
        <v>7</v>
      </c>
      <c r="I71" s="158">
        <v>17</v>
      </c>
    </row>
    <row r="72" spans="1:9" s="91" customFormat="1" x14ac:dyDescent="0.3">
      <c r="A72" s="169" t="s">
        <v>402</v>
      </c>
      <c r="B72" s="91" t="s">
        <v>403</v>
      </c>
      <c r="C72" s="91" t="s">
        <v>419</v>
      </c>
      <c r="D72" s="91">
        <v>1</v>
      </c>
      <c r="E72" s="91">
        <v>999</v>
      </c>
      <c r="F72" s="216">
        <v>8.4</v>
      </c>
      <c r="G72" s="90">
        <v>1</v>
      </c>
      <c r="H72" s="90">
        <v>7</v>
      </c>
      <c r="I72" s="158">
        <v>17</v>
      </c>
    </row>
    <row r="73" spans="1:9" s="91" customFormat="1" x14ac:dyDescent="0.3">
      <c r="A73" s="169" t="s">
        <v>402</v>
      </c>
      <c r="B73" s="91" t="s">
        <v>403</v>
      </c>
      <c r="C73" s="91" t="s">
        <v>420</v>
      </c>
      <c r="D73" s="91">
        <v>1</v>
      </c>
      <c r="E73" s="91">
        <v>999</v>
      </c>
      <c r="F73" s="216">
        <v>8.4</v>
      </c>
      <c r="G73" s="90">
        <v>1</v>
      </c>
      <c r="H73" s="90">
        <v>7</v>
      </c>
      <c r="I73" s="158">
        <v>17</v>
      </c>
    </row>
    <row r="74" spans="1:9" s="91" customFormat="1" x14ac:dyDescent="0.3">
      <c r="A74" s="169" t="s">
        <v>402</v>
      </c>
      <c r="B74" s="91" t="s">
        <v>403</v>
      </c>
      <c r="C74" s="91" t="s">
        <v>421</v>
      </c>
      <c r="D74" s="91">
        <v>1</v>
      </c>
      <c r="E74" s="91">
        <v>999</v>
      </c>
      <c r="F74" s="216">
        <v>8.4</v>
      </c>
      <c r="G74" s="90">
        <v>1</v>
      </c>
      <c r="H74" s="90">
        <v>7</v>
      </c>
      <c r="I74" s="158">
        <v>17</v>
      </c>
    </row>
    <row r="75" spans="1:9" s="91" customFormat="1" x14ac:dyDescent="0.3">
      <c r="A75" s="169" t="s">
        <v>402</v>
      </c>
      <c r="B75" s="91" t="s">
        <v>403</v>
      </c>
      <c r="C75" s="91" t="s">
        <v>422</v>
      </c>
      <c r="D75" s="91">
        <v>1</v>
      </c>
      <c r="E75" s="91">
        <v>999</v>
      </c>
      <c r="F75" s="216">
        <v>8.4</v>
      </c>
      <c r="G75" s="90">
        <v>1</v>
      </c>
      <c r="H75" s="90">
        <v>7</v>
      </c>
      <c r="I75" s="158">
        <v>17</v>
      </c>
    </row>
    <row r="76" spans="1:9" s="91" customFormat="1" x14ac:dyDescent="0.3">
      <c r="A76" s="169" t="s">
        <v>402</v>
      </c>
      <c r="B76" s="91" t="s">
        <v>403</v>
      </c>
      <c r="C76" s="91" t="s">
        <v>423</v>
      </c>
      <c r="D76" s="91">
        <v>1</v>
      </c>
      <c r="E76" s="91">
        <v>999</v>
      </c>
      <c r="F76" s="216">
        <v>8.4</v>
      </c>
      <c r="G76" s="90">
        <v>1</v>
      </c>
      <c r="H76" s="90">
        <v>7</v>
      </c>
      <c r="I76" s="158">
        <v>17</v>
      </c>
    </row>
    <row r="77" spans="1:9" s="91" customFormat="1" x14ac:dyDescent="0.3">
      <c r="A77" s="169" t="s">
        <v>402</v>
      </c>
      <c r="B77" s="91" t="s">
        <v>403</v>
      </c>
      <c r="C77" s="91" t="s">
        <v>438</v>
      </c>
      <c r="D77" s="91">
        <v>1</v>
      </c>
      <c r="E77" s="91">
        <v>1</v>
      </c>
      <c r="F77" s="220">
        <v>7</v>
      </c>
      <c r="G77" s="90">
        <v>1</v>
      </c>
      <c r="H77" s="90">
        <v>7</v>
      </c>
      <c r="I77" s="158">
        <v>9</v>
      </c>
    </row>
    <row r="78" spans="1:9" s="91" customFormat="1" x14ac:dyDescent="0.3">
      <c r="A78" s="169" t="s">
        <v>402</v>
      </c>
      <c r="B78" s="91" t="s">
        <v>403</v>
      </c>
      <c r="C78" s="91" t="s">
        <v>436</v>
      </c>
      <c r="D78" s="91">
        <v>1</v>
      </c>
      <c r="E78" s="91">
        <v>1</v>
      </c>
      <c r="F78" s="220">
        <v>14.1</v>
      </c>
      <c r="G78" s="90">
        <v>2</v>
      </c>
      <c r="H78" s="90">
        <v>7</v>
      </c>
      <c r="I78" s="158">
        <v>18</v>
      </c>
    </row>
    <row r="79" spans="1:9" s="91" customFormat="1" x14ac:dyDescent="0.3">
      <c r="A79" s="169" t="s">
        <v>402</v>
      </c>
      <c r="B79" s="91" t="s">
        <v>403</v>
      </c>
      <c r="C79" s="91" t="s">
        <v>437</v>
      </c>
      <c r="D79" s="91">
        <v>1</v>
      </c>
      <c r="E79" s="91">
        <v>1</v>
      </c>
      <c r="F79" s="220">
        <v>9.6</v>
      </c>
      <c r="G79" s="90">
        <v>2</v>
      </c>
      <c r="H79" s="90">
        <v>7</v>
      </c>
      <c r="I79" s="158">
        <v>9</v>
      </c>
    </row>
    <row r="80" spans="1:9" s="91" customFormat="1" x14ac:dyDescent="0.3">
      <c r="A80" s="169" t="s">
        <v>402</v>
      </c>
      <c r="B80" s="91" t="s">
        <v>403</v>
      </c>
      <c r="C80" s="91" t="s">
        <v>440</v>
      </c>
      <c r="D80" s="91">
        <v>1</v>
      </c>
      <c r="E80" s="91">
        <v>1</v>
      </c>
      <c r="F80" s="220">
        <v>4.3</v>
      </c>
      <c r="G80" s="90">
        <v>1</v>
      </c>
      <c r="H80" s="90">
        <v>7</v>
      </c>
      <c r="I80" s="158">
        <v>9</v>
      </c>
    </row>
    <row r="81" spans="1:9" s="91" customFormat="1" x14ac:dyDescent="0.3">
      <c r="A81" s="169" t="s">
        <v>402</v>
      </c>
      <c r="B81" s="91" t="s">
        <v>403</v>
      </c>
      <c r="C81" s="91" t="s">
        <v>442</v>
      </c>
      <c r="D81" s="91">
        <v>1</v>
      </c>
      <c r="E81" s="91">
        <v>1</v>
      </c>
      <c r="F81" s="220">
        <v>13.4</v>
      </c>
      <c r="G81" s="90">
        <v>2</v>
      </c>
      <c r="H81" s="90">
        <v>9</v>
      </c>
      <c r="I81" s="90">
        <v>9</v>
      </c>
    </row>
    <row r="82" spans="1:9" s="91" customFormat="1" x14ac:dyDescent="0.3">
      <c r="A82" s="169" t="s">
        <v>402</v>
      </c>
      <c r="B82" s="91" t="s">
        <v>403</v>
      </c>
      <c r="C82" s="91" t="s">
        <v>443</v>
      </c>
      <c r="D82" s="91">
        <v>1</v>
      </c>
      <c r="E82" s="91">
        <v>1</v>
      </c>
      <c r="F82" s="220">
        <v>13.4</v>
      </c>
      <c r="G82" s="90">
        <v>2</v>
      </c>
      <c r="H82" s="90">
        <v>9</v>
      </c>
      <c r="I82" s="90">
        <v>9</v>
      </c>
    </row>
    <row r="83" spans="1:9" s="91" customFormat="1" x14ac:dyDescent="0.3">
      <c r="A83" s="169" t="s">
        <v>402</v>
      </c>
      <c r="B83" s="91" t="s">
        <v>403</v>
      </c>
      <c r="C83" s="91" t="s">
        <v>444</v>
      </c>
      <c r="D83" s="91">
        <v>1</v>
      </c>
      <c r="E83" s="91">
        <v>1</v>
      </c>
      <c r="F83" s="220">
        <v>13.4</v>
      </c>
      <c r="G83" s="90">
        <v>2</v>
      </c>
      <c r="H83" s="90">
        <v>9</v>
      </c>
      <c r="I83" s="90">
        <v>9</v>
      </c>
    </row>
    <row r="84" spans="1:9" s="91" customFormat="1" x14ac:dyDescent="0.3">
      <c r="A84" s="169" t="s">
        <v>402</v>
      </c>
      <c r="B84" s="91" t="s">
        <v>403</v>
      </c>
      <c r="C84" s="91" t="s">
        <v>445</v>
      </c>
      <c r="D84" s="91">
        <v>1</v>
      </c>
      <c r="E84" s="91">
        <v>1</v>
      </c>
      <c r="F84" s="220">
        <v>13.4</v>
      </c>
      <c r="G84" s="90">
        <v>2</v>
      </c>
      <c r="H84" s="90">
        <v>9</v>
      </c>
      <c r="I84" s="90">
        <v>9</v>
      </c>
    </row>
    <row r="85" spans="1:9" s="91" customFormat="1" x14ac:dyDescent="0.3">
      <c r="A85" s="169" t="s">
        <v>402</v>
      </c>
      <c r="B85" s="91" t="s">
        <v>403</v>
      </c>
      <c r="C85" s="91" t="s">
        <v>446</v>
      </c>
      <c r="D85" s="91">
        <v>1</v>
      </c>
      <c r="E85" s="91">
        <v>1</v>
      </c>
      <c r="F85" s="220">
        <v>13.4</v>
      </c>
      <c r="G85" s="90">
        <v>2</v>
      </c>
      <c r="H85" s="90">
        <v>9</v>
      </c>
      <c r="I85" s="90">
        <v>9</v>
      </c>
    </row>
    <row r="86" spans="1:9" s="91" customFormat="1" x14ac:dyDescent="0.3">
      <c r="A86" s="169" t="s">
        <v>402</v>
      </c>
      <c r="B86" s="91" t="s">
        <v>403</v>
      </c>
      <c r="C86" s="91" t="s">
        <v>447</v>
      </c>
      <c r="D86" s="91">
        <v>1</v>
      </c>
      <c r="E86" s="91">
        <v>1</v>
      </c>
      <c r="F86" s="220">
        <v>13.4</v>
      </c>
      <c r="G86" s="90">
        <v>2</v>
      </c>
      <c r="H86" s="90">
        <v>9</v>
      </c>
      <c r="I86" s="90">
        <v>9</v>
      </c>
    </row>
    <row r="87" spans="1:9" s="91" customFormat="1" x14ac:dyDescent="0.3">
      <c r="A87" s="169" t="s">
        <v>402</v>
      </c>
      <c r="B87" s="91" t="s">
        <v>403</v>
      </c>
      <c r="C87" s="91" t="s">
        <v>448</v>
      </c>
      <c r="D87" s="91">
        <v>1</v>
      </c>
      <c r="E87" s="91">
        <v>1</v>
      </c>
      <c r="F87" s="220">
        <v>13.4</v>
      </c>
      <c r="G87" s="90">
        <v>2</v>
      </c>
      <c r="H87" s="90">
        <v>9</v>
      </c>
      <c r="I87" s="90">
        <v>9</v>
      </c>
    </row>
    <row r="88" spans="1:9" s="91" customFormat="1" x14ac:dyDescent="0.3">
      <c r="A88" s="169" t="s">
        <v>402</v>
      </c>
      <c r="B88" s="91" t="s">
        <v>403</v>
      </c>
      <c r="C88" s="91" t="s">
        <v>449</v>
      </c>
      <c r="D88" s="91">
        <v>1</v>
      </c>
      <c r="E88" s="91">
        <v>1</v>
      </c>
      <c r="F88" s="220">
        <v>13.4</v>
      </c>
      <c r="G88" s="90">
        <v>2</v>
      </c>
      <c r="H88" s="90">
        <v>9</v>
      </c>
      <c r="I88" s="90">
        <v>9</v>
      </c>
    </row>
    <row r="89" spans="1:9" s="91" customFormat="1" x14ac:dyDescent="0.3">
      <c r="A89" s="169" t="s">
        <v>402</v>
      </c>
      <c r="B89" s="91" t="s">
        <v>403</v>
      </c>
      <c r="C89" s="91" t="s">
        <v>450</v>
      </c>
      <c r="D89" s="91">
        <v>1</v>
      </c>
      <c r="E89" s="91">
        <v>1</v>
      </c>
      <c r="F89" s="220">
        <v>13.4</v>
      </c>
      <c r="G89" s="90">
        <v>2</v>
      </c>
      <c r="H89" s="90">
        <v>9</v>
      </c>
      <c r="I89" s="90">
        <v>9</v>
      </c>
    </row>
    <row r="90" spans="1:9" s="91" customFormat="1" x14ac:dyDescent="0.3">
      <c r="A90" s="169" t="s">
        <v>402</v>
      </c>
      <c r="B90" s="91" t="s">
        <v>403</v>
      </c>
      <c r="C90" s="91" t="s">
        <v>453</v>
      </c>
      <c r="D90" s="91">
        <v>1</v>
      </c>
      <c r="E90" s="91">
        <v>1</v>
      </c>
      <c r="F90" s="220">
        <v>10.7</v>
      </c>
      <c r="G90" s="90">
        <v>2</v>
      </c>
      <c r="H90" s="90">
        <v>7</v>
      </c>
      <c r="I90" s="158">
        <v>9</v>
      </c>
    </row>
    <row r="91" spans="1:9" s="91" customFormat="1" x14ac:dyDescent="0.3">
      <c r="A91" s="169" t="s">
        <v>402</v>
      </c>
      <c r="B91" s="91" t="s">
        <v>403</v>
      </c>
      <c r="C91" s="91" t="s">
        <v>495</v>
      </c>
      <c r="D91" s="91">
        <v>1</v>
      </c>
      <c r="E91" s="91">
        <v>1</v>
      </c>
      <c r="F91" s="220">
        <v>17.2</v>
      </c>
      <c r="G91" s="90">
        <v>3</v>
      </c>
      <c r="H91" s="90">
        <v>7</v>
      </c>
      <c r="I91" s="158">
        <v>17</v>
      </c>
    </row>
    <row r="92" spans="1:9" s="91" customFormat="1" x14ac:dyDescent="0.3">
      <c r="A92" s="169" t="s">
        <v>402</v>
      </c>
      <c r="B92" s="91" t="s">
        <v>403</v>
      </c>
      <c r="C92" s="91" t="s">
        <v>496</v>
      </c>
      <c r="D92" s="91">
        <v>1</v>
      </c>
      <c r="E92" s="91">
        <v>1</v>
      </c>
      <c r="F92" s="220">
        <v>23.6</v>
      </c>
      <c r="G92" s="90">
        <v>3</v>
      </c>
      <c r="H92" s="90">
        <v>7</v>
      </c>
      <c r="I92" s="158">
        <v>19</v>
      </c>
    </row>
    <row r="93" spans="1:9" s="91" customFormat="1" x14ac:dyDescent="0.3">
      <c r="A93" s="169" t="s">
        <v>402</v>
      </c>
      <c r="B93" s="91" t="s">
        <v>403</v>
      </c>
      <c r="C93" s="91" t="s">
        <v>501</v>
      </c>
      <c r="D93" s="91">
        <v>1</v>
      </c>
      <c r="E93" s="91">
        <v>999</v>
      </c>
      <c r="F93" s="220">
        <v>10.8</v>
      </c>
      <c r="G93" s="90">
        <v>2</v>
      </c>
      <c r="H93" s="90">
        <v>7</v>
      </c>
      <c r="I93" s="158">
        <v>17</v>
      </c>
    </row>
    <row r="94" spans="1:9" s="91" customFormat="1" x14ac:dyDescent="0.3">
      <c r="A94" s="169" t="s">
        <v>402</v>
      </c>
      <c r="B94" s="91" t="s">
        <v>403</v>
      </c>
      <c r="C94" s="91" t="s">
        <v>499</v>
      </c>
      <c r="D94" s="91">
        <v>1</v>
      </c>
      <c r="E94" s="91">
        <v>999</v>
      </c>
      <c r="F94" s="220">
        <v>6.9</v>
      </c>
      <c r="G94" s="90">
        <v>1</v>
      </c>
      <c r="H94" s="90">
        <v>7</v>
      </c>
      <c r="I94" s="158">
        <v>17</v>
      </c>
    </row>
    <row r="95" spans="1:9" s="91" customFormat="1" x14ac:dyDescent="0.3">
      <c r="A95" s="169" t="s">
        <v>402</v>
      </c>
      <c r="B95" s="91" t="s">
        <v>403</v>
      </c>
      <c r="C95" s="91" t="s">
        <v>502</v>
      </c>
      <c r="D95" s="91">
        <v>1</v>
      </c>
      <c r="E95" s="91">
        <v>999</v>
      </c>
      <c r="F95" s="220">
        <v>21.5</v>
      </c>
      <c r="G95" s="90">
        <v>3</v>
      </c>
      <c r="H95" s="90">
        <v>7</v>
      </c>
      <c r="I95" s="158">
        <v>18</v>
      </c>
    </row>
    <row r="96" spans="1:9" s="91" customFormat="1" x14ac:dyDescent="0.3">
      <c r="A96" s="169" t="s">
        <v>402</v>
      </c>
      <c r="B96" s="91" t="s">
        <v>403</v>
      </c>
      <c r="C96" s="91" t="s">
        <v>500</v>
      </c>
      <c r="D96" s="91">
        <v>1</v>
      </c>
      <c r="E96" s="91">
        <v>999</v>
      </c>
      <c r="F96" s="220">
        <v>5.6</v>
      </c>
      <c r="G96" s="90">
        <v>1</v>
      </c>
      <c r="H96" s="90">
        <v>7</v>
      </c>
      <c r="I96" s="158">
        <v>9</v>
      </c>
    </row>
    <row r="97" spans="1:9" s="91" customFormat="1" x14ac:dyDescent="0.3">
      <c r="A97" s="169" t="s">
        <v>402</v>
      </c>
      <c r="B97" s="91" t="s">
        <v>403</v>
      </c>
      <c r="C97" s="91" t="s">
        <v>503</v>
      </c>
      <c r="D97" s="91">
        <v>1</v>
      </c>
      <c r="E97" s="91">
        <v>1</v>
      </c>
      <c r="F97" s="220">
        <v>9.8000000000000007</v>
      </c>
      <c r="G97" s="90">
        <v>2</v>
      </c>
      <c r="H97" s="90">
        <v>7</v>
      </c>
      <c r="I97" s="158">
        <v>17</v>
      </c>
    </row>
    <row r="98" spans="1:9" s="91" customFormat="1" x14ac:dyDescent="0.3">
      <c r="A98" s="169" t="s">
        <v>402</v>
      </c>
      <c r="B98" s="91" t="s">
        <v>403</v>
      </c>
      <c r="C98" s="91" t="s">
        <v>504</v>
      </c>
      <c r="D98" s="91">
        <v>1</v>
      </c>
      <c r="E98" s="91">
        <v>1</v>
      </c>
      <c r="F98" s="220">
        <v>9.8000000000000007</v>
      </c>
      <c r="G98" s="90">
        <v>2</v>
      </c>
      <c r="H98" s="90">
        <v>7</v>
      </c>
      <c r="I98" s="158">
        <v>17</v>
      </c>
    </row>
    <row r="99" spans="1:9" s="91" customFormat="1" x14ac:dyDescent="0.3">
      <c r="A99" s="169" t="s">
        <v>402</v>
      </c>
      <c r="B99" s="91" t="s">
        <v>403</v>
      </c>
      <c r="C99" s="91" t="s">
        <v>505</v>
      </c>
      <c r="D99" s="91">
        <v>1</v>
      </c>
      <c r="E99" s="91">
        <v>1</v>
      </c>
      <c r="F99" s="220">
        <v>9.8000000000000007</v>
      </c>
      <c r="G99" s="90">
        <v>2</v>
      </c>
      <c r="H99" s="90">
        <v>7</v>
      </c>
      <c r="I99" s="158">
        <v>17</v>
      </c>
    </row>
    <row r="100" spans="1:9" s="91" customFormat="1" x14ac:dyDescent="0.3">
      <c r="A100" s="169" t="s">
        <v>402</v>
      </c>
      <c r="B100" s="91" t="s">
        <v>403</v>
      </c>
      <c r="C100" s="91" t="s">
        <v>506</v>
      </c>
      <c r="D100" s="91">
        <v>1</v>
      </c>
      <c r="E100" s="91">
        <v>1</v>
      </c>
      <c r="F100" s="220">
        <v>9.8000000000000007</v>
      </c>
      <c r="G100" s="90">
        <v>2</v>
      </c>
      <c r="H100" s="90">
        <v>7</v>
      </c>
      <c r="I100" s="158">
        <v>17</v>
      </c>
    </row>
    <row r="101" spans="1:9" s="91" customFormat="1" x14ac:dyDescent="0.3">
      <c r="A101" s="169" t="s">
        <v>402</v>
      </c>
      <c r="B101" s="91" t="s">
        <v>403</v>
      </c>
      <c r="C101" s="91" t="s">
        <v>507</v>
      </c>
      <c r="D101" s="91">
        <v>1</v>
      </c>
      <c r="E101" s="91">
        <v>1</v>
      </c>
      <c r="F101" s="220">
        <v>9.8000000000000007</v>
      </c>
      <c r="G101" s="90">
        <v>2</v>
      </c>
      <c r="H101" s="90">
        <v>7</v>
      </c>
      <c r="I101" s="158">
        <v>17</v>
      </c>
    </row>
    <row r="102" spans="1:9" s="91" customFormat="1" x14ac:dyDescent="0.3">
      <c r="A102" s="169" t="s">
        <v>402</v>
      </c>
      <c r="B102" s="91" t="s">
        <v>403</v>
      </c>
      <c r="C102" s="91" t="s">
        <v>508</v>
      </c>
      <c r="D102" s="91">
        <v>1</v>
      </c>
      <c r="E102" s="91">
        <v>1</v>
      </c>
      <c r="F102" s="220">
        <v>9.8000000000000007</v>
      </c>
      <c r="G102" s="90">
        <v>2</v>
      </c>
      <c r="H102" s="90">
        <v>7</v>
      </c>
      <c r="I102" s="158">
        <v>17</v>
      </c>
    </row>
    <row r="103" spans="1:9" s="91" customFormat="1" x14ac:dyDescent="0.3">
      <c r="A103" s="169" t="s">
        <v>402</v>
      </c>
      <c r="B103" s="91" t="s">
        <v>403</v>
      </c>
      <c r="C103" s="91" t="s">
        <v>509</v>
      </c>
      <c r="D103" s="91">
        <v>1</v>
      </c>
      <c r="E103" s="91">
        <v>1</v>
      </c>
      <c r="F103" s="220">
        <v>9.8000000000000007</v>
      </c>
      <c r="G103" s="90">
        <v>2</v>
      </c>
      <c r="H103" s="90">
        <v>7</v>
      </c>
      <c r="I103" s="158">
        <v>17</v>
      </c>
    </row>
    <row r="104" spans="1:9" s="91" customFormat="1" x14ac:dyDescent="0.3">
      <c r="A104" s="169" t="s">
        <v>402</v>
      </c>
      <c r="B104" s="91" t="s">
        <v>403</v>
      </c>
      <c r="C104" s="91" t="s">
        <v>510</v>
      </c>
      <c r="D104" s="91">
        <v>1</v>
      </c>
      <c r="E104" s="91">
        <v>1</v>
      </c>
      <c r="F104" s="220">
        <v>9.8000000000000007</v>
      </c>
      <c r="G104" s="90">
        <v>2</v>
      </c>
      <c r="H104" s="90">
        <v>7</v>
      </c>
      <c r="I104" s="158">
        <v>17</v>
      </c>
    </row>
    <row r="105" spans="1:9" s="91" customFormat="1" x14ac:dyDescent="0.3">
      <c r="A105" s="169" t="s">
        <v>402</v>
      </c>
      <c r="B105" s="91" t="s">
        <v>403</v>
      </c>
      <c r="C105" s="91" t="s">
        <v>511</v>
      </c>
      <c r="D105" s="91">
        <v>1</v>
      </c>
      <c r="E105" s="91">
        <v>1</v>
      </c>
      <c r="F105" s="220">
        <v>9.8000000000000007</v>
      </c>
      <c r="G105" s="90">
        <v>2</v>
      </c>
      <c r="H105" s="90">
        <v>7</v>
      </c>
      <c r="I105" s="158">
        <v>17</v>
      </c>
    </row>
    <row r="106" spans="1:9" s="91" customFormat="1" x14ac:dyDescent="0.3">
      <c r="A106" s="169" t="s">
        <v>402</v>
      </c>
      <c r="B106" s="91" t="s">
        <v>403</v>
      </c>
      <c r="C106" s="91" t="s">
        <v>512</v>
      </c>
      <c r="D106" s="91">
        <v>1</v>
      </c>
      <c r="E106" s="91">
        <v>1</v>
      </c>
      <c r="F106" s="216">
        <v>9.4</v>
      </c>
      <c r="G106" s="90">
        <v>2</v>
      </c>
      <c r="H106" s="90">
        <v>7</v>
      </c>
      <c r="I106" s="158">
        <v>17</v>
      </c>
    </row>
    <row r="107" spans="1:9" s="91" customFormat="1" x14ac:dyDescent="0.3">
      <c r="A107" s="169" t="s">
        <v>402</v>
      </c>
      <c r="B107" s="91" t="s">
        <v>403</v>
      </c>
      <c r="C107" s="91" t="s">
        <v>580</v>
      </c>
      <c r="D107" s="91">
        <v>1</v>
      </c>
      <c r="E107" s="91">
        <v>1</v>
      </c>
      <c r="F107" s="216">
        <v>10.5</v>
      </c>
      <c r="G107" s="90">
        <v>2</v>
      </c>
      <c r="H107" s="90">
        <v>7</v>
      </c>
      <c r="I107" s="158">
        <v>17</v>
      </c>
    </row>
    <row r="108" spans="1:9" s="91" customFormat="1" x14ac:dyDescent="0.3">
      <c r="A108" s="169" t="s">
        <v>402</v>
      </c>
      <c r="B108" s="91" t="s">
        <v>403</v>
      </c>
      <c r="C108" s="91" t="s">
        <v>581</v>
      </c>
      <c r="D108" s="91">
        <v>1</v>
      </c>
      <c r="E108" s="91">
        <v>1</v>
      </c>
      <c r="F108" s="216">
        <v>10.5</v>
      </c>
      <c r="G108" s="90">
        <v>2</v>
      </c>
      <c r="H108" s="90">
        <v>7</v>
      </c>
      <c r="I108" s="158">
        <v>17</v>
      </c>
    </row>
    <row r="109" spans="1:9" s="91" customFormat="1" x14ac:dyDescent="0.3">
      <c r="A109" s="169" t="s">
        <v>402</v>
      </c>
      <c r="B109" s="91" t="s">
        <v>403</v>
      </c>
      <c r="C109" s="91" t="s">
        <v>582</v>
      </c>
      <c r="D109" s="91">
        <v>1</v>
      </c>
      <c r="E109" s="91">
        <v>1</v>
      </c>
      <c r="F109" s="216">
        <v>10.5</v>
      </c>
      <c r="G109" s="90">
        <v>2</v>
      </c>
      <c r="H109" s="90">
        <v>7</v>
      </c>
      <c r="I109" s="158">
        <v>17</v>
      </c>
    </row>
    <row r="110" spans="1:9" s="91" customFormat="1" x14ac:dyDescent="0.3">
      <c r="A110" s="169" t="s">
        <v>402</v>
      </c>
      <c r="B110" s="91" t="s">
        <v>403</v>
      </c>
      <c r="C110" s="91" t="s">
        <v>583</v>
      </c>
      <c r="D110" s="91">
        <v>1</v>
      </c>
      <c r="E110" s="91">
        <v>1</v>
      </c>
      <c r="F110" s="216">
        <v>10.5</v>
      </c>
      <c r="G110" s="90">
        <v>2</v>
      </c>
      <c r="H110" s="90">
        <v>7</v>
      </c>
      <c r="I110" s="158">
        <v>17</v>
      </c>
    </row>
    <row r="111" spans="1:9" s="91" customFormat="1" x14ac:dyDescent="0.3">
      <c r="A111" s="169" t="s">
        <v>402</v>
      </c>
      <c r="B111" s="91" t="s">
        <v>403</v>
      </c>
      <c r="C111" s="91" t="s">
        <v>584</v>
      </c>
      <c r="D111" s="91">
        <v>1</v>
      </c>
      <c r="E111" s="91">
        <v>1</v>
      </c>
      <c r="F111" s="216">
        <v>10.5</v>
      </c>
      <c r="G111" s="90">
        <v>2</v>
      </c>
      <c r="H111" s="90">
        <v>7</v>
      </c>
      <c r="I111" s="158">
        <v>17</v>
      </c>
    </row>
    <row r="112" spans="1:9" s="91" customFormat="1" x14ac:dyDescent="0.3">
      <c r="A112" s="169" t="s">
        <v>402</v>
      </c>
      <c r="B112" s="91" t="s">
        <v>403</v>
      </c>
      <c r="C112" s="91" t="s">
        <v>585</v>
      </c>
      <c r="D112" s="91">
        <v>1</v>
      </c>
      <c r="E112" s="91">
        <v>1</v>
      </c>
      <c r="F112" s="216">
        <v>10.5</v>
      </c>
      <c r="G112" s="90">
        <v>2</v>
      </c>
      <c r="H112" s="90">
        <v>7</v>
      </c>
      <c r="I112" s="158">
        <v>17</v>
      </c>
    </row>
    <row r="113" spans="1:9" s="91" customFormat="1" x14ac:dyDescent="0.3">
      <c r="A113" s="169" t="s">
        <v>402</v>
      </c>
      <c r="B113" s="91" t="s">
        <v>403</v>
      </c>
      <c r="C113" s="91" t="s">
        <v>586</v>
      </c>
      <c r="D113" s="91">
        <v>1</v>
      </c>
      <c r="E113" s="91">
        <v>1</v>
      </c>
      <c r="F113" s="216">
        <v>10.5</v>
      </c>
      <c r="G113" s="90">
        <v>2</v>
      </c>
      <c r="H113" s="90">
        <v>7</v>
      </c>
      <c r="I113" s="158">
        <v>17</v>
      </c>
    </row>
    <row r="114" spans="1:9" s="91" customFormat="1" x14ac:dyDescent="0.3">
      <c r="A114" s="169" t="s">
        <v>402</v>
      </c>
      <c r="B114" s="91" t="s">
        <v>403</v>
      </c>
      <c r="C114" s="91" t="s">
        <v>587</v>
      </c>
      <c r="D114" s="91">
        <v>1</v>
      </c>
      <c r="E114" s="91">
        <v>1</v>
      </c>
      <c r="F114" s="216">
        <v>10.5</v>
      </c>
      <c r="G114" s="90">
        <v>2</v>
      </c>
      <c r="H114" s="90">
        <v>7</v>
      </c>
      <c r="I114" s="158">
        <v>17</v>
      </c>
    </row>
    <row r="115" spans="1:9" s="91" customFormat="1" x14ac:dyDescent="0.3">
      <c r="A115" s="169" t="s">
        <v>402</v>
      </c>
      <c r="B115" s="91" t="s">
        <v>403</v>
      </c>
      <c r="C115" s="91" t="s">
        <v>588</v>
      </c>
      <c r="D115" s="91">
        <v>1</v>
      </c>
      <c r="E115" s="91">
        <v>1</v>
      </c>
      <c r="F115" s="216">
        <v>10.5</v>
      </c>
      <c r="G115" s="90">
        <v>2</v>
      </c>
      <c r="H115" s="90">
        <v>7</v>
      </c>
      <c r="I115" s="158">
        <v>17</v>
      </c>
    </row>
    <row r="116" spans="1:9" s="91" customFormat="1" x14ac:dyDescent="0.3">
      <c r="A116" s="169" t="s">
        <v>402</v>
      </c>
      <c r="B116" s="91" t="s">
        <v>403</v>
      </c>
      <c r="C116" s="91" t="s">
        <v>398</v>
      </c>
      <c r="D116" s="91">
        <v>1</v>
      </c>
      <c r="E116" s="91">
        <v>1</v>
      </c>
      <c r="F116" s="216">
        <v>18.100000000000001</v>
      </c>
      <c r="G116" s="90">
        <v>3</v>
      </c>
      <c r="H116" s="90">
        <v>7</v>
      </c>
      <c r="I116" s="158">
        <v>18</v>
      </c>
    </row>
    <row r="117" spans="1:9" s="91" customFormat="1" x14ac:dyDescent="0.3">
      <c r="A117" s="169" t="s">
        <v>402</v>
      </c>
      <c r="B117" s="91" t="s">
        <v>403</v>
      </c>
      <c r="C117" s="91" t="s">
        <v>558</v>
      </c>
      <c r="D117" s="91">
        <v>1</v>
      </c>
      <c r="E117" s="91">
        <v>1</v>
      </c>
      <c r="F117" s="216">
        <v>7.4</v>
      </c>
      <c r="G117" s="90">
        <v>1</v>
      </c>
      <c r="H117" s="90">
        <v>7</v>
      </c>
      <c r="I117" s="158">
        <v>17</v>
      </c>
    </row>
    <row r="118" spans="1:9" s="91" customFormat="1" x14ac:dyDescent="0.3">
      <c r="A118" s="169" t="s">
        <v>402</v>
      </c>
      <c r="B118" s="91" t="s">
        <v>403</v>
      </c>
      <c r="C118" s="91" t="s">
        <v>559</v>
      </c>
      <c r="D118" s="91">
        <v>1</v>
      </c>
      <c r="E118" s="91">
        <v>1</v>
      </c>
      <c r="F118" s="216">
        <v>7.4</v>
      </c>
      <c r="G118" s="90">
        <v>1</v>
      </c>
      <c r="H118" s="90">
        <v>7</v>
      </c>
      <c r="I118" s="158">
        <v>17</v>
      </c>
    </row>
    <row r="119" spans="1:9" s="91" customFormat="1" x14ac:dyDescent="0.3">
      <c r="A119" s="169" t="s">
        <v>402</v>
      </c>
      <c r="B119" s="91" t="s">
        <v>403</v>
      </c>
      <c r="C119" s="91" t="s">
        <v>560</v>
      </c>
      <c r="D119" s="91">
        <v>1</v>
      </c>
      <c r="E119" s="91">
        <v>1</v>
      </c>
      <c r="F119" s="216">
        <v>7.4</v>
      </c>
      <c r="G119" s="90">
        <v>1</v>
      </c>
      <c r="H119" s="90">
        <v>7</v>
      </c>
      <c r="I119" s="158">
        <v>17</v>
      </c>
    </row>
    <row r="120" spans="1:9" s="91" customFormat="1" x14ac:dyDescent="0.3">
      <c r="A120" s="169" t="s">
        <v>402</v>
      </c>
      <c r="B120" s="91" t="s">
        <v>403</v>
      </c>
      <c r="C120" s="91" t="s">
        <v>561</v>
      </c>
      <c r="D120" s="91">
        <v>1</v>
      </c>
      <c r="E120" s="91">
        <v>1</v>
      </c>
      <c r="F120" s="216">
        <v>7.4</v>
      </c>
      <c r="G120" s="90">
        <v>1</v>
      </c>
      <c r="H120" s="90">
        <v>7</v>
      </c>
      <c r="I120" s="158">
        <v>17</v>
      </c>
    </row>
    <row r="121" spans="1:9" s="91" customFormat="1" x14ac:dyDescent="0.3">
      <c r="A121" s="169" t="s">
        <v>402</v>
      </c>
      <c r="B121" s="91" t="s">
        <v>403</v>
      </c>
      <c r="C121" s="91" t="s">
        <v>562</v>
      </c>
      <c r="D121" s="91">
        <v>1</v>
      </c>
      <c r="E121" s="91">
        <v>1</v>
      </c>
      <c r="F121" s="216">
        <v>7.4</v>
      </c>
      <c r="G121" s="90">
        <v>1</v>
      </c>
      <c r="H121" s="90">
        <v>7</v>
      </c>
      <c r="I121" s="158">
        <v>17</v>
      </c>
    </row>
    <row r="122" spans="1:9" s="91" customFormat="1" x14ac:dyDescent="0.3">
      <c r="A122" s="169" t="s">
        <v>402</v>
      </c>
      <c r="B122" s="91" t="s">
        <v>403</v>
      </c>
      <c r="C122" s="91" t="s">
        <v>563</v>
      </c>
      <c r="D122" s="91">
        <v>1</v>
      </c>
      <c r="E122" s="91">
        <v>1</v>
      </c>
      <c r="F122" s="216">
        <v>7.4</v>
      </c>
      <c r="G122" s="90">
        <v>1</v>
      </c>
      <c r="H122" s="90">
        <v>7</v>
      </c>
      <c r="I122" s="158">
        <v>17</v>
      </c>
    </row>
    <row r="123" spans="1:9" s="91" customFormat="1" x14ac:dyDescent="0.3">
      <c r="A123" s="169" t="s">
        <v>402</v>
      </c>
      <c r="B123" s="91" t="s">
        <v>403</v>
      </c>
      <c r="C123" s="91" t="s">
        <v>564</v>
      </c>
      <c r="D123" s="91">
        <v>1</v>
      </c>
      <c r="E123" s="91">
        <v>1</v>
      </c>
      <c r="F123" s="216">
        <v>7.4</v>
      </c>
      <c r="G123" s="90">
        <v>1</v>
      </c>
      <c r="H123" s="90">
        <v>7</v>
      </c>
      <c r="I123" s="158">
        <v>17</v>
      </c>
    </row>
    <row r="124" spans="1:9" s="91" customFormat="1" x14ac:dyDescent="0.3">
      <c r="A124" s="169" t="s">
        <v>402</v>
      </c>
      <c r="B124" s="91" t="s">
        <v>403</v>
      </c>
      <c r="C124" s="91" t="s">
        <v>565</v>
      </c>
      <c r="D124" s="91">
        <v>1</v>
      </c>
      <c r="E124" s="91">
        <v>1</v>
      </c>
      <c r="F124" s="216">
        <v>7.4</v>
      </c>
      <c r="G124" s="90">
        <v>1</v>
      </c>
      <c r="H124" s="90">
        <v>7</v>
      </c>
      <c r="I124" s="158">
        <v>17</v>
      </c>
    </row>
    <row r="125" spans="1:9" s="91" customFormat="1" x14ac:dyDescent="0.3">
      <c r="A125" s="169" t="s">
        <v>402</v>
      </c>
      <c r="B125" s="91" t="s">
        <v>403</v>
      </c>
      <c r="C125" s="91" t="s">
        <v>566</v>
      </c>
      <c r="D125" s="91">
        <v>1</v>
      </c>
      <c r="E125" s="91">
        <v>1</v>
      </c>
      <c r="F125" s="216">
        <v>7.4</v>
      </c>
      <c r="G125" s="90">
        <v>1</v>
      </c>
      <c r="H125" s="90">
        <v>7</v>
      </c>
      <c r="I125" s="158">
        <v>17</v>
      </c>
    </row>
    <row r="126" spans="1:9" s="91" customFormat="1" x14ac:dyDescent="0.3">
      <c r="A126" s="169" t="s">
        <v>402</v>
      </c>
      <c r="B126" s="91" t="s">
        <v>403</v>
      </c>
      <c r="C126" s="91" t="s">
        <v>567</v>
      </c>
      <c r="D126" s="91">
        <v>1</v>
      </c>
      <c r="E126" s="91">
        <v>1</v>
      </c>
      <c r="F126" s="216">
        <v>6.8</v>
      </c>
      <c r="G126" s="90">
        <v>1</v>
      </c>
      <c r="H126" s="90">
        <v>7</v>
      </c>
      <c r="I126" s="158">
        <v>17</v>
      </c>
    </row>
    <row r="127" spans="1:9" s="91" customFormat="1" x14ac:dyDescent="0.3">
      <c r="A127" s="169" t="s">
        <v>402</v>
      </c>
      <c r="B127" s="91" t="s">
        <v>403</v>
      </c>
      <c r="C127" s="91" t="s">
        <v>589</v>
      </c>
      <c r="D127" s="91">
        <v>1</v>
      </c>
      <c r="E127" s="91">
        <v>1</v>
      </c>
      <c r="F127" s="216">
        <v>17.100000000000001</v>
      </c>
      <c r="G127" s="90">
        <v>2</v>
      </c>
      <c r="H127" s="91">
        <v>9</v>
      </c>
      <c r="I127" s="91">
        <v>18</v>
      </c>
    </row>
    <row r="128" spans="1:9" s="91" customFormat="1" x14ac:dyDescent="0.3">
      <c r="A128" s="169" t="s">
        <v>402</v>
      </c>
      <c r="B128" s="91" t="s">
        <v>403</v>
      </c>
      <c r="C128" s="91" t="s">
        <v>410</v>
      </c>
      <c r="D128" s="91">
        <v>1</v>
      </c>
      <c r="E128" s="91">
        <v>1</v>
      </c>
      <c r="F128" s="220">
        <v>7.2</v>
      </c>
      <c r="G128" s="90">
        <v>1</v>
      </c>
      <c r="H128" s="90">
        <v>9</v>
      </c>
      <c r="I128" s="90">
        <v>9</v>
      </c>
    </row>
    <row r="129" spans="1:9" s="91" customFormat="1" x14ac:dyDescent="0.3">
      <c r="A129" s="169" t="s">
        <v>402</v>
      </c>
      <c r="B129" s="91" t="s">
        <v>403</v>
      </c>
      <c r="C129" s="91" t="s">
        <v>411</v>
      </c>
      <c r="D129" s="91">
        <v>1</v>
      </c>
      <c r="E129" s="91">
        <v>1</v>
      </c>
      <c r="F129" s="220">
        <v>14.9</v>
      </c>
      <c r="G129" s="90">
        <v>2</v>
      </c>
      <c r="H129" s="90">
        <v>7</v>
      </c>
      <c r="I129" s="158">
        <v>18</v>
      </c>
    </row>
    <row r="130" spans="1:9" s="91" customFormat="1" x14ac:dyDescent="0.3">
      <c r="A130" s="169" t="s">
        <v>402</v>
      </c>
      <c r="B130" s="91" t="s">
        <v>403</v>
      </c>
      <c r="C130" s="91" t="s">
        <v>413</v>
      </c>
      <c r="D130" s="91">
        <v>1</v>
      </c>
      <c r="E130" s="91">
        <v>1</v>
      </c>
      <c r="F130" s="220">
        <v>8.8000000000000007</v>
      </c>
      <c r="G130" s="90">
        <v>1</v>
      </c>
      <c r="H130" s="90">
        <v>7</v>
      </c>
      <c r="I130" s="158">
        <v>17</v>
      </c>
    </row>
    <row r="131" spans="1:9" s="91" customFormat="1" x14ac:dyDescent="0.3">
      <c r="A131" s="169" t="s">
        <v>402</v>
      </c>
      <c r="B131" s="91" t="s">
        <v>403</v>
      </c>
      <c r="C131" s="91" t="s">
        <v>414</v>
      </c>
      <c r="D131" s="91">
        <v>1</v>
      </c>
      <c r="E131" s="91">
        <v>1</v>
      </c>
      <c r="F131" s="220">
        <v>17.2</v>
      </c>
      <c r="G131" s="90">
        <v>3</v>
      </c>
      <c r="H131" s="90">
        <v>7</v>
      </c>
      <c r="I131" s="158">
        <v>18</v>
      </c>
    </row>
    <row r="132" spans="1:9" s="91" customFormat="1" x14ac:dyDescent="0.3">
      <c r="A132" s="169" t="s">
        <v>402</v>
      </c>
      <c r="B132" s="91" t="s">
        <v>403</v>
      </c>
      <c r="C132" s="91" t="s">
        <v>435</v>
      </c>
      <c r="D132" s="91">
        <v>1</v>
      </c>
      <c r="E132" s="91">
        <v>1</v>
      </c>
      <c r="F132" s="220">
        <v>18.5</v>
      </c>
      <c r="G132" s="90">
        <v>3</v>
      </c>
      <c r="H132" s="90">
        <v>7</v>
      </c>
      <c r="I132" s="158">
        <v>18</v>
      </c>
    </row>
    <row r="133" spans="1:9" s="91" customFormat="1" x14ac:dyDescent="0.3">
      <c r="A133" s="169" t="s">
        <v>402</v>
      </c>
      <c r="B133" s="91" t="s">
        <v>403</v>
      </c>
      <c r="C133" s="91" t="s">
        <v>433</v>
      </c>
      <c r="D133" s="91">
        <v>1</v>
      </c>
      <c r="E133" s="91">
        <v>1</v>
      </c>
      <c r="F133" s="220">
        <v>14.8</v>
      </c>
      <c r="G133" s="90">
        <v>2</v>
      </c>
      <c r="H133" s="90">
        <v>7</v>
      </c>
      <c r="I133" s="158">
        <v>18</v>
      </c>
    </row>
    <row r="134" spans="1:9" s="91" customFormat="1" x14ac:dyDescent="0.3">
      <c r="A134" s="169" t="s">
        <v>402</v>
      </c>
      <c r="B134" s="91" t="s">
        <v>403</v>
      </c>
      <c r="C134" s="91" t="s">
        <v>434</v>
      </c>
      <c r="D134" s="91">
        <v>1</v>
      </c>
      <c r="E134" s="91">
        <v>1</v>
      </c>
      <c r="F134" s="220">
        <v>12.6</v>
      </c>
      <c r="G134" s="90">
        <v>2</v>
      </c>
      <c r="H134" s="90">
        <v>7</v>
      </c>
      <c r="I134" s="158">
        <v>18</v>
      </c>
    </row>
    <row r="135" spans="1:9" s="91" customFormat="1" x14ac:dyDescent="0.3">
      <c r="A135" s="169" t="s">
        <v>402</v>
      </c>
      <c r="B135" s="91" t="s">
        <v>403</v>
      </c>
      <c r="C135" s="91" t="s">
        <v>544</v>
      </c>
      <c r="D135" s="91">
        <v>1</v>
      </c>
      <c r="E135" s="91">
        <v>1</v>
      </c>
      <c r="F135" s="220">
        <v>4.5999999999999996</v>
      </c>
      <c r="G135" s="90">
        <v>1</v>
      </c>
      <c r="H135" s="90">
        <v>6</v>
      </c>
      <c r="I135" s="158">
        <v>9</v>
      </c>
    </row>
    <row r="136" spans="1:9" s="91" customFormat="1" x14ac:dyDescent="0.3">
      <c r="A136" s="169" t="s">
        <v>402</v>
      </c>
      <c r="B136" s="91" t="s">
        <v>403</v>
      </c>
      <c r="C136" s="91" t="s">
        <v>545</v>
      </c>
      <c r="D136" s="91">
        <v>1</v>
      </c>
      <c r="E136" s="91">
        <v>1</v>
      </c>
      <c r="F136" s="220">
        <v>14.4</v>
      </c>
      <c r="G136" s="90">
        <v>2</v>
      </c>
      <c r="H136" s="90">
        <v>7</v>
      </c>
      <c r="I136" s="158">
        <v>18</v>
      </c>
    </row>
    <row r="137" spans="1:9" s="91" customFormat="1" x14ac:dyDescent="0.3">
      <c r="A137" s="169" t="s">
        <v>402</v>
      </c>
      <c r="B137" s="91" t="s">
        <v>403</v>
      </c>
      <c r="C137" s="91" t="s">
        <v>546</v>
      </c>
      <c r="D137" s="91">
        <v>1</v>
      </c>
      <c r="E137" s="91">
        <v>1</v>
      </c>
      <c r="F137" s="220">
        <v>11.5</v>
      </c>
      <c r="G137" s="90">
        <v>2</v>
      </c>
      <c r="H137" s="90">
        <v>7</v>
      </c>
      <c r="I137" s="158">
        <v>18</v>
      </c>
    </row>
    <row r="138" spans="1:9" s="91" customFormat="1" x14ac:dyDescent="0.3">
      <c r="A138" s="169" t="s">
        <v>402</v>
      </c>
      <c r="B138" s="91" t="s">
        <v>403</v>
      </c>
      <c r="C138" s="91" t="s">
        <v>439</v>
      </c>
      <c r="D138" s="91">
        <v>1</v>
      </c>
      <c r="E138" s="91">
        <v>1</v>
      </c>
      <c r="F138" s="220">
        <v>4.0999999999999996</v>
      </c>
      <c r="G138" s="90">
        <v>1</v>
      </c>
      <c r="H138" s="90">
        <v>6</v>
      </c>
      <c r="I138" s="158">
        <v>9</v>
      </c>
    </row>
    <row r="139" spans="1:9" s="91" customFormat="1" ht="16.5" customHeight="1" x14ac:dyDescent="0.3">
      <c r="A139" s="169" t="s">
        <v>402</v>
      </c>
      <c r="B139" s="91" t="s">
        <v>403</v>
      </c>
      <c r="C139" s="170" t="s">
        <v>441</v>
      </c>
      <c r="D139" s="91">
        <v>1</v>
      </c>
      <c r="E139" s="91">
        <v>4</v>
      </c>
      <c r="F139" s="216">
        <v>5</v>
      </c>
      <c r="G139" s="90">
        <v>1</v>
      </c>
      <c r="H139" s="91">
        <v>7</v>
      </c>
      <c r="I139" s="91">
        <v>9</v>
      </c>
    </row>
    <row r="140" spans="1:9" s="91" customFormat="1" ht="15" customHeight="1" x14ac:dyDescent="0.3">
      <c r="A140" s="169" t="s">
        <v>402</v>
      </c>
      <c r="B140" s="91" t="s">
        <v>403</v>
      </c>
      <c r="C140" s="170" t="s">
        <v>441</v>
      </c>
      <c r="D140" s="91">
        <v>5</v>
      </c>
      <c r="E140" s="91">
        <v>999</v>
      </c>
      <c r="F140" s="216">
        <v>5</v>
      </c>
      <c r="G140" s="90">
        <v>1</v>
      </c>
      <c r="H140" s="91">
        <v>7</v>
      </c>
      <c r="I140" s="91">
        <v>9</v>
      </c>
    </row>
    <row r="141" spans="1:9" s="91" customFormat="1" x14ac:dyDescent="0.3">
      <c r="A141" s="169" t="s">
        <v>402</v>
      </c>
      <c r="B141" s="91" t="s">
        <v>403</v>
      </c>
      <c r="C141" s="91" t="s">
        <v>451</v>
      </c>
      <c r="D141" s="91">
        <v>1</v>
      </c>
      <c r="E141" s="91">
        <v>1</v>
      </c>
      <c r="F141" s="220">
        <v>6</v>
      </c>
      <c r="G141" s="90">
        <v>1</v>
      </c>
      <c r="H141" s="90">
        <v>7</v>
      </c>
      <c r="I141" s="158">
        <v>17</v>
      </c>
    </row>
    <row r="142" spans="1:9" s="91" customFormat="1" x14ac:dyDescent="0.3">
      <c r="A142" s="169" t="s">
        <v>402</v>
      </c>
      <c r="B142" s="91" t="s">
        <v>403</v>
      </c>
      <c r="C142" s="91" t="s">
        <v>452</v>
      </c>
      <c r="D142" s="91">
        <v>1</v>
      </c>
      <c r="E142" s="91">
        <v>1</v>
      </c>
      <c r="F142" s="220">
        <v>3.4</v>
      </c>
      <c r="G142" s="90">
        <v>1</v>
      </c>
      <c r="H142" s="90">
        <v>6</v>
      </c>
      <c r="I142" s="158">
        <v>17</v>
      </c>
    </row>
    <row r="143" spans="1:9" s="91" customFormat="1" x14ac:dyDescent="0.3">
      <c r="A143" s="169" t="s">
        <v>402</v>
      </c>
      <c r="B143" s="91" t="s">
        <v>403</v>
      </c>
      <c r="C143" s="91" t="s">
        <v>456</v>
      </c>
      <c r="D143" s="91">
        <v>1</v>
      </c>
      <c r="E143" s="91">
        <v>1</v>
      </c>
      <c r="F143" s="220">
        <v>9.8000000000000007</v>
      </c>
      <c r="G143" s="90">
        <v>2</v>
      </c>
      <c r="H143" s="90">
        <v>7</v>
      </c>
      <c r="I143" s="158">
        <v>17</v>
      </c>
    </row>
    <row r="144" spans="1:9" s="91" customFormat="1" x14ac:dyDescent="0.3">
      <c r="A144" s="169" t="s">
        <v>402</v>
      </c>
      <c r="B144" s="91" t="s">
        <v>403</v>
      </c>
      <c r="C144" s="91" t="s">
        <v>455</v>
      </c>
      <c r="D144" s="91">
        <v>1</v>
      </c>
      <c r="E144" s="91">
        <v>1</v>
      </c>
      <c r="F144" s="220">
        <v>4.5999999999999996</v>
      </c>
      <c r="G144" s="90">
        <v>1</v>
      </c>
      <c r="H144" s="90">
        <v>6</v>
      </c>
      <c r="I144" s="158">
        <v>17</v>
      </c>
    </row>
    <row r="145" spans="1:9" s="91" customFormat="1" x14ac:dyDescent="0.3">
      <c r="A145" s="169" t="s">
        <v>402</v>
      </c>
      <c r="B145" s="91" t="s">
        <v>403</v>
      </c>
      <c r="C145" s="91" t="s">
        <v>457</v>
      </c>
      <c r="D145" s="91">
        <v>1</v>
      </c>
      <c r="E145" s="91">
        <v>1</v>
      </c>
      <c r="F145" s="220">
        <v>12.9</v>
      </c>
      <c r="G145" s="90">
        <v>2</v>
      </c>
      <c r="H145" s="90">
        <v>7</v>
      </c>
      <c r="I145" s="158">
        <v>18</v>
      </c>
    </row>
    <row r="146" spans="1:9" s="91" customFormat="1" x14ac:dyDescent="0.3">
      <c r="A146" s="169" t="s">
        <v>402</v>
      </c>
      <c r="B146" s="91" t="s">
        <v>403</v>
      </c>
      <c r="C146" s="91" t="s">
        <v>481</v>
      </c>
      <c r="D146" s="91">
        <v>1</v>
      </c>
      <c r="E146" s="91">
        <v>1</v>
      </c>
      <c r="F146" s="216">
        <v>9.6</v>
      </c>
      <c r="G146" s="90">
        <v>1</v>
      </c>
      <c r="H146" s="90">
        <v>7</v>
      </c>
      <c r="I146" s="158">
        <v>17</v>
      </c>
    </row>
    <row r="147" spans="1:9" s="91" customFormat="1" x14ac:dyDescent="0.3">
      <c r="A147" s="169" t="s">
        <v>402</v>
      </c>
      <c r="B147" s="91" t="s">
        <v>403</v>
      </c>
      <c r="C147" s="91" t="s">
        <v>482</v>
      </c>
      <c r="D147" s="91">
        <v>1</v>
      </c>
      <c r="E147" s="91">
        <v>1</v>
      </c>
      <c r="F147" s="216">
        <v>9.6</v>
      </c>
      <c r="G147" s="90">
        <v>1</v>
      </c>
      <c r="H147" s="90">
        <v>7</v>
      </c>
      <c r="I147" s="158">
        <v>17</v>
      </c>
    </row>
    <row r="148" spans="1:9" s="91" customFormat="1" x14ac:dyDescent="0.3">
      <c r="A148" s="169" t="s">
        <v>402</v>
      </c>
      <c r="B148" s="91" t="s">
        <v>403</v>
      </c>
      <c r="C148" s="91" t="s">
        <v>483</v>
      </c>
      <c r="D148" s="91">
        <v>1</v>
      </c>
      <c r="E148" s="91">
        <v>1</v>
      </c>
      <c r="F148" s="216">
        <v>9.6</v>
      </c>
      <c r="G148" s="90">
        <v>1</v>
      </c>
      <c r="H148" s="90">
        <v>7</v>
      </c>
      <c r="I148" s="158">
        <v>17</v>
      </c>
    </row>
    <row r="149" spans="1:9" s="91" customFormat="1" x14ac:dyDescent="0.3">
      <c r="A149" s="169" t="s">
        <v>402</v>
      </c>
      <c r="B149" s="91" t="s">
        <v>403</v>
      </c>
      <c r="C149" s="91" t="s">
        <v>484</v>
      </c>
      <c r="D149" s="91">
        <v>1</v>
      </c>
      <c r="E149" s="91">
        <v>1</v>
      </c>
      <c r="F149" s="216">
        <v>9.6</v>
      </c>
      <c r="G149" s="90">
        <v>1</v>
      </c>
      <c r="H149" s="90">
        <v>7</v>
      </c>
      <c r="I149" s="158">
        <v>17</v>
      </c>
    </row>
    <row r="150" spans="1:9" s="91" customFormat="1" x14ac:dyDescent="0.3">
      <c r="A150" s="169" t="s">
        <v>402</v>
      </c>
      <c r="B150" s="91" t="s">
        <v>403</v>
      </c>
      <c r="C150" s="91" t="s">
        <v>485</v>
      </c>
      <c r="D150" s="91">
        <v>1</v>
      </c>
      <c r="E150" s="91">
        <v>1</v>
      </c>
      <c r="F150" s="216">
        <v>9.6</v>
      </c>
      <c r="G150" s="90">
        <v>1</v>
      </c>
      <c r="H150" s="90">
        <v>7</v>
      </c>
      <c r="I150" s="158">
        <v>17</v>
      </c>
    </row>
    <row r="151" spans="1:9" s="91" customFormat="1" x14ac:dyDescent="0.3">
      <c r="A151" s="169" t="s">
        <v>402</v>
      </c>
      <c r="B151" s="91" t="s">
        <v>403</v>
      </c>
      <c r="C151" s="91" t="s">
        <v>486</v>
      </c>
      <c r="D151" s="91">
        <v>1</v>
      </c>
      <c r="E151" s="91">
        <v>1</v>
      </c>
      <c r="F151" s="216">
        <v>9.6</v>
      </c>
      <c r="G151" s="90">
        <v>1</v>
      </c>
      <c r="H151" s="90">
        <v>7</v>
      </c>
      <c r="I151" s="158">
        <v>17</v>
      </c>
    </row>
    <row r="152" spans="1:9" s="91" customFormat="1" x14ac:dyDescent="0.3">
      <c r="A152" s="169" t="s">
        <v>402</v>
      </c>
      <c r="B152" s="91" t="s">
        <v>403</v>
      </c>
      <c r="C152" s="91" t="s">
        <v>487</v>
      </c>
      <c r="D152" s="91">
        <v>1</v>
      </c>
      <c r="E152" s="91">
        <v>1</v>
      </c>
      <c r="F152" s="216">
        <v>9.6</v>
      </c>
      <c r="G152" s="90">
        <v>1</v>
      </c>
      <c r="H152" s="90">
        <v>7</v>
      </c>
      <c r="I152" s="158">
        <v>17</v>
      </c>
    </row>
    <row r="153" spans="1:9" s="91" customFormat="1" x14ac:dyDescent="0.3">
      <c r="A153" s="169" t="s">
        <v>402</v>
      </c>
      <c r="B153" s="91" t="s">
        <v>403</v>
      </c>
      <c r="C153" s="91" t="s">
        <v>488</v>
      </c>
      <c r="D153" s="91">
        <v>1</v>
      </c>
      <c r="E153" s="91">
        <v>1</v>
      </c>
      <c r="F153" s="216">
        <v>9.6</v>
      </c>
      <c r="G153" s="90">
        <v>1</v>
      </c>
      <c r="H153" s="90">
        <v>7</v>
      </c>
      <c r="I153" s="158">
        <v>17</v>
      </c>
    </row>
    <row r="154" spans="1:9" s="91" customFormat="1" x14ac:dyDescent="0.3">
      <c r="A154" s="169" t="s">
        <v>402</v>
      </c>
      <c r="B154" s="91" t="s">
        <v>403</v>
      </c>
      <c r="C154" s="91" t="s">
        <v>489</v>
      </c>
      <c r="D154" s="91">
        <v>1</v>
      </c>
      <c r="E154" s="91">
        <v>1</v>
      </c>
      <c r="F154" s="216">
        <v>9.6</v>
      </c>
      <c r="G154" s="90">
        <v>1</v>
      </c>
      <c r="H154" s="90">
        <v>7</v>
      </c>
      <c r="I154" s="158">
        <v>17</v>
      </c>
    </row>
    <row r="155" spans="1:9" s="91" customFormat="1" x14ac:dyDescent="0.3">
      <c r="A155" s="169" t="s">
        <v>402</v>
      </c>
      <c r="B155" s="91" t="s">
        <v>403</v>
      </c>
      <c r="C155" s="91" t="s">
        <v>472</v>
      </c>
      <c r="D155" s="91">
        <v>1</v>
      </c>
      <c r="E155" s="91">
        <v>1</v>
      </c>
      <c r="F155" s="216">
        <v>11.7</v>
      </c>
      <c r="G155" s="90">
        <v>2</v>
      </c>
      <c r="H155" s="90">
        <v>7</v>
      </c>
      <c r="I155" s="158">
        <v>17</v>
      </c>
    </row>
    <row r="156" spans="1:9" s="91" customFormat="1" x14ac:dyDescent="0.3">
      <c r="A156" s="169" t="s">
        <v>402</v>
      </c>
      <c r="B156" s="91" t="s">
        <v>403</v>
      </c>
      <c r="C156" s="91" t="s">
        <v>473</v>
      </c>
      <c r="D156" s="91">
        <v>1</v>
      </c>
      <c r="E156" s="91">
        <v>1</v>
      </c>
      <c r="F156" s="216">
        <v>11.7</v>
      </c>
      <c r="G156" s="90">
        <v>2</v>
      </c>
      <c r="H156" s="90">
        <v>7</v>
      </c>
      <c r="I156" s="158">
        <v>17</v>
      </c>
    </row>
    <row r="157" spans="1:9" s="91" customFormat="1" x14ac:dyDescent="0.3">
      <c r="A157" s="169" t="s">
        <v>402</v>
      </c>
      <c r="B157" s="91" t="s">
        <v>403</v>
      </c>
      <c r="C157" s="91" t="s">
        <v>474</v>
      </c>
      <c r="D157" s="91">
        <v>1</v>
      </c>
      <c r="E157" s="91">
        <v>1</v>
      </c>
      <c r="F157" s="216">
        <v>11.7</v>
      </c>
      <c r="G157" s="90">
        <v>2</v>
      </c>
      <c r="H157" s="90">
        <v>7</v>
      </c>
      <c r="I157" s="158">
        <v>17</v>
      </c>
    </row>
    <row r="158" spans="1:9" s="91" customFormat="1" x14ac:dyDescent="0.3">
      <c r="A158" s="169" t="s">
        <v>402</v>
      </c>
      <c r="B158" s="91" t="s">
        <v>403</v>
      </c>
      <c r="C158" s="91" t="s">
        <v>475</v>
      </c>
      <c r="D158" s="91">
        <v>1</v>
      </c>
      <c r="E158" s="91">
        <v>1</v>
      </c>
      <c r="F158" s="216">
        <v>11.7</v>
      </c>
      <c r="G158" s="90">
        <v>2</v>
      </c>
      <c r="H158" s="90">
        <v>7</v>
      </c>
      <c r="I158" s="158">
        <v>17</v>
      </c>
    </row>
    <row r="159" spans="1:9" s="91" customFormat="1" x14ac:dyDescent="0.3">
      <c r="A159" s="169" t="s">
        <v>402</v>
      </c>
      <c r="B159" s="91" t="s">
        <v>403</v>
      </c>
      <c r="C159" s="91" t="s">
        <v>476</v>
      </c>
      <c r="D159" s="91">
        <v>1</v>
      </c>
      <c r="E159" s="91">
        <v>1</v>
      </c>
      <c r="F159" s="216">
        <v>11.7</v>
      </c>
      <c r="G159" s="90">
        <v>2</v>
      </c>
      <c r="H159" s="90">
        <v>7</v>
      </c>
      <c r="I159" s="158">
        <v>17</v>
      </c>
    </row>
    <row r="160" spans="1:9" s="91" customFormat="1" x14ac:dyDescent="0.3">
      <c r="A160" s="169" t="s">
        <v>402</v>
      </c>
      <c r="B160" s="91" t="s">
        <v>403</v>
      </c>
      <c r="C160" s="91" t="s">
        <v>477</v>
      </c>
      <c r="D160" s="91">
        <v>1</v>
      </c>
      <c r="E160" s="91">
        <v>1</v>
      </c>
      <c r="F160" s="216">
        <v>11.7</v>
      </c>
      <c r="G160" s="90">
        <v>2</v>
      </c>
      <c r="H160" s="90">
        <v>7</v>
      </c>
      <c r="I160" s="158">
        <v>17</v>
      </c>
    </row>
    <row r="161" spans="1:9" s="91" customFormat="1" x14ac:dyDescent="0.3">
      <c r="A161" s="169" t="s">
        <v>402</v>
      </c>
      <c r="B161" s="91" t="s">
        <v>403</v>
      </c>
      <c r="C161" s="91" t="s">
        <v>478</v>
      </c>
      <c r="D161" s="91">
        <v>1</v>
      </c>
      <c r="E161" s="91">
        <v>1</v>
      </c>
      <c r="F161" s="216">
        <v>11.7</v>
      </c>
      <c r="G161" s="90">
        <v>2</v>
      </c>
      <c r="H161" s="90">
        <v>7</v>
      </c>
      <c r="I161" s="158">
        <v>17</v>
      </c>
    </row>
    <row r="162" spans="1:9" s="91" customFormat="1" x14ac:dyDescent="0.3">
      <c r="A162" s="169" t="s">
        <v>402</v>
      </c>
      <c r="B162" s="91" t="s">
        <v>403</v>
      </c>
      <c r="C162" s="91" t="s">
        <v>479</v>
      </c>
      <c r="D162" s="91">
        <v>1</v>
      </c>
      <c r="E162" s="91">
        <v>1</v>
      </c>
      <c r="F162" s="216">
        <v>11.7</v>
      </c>
      <c r="G162" s="90">
        <v>2</v>
      </c>
      <c r="H162" s="90">
        <v>7</v>
      </c>
      <c r="I162" s="158">
        <v>17</v>
      </c>
    </row>
    <row r="163" spans="1:9" s="91" customFormat="1" x14ac:dyDescent="0.3">
      <c r="A163" s="169" t="s">
        <v>402</v>
      </c>
      <c r="B163" s="91" t="s">
        <v>403</v>
      </c>
      <c r="C163" s="91" t="s">
        <v>480</v>
      </c>
      <c r="D163" s="91">
        <v>1</v>
      </c>
      <c r="E163" s="91">
        <v>1</v>
      </c>
      <c r="F163" s="216">
        <v>11.7</v>
      </c>
      <c r="G163" s="90">
        <v>2</v>
      </c>
      <c r="H163" s="90">
        <v>7</v>
      </c>
      <c r="I163" s="158">
        <v>17</v>
      </c>
    </row>
    <row r="164" spans="1:9" s="91" customFormat="1" x14ac:dyDescent="0.3">
      <c r="A164" s="169" t="s">
        <v>402</v>
      </c>
      <c r="B164" s="91" t="s">
        <v>403</v>
      </c>
      <c r="C164" s="91" t="s">
        <v>458</v>
      </c>
      <c r="D164" s="91">
        <v>1</v>
      </c>
      <c r="E164" s="91">
        <v>1</v>
      </c>
      <c r="F164" s="220">
        <v>24.3</v>
      </c>
      <c r="G164" s="90">
        <v>3</v>
      </c>
      <c r="H164" s="90">
        <v>8</v>
      </c>
      <c r="I164" s="158">
        <v>19</v>
      </c>
    </row>
    <row r="165" spans="1:9" s="91" customFormat="1" x14ac:dyDescent="0.3">
      <c r="A165" s="169" t="s">
        <v>402</v>
      </c>
      <c r="B165" s="91" t="s">
        <v>403</v>
      </c>
      <c r="C165" s="91" t="s">
        <v>459</v>
      </c>
      <c r="D165" s="91">
        <v>1</v>
      </c>
      <c r="E165" s="91">
        <v>1</v>
      </c>
      <c r="F165" s="220">
        <v>17.899999999999999</v>
      </c>
      <c r="G165" s="90">
        <v>3</v>
      </c>
      <c r="H165" s="90">
        <v>7</v>
      </c>
      <c r="I165" s="158">
        <v>18</v>
      </c>
    </row>
    <row r="166" spans="1:9" s="91" customFormat="1" x14ac:dyDescent="0.3">
      <c r="A166" s="169" t="s">
        <v>402</v>
      </c>
      <c r="B166" s="91" t="s">
        <v>403</v>
      </c>
      <c r="C166" s="91" t="s">
        <v>460</v>
      </c>
      <c r="D166" s="91">
        <v>1</v>
      </c>
      <c r="E166" s="91">
        <v>1</v>
      </c>
      <c r="F166" s="220">
        <v>8</v>
      </c>
      <c r="G166" s="90">
        <v>1</v>
      </c>
      <c r="H166" s="90">
        <v>7</v>
      </c>
      <c r="I166" s="158">
        <v>17</v>
      </c>
    </row>
    <row r="167" spans="1:9" s="91" customFormat="1" x14ac:dyDescent="0.3">
      <c r="A167" s="169" t="s">
        <v>402</v>
      </c>
      <c r="B167" s="91" t="s">
        <v>403</v>
      </c>
      <c r="C167" s="91" t="s">
        <v>461</v>
      </c>
      <c r="D167" s="91">
        <v>1</v>
      </c>
      <c r="E167" s="91">
        <v>1</v>
      </c>
      <c r="F167" s="220">
        <v>11.5</v>
      </c>
      <c r="G167" s="90">
        <v>2</v>
      </c>
      <c r="H167" s="90">
        <v>7</v>
      </c>
      <c r="I167" s="158">
        <v>18</v>
      </c>
    </row>
    <row r="168" spans="1:9" s="91" customFormat="1" x14ac:dyDescent="0.3">
      <c r="A168" s="169" t="s">
        <v>402</v>
      </c>
      <c r="B168" s="91" t="s">
        <v>403</v>
      </c>
      <c r="C168" s="91" t="s">
        <v>462</v>
      </c>
      <c r="D168" s="91">
        <v>1</v>
      </c>
      <c r="E168" s="91">
        <v>1</v>
      </c>
      <c r="F168" s="220">
        <v>13.7</v>
      </c>
      <c r="G168" s="90">
        <v>2</v>
      </c>
      <c r="H168" s="90">
        <v>7</v>
      </c>
      <c r="I168" s="158">
        <v>18</v>
      </c>
    </row>
    <row r="169" spans="1:9" s="91" customFormat="1" x14ac:dyDescent="0.3">
      <c r="A169" s="169" t="s">
        <v>402</v>
      </c>
      <c r="B169" s="91" t="s">
        <v>403</v>
      </c>
      <c r="C169" s="91" t="s">
        <v>464</v>
      </c>
      <c r="D169" s="91">
        <v>1</v>
      </c>
      <c r="E169" s="91">
        <v>1</v>
      </c>
      <c r="F169" s="220">
        <v>9.5</v>
      </c>
      <c r="G169" s="90">
        <v>2</v>
      </c>
      <c r="H169" s="90">
        <v>7</v>
      </c>
      <c r="I169" s="158">
        <v>17</v>
      </c>
    </row>
    <row r="170" spans="1:9" s="91" customFormat="1" x14ac:dyDescent="0.3">
      <c r="A170" s="169" t="s">
        <v>402</v>
      </c>
      <c r="B170" s="91" t="s">
        <v>403</v>
      </c>
      <c r="C170" s="91" t="s">
        <v>465</v>
      </c>
      <c r="D170" s="91">
        <v>1</v>
      </c>
      <c r="E170" s="91">
        <v>1</v>
      </c>
      <c r="F170" s="220">
        <v>9.4</v>
      </c>
      <c r="G170" s="90">
        <v>2</v>
      </c>
      <c r="H170" s="90">
        <v>7</v>
      </c>
      <c r="I170" s="158">
        <v>17</v>
      </c>
    </row>
    <row r="171" spans="1:9" s="91" customFormat="1" x14ac:dyDescent="0.3">
      <c r="A171" s="169" t="s">
        <v>402</v>
      </c>
      <c r="B171" s="91" t="s">
        <v>403</v>
      </c>
      <c r="C171" s="91" t="s">
        <v>466</v>
      </c>
      <c r="D171" s="91">
        <v>1</v>
      </c>
      <c r="E171" s="91">
        <v>1</v>
      </c>
      <c r="F171" s="220">
        <v>20.3</v>
      </c>
      <c r="G171" s="90">
        <v>3</v>
      </c>
      <c r="H171" s="90">
        <v>8</v>
      </c>
      <c r="I171" s="158">
        <v>19</v>
      </c>
    </row>
    <row r="172" spans="1:9" s="91" customFormat="1" x14ac:dyDescent="0.3">
      <c r="A172" s="169" t="s">
        <v>402</v>
      </c>
      <c r="B172" s="91" t="s">
        <v>403</v>
      </c>
      <c r="C172" s="91" t="s">
        <v>467</v>
      </c>
      <c r="D172" s="91">
        <v>1</v>
      </c>
      <c r="E172" s="91">
        <v>1</v>
      </c>
      <c r="F172" s="220">
        <v>6.7</v>
      </c>
      <c r="G172" s="90">
        <v>1</v>
      </c>
      <c r="H172" s="90">
        <v>7</v>
      </c>
      <c r="I172" s="158">
        <v>17</v>
      </c>
    </row>
    <row r="173" spans="1:9" s="91" customFormat="1" x14ac:dyDescent="0.3">
      <c r="A173" s="169" t="s">
        <v>402</v>
      </c>
      <c r="B173" s="91" t="s">
        <v>403</v>
      </c>
      <c r="C173" s="91" t="s">
        <v>468</v>
      </c>
      <c r="D173" s="91">
        <v>1</v>
      </c>
      <c r="E173" s="91">
        <v>1</v>
      </c>
      <c r="F173" s="220">
        <v>12.3</v>
      </c>
      <c r="G173" s="90">
        <v>2</v>
      </c>
      <c r="H173" s="90">
        <v>7</v>
      </c>
      <c r="I173" s="158">
        <v>18</v>
      </c>
    </row>
    <row r="174" spans="1:9" s="91" customFormat="1" x14ac:dyDescent="0.3">
      <c r="A174" s="169" t="s">
        <v>402</v>
      </c>
      <c r="B174" s="91" t="s">
        <v>403</v>
      </c>
      <c r="C174" s="91" t="s">
        <v>469</v>
      </c>
      <c r="D174" s="91">
        <v>1</v>
      </c>
      <c r="E174" s="91">
        <v>1</v>
      </c>
      <c r="F174" s="220">
        <v>9.8000000000000007</v>
      </c>
      <c r="G174" s="90">
        <v>2</v>
      </c>
      <c r="H174" s="90">
        <v>7</v>
      </c>
      <c r="I174" s="158">
        <v>17</v>
      </c>
    </row>
    <row r="175" spans="1:9" s="91" customFormat="1" x14ac:dyDescent="0.3">
      <c r="A175" s="169" t="s">
        <v>402</v>
      </c>
      <c r="B175" s="91" t="s">
        <v>403</v>
      </c>
      <c r="C175" s="91" t="s">
        <v>470</v>
      </c>
      <c r="D175" s="91">
        <v>1</v>
      </c>
      <c r="E175" s="91">
        <v>1</v>
      </c>
      <c r="F175" s="220">
        <v>14.2</v>
      </c>
      <c r="G175" s="90">
        <v>2</v>
      </c>
      <c r="H175" s="90">
        <v>7</v>
      </c>
      <c r="I175" s="158">
        <v>18</v>
      </c>
    </row>
    <row r="176" spans="1:9" s="91" customFormat="1" x14ac:dyDescent="0.3">
      <c r="A176" s="169" t="s">
        <v>402</v>
      </c>
      <c r="B176" s="91" t="s">
        <v>403</v>
      </c>
      <c r="C176" s="91" t="s">
        <v>471</v>
      </c>
      <c r="D176" s="91">
        <v>1</v>
      </c>
      <c r="E176" s="91">
        <v>1</v>
      </c>
      <c r="F176" s="220">
        <v>12.4</v>
      </c>
      <c r="G176" s="90">
        <v>2</v>
      </c>
      <c r="H176" s="90">
        <v>7</v>
      </c>
      <c r="I176" s="158">
        <v>18</v>
      </c>
    </row>
    <row r="177" spans="1:9" s="91" customFormat="1" x14ac:dyDescent="0.3">
      <c r="A177" s="169" t="s">
        <v>402</v>
      </c>
      <c r="B177" s="91" t="s">
        <v>403</v>
      </c>
      <c r="C177" s="91" t="s">
        <v>490</v>
      </c>
      <c r="D177" s="91">
        <v>1</v>
      </c>
      <c r="E177" s="91">
        <v>1</v>
      </c>
      <c r="F177" s="216">
        <v>8.8000000000000007</v>
      </c>
      <c r="G177" s="90">
        <v>1</v>
      </c>
      <c r="H177" s="90">
        <v>7</v>
      </c>
      <c r="I177" s="158">
        <v>17</v>
      </c>
    </row>
    <row r="178" spans="1:9" s="91" customFormat="1" x14ac:dyDescent="0.3">
      <c r="A178" s="169" t="s">
        <v>402</v>
      </c>
      <c r="B178" s="91" t="s">
        <v>403</v>
      </c>
      <c r="C178" s="91" t="s">
        <v>492</v>
      </c>
      <c r="D178" s="91">
        <v>1</v>
      </c>
      <c r="E178" s="91">
        <v>1</v>
      </c>
      <c r="F178" s="216">
        <v>11.9</v>
      </c>
      <c r="G178" s="90">
        <v>2</v>
      </c>
      <c r="H178" s="90">
        <v>7</v>
      </c>
      <c r="I178" s="158">
        <v>18</v>
      </c>
    </row>
    <row r="179" spans="1:9" s="91" customFormat="1" x14ac:dyDescent="0.3">
      <c r="A179" s="169" t="s">
        <v>402</v>
      </c>
      <c r="B179" s="91" t="s">
        <v>403</v>
      </c>
      <c r="C179" s="91" t="s">
        <v>492</v>
      </c>
      <c r="D179" s="91">
        <v>2</v>
      </c>
      <c r="E179" s="91">
        <v>4</v>
      </c>
      <c r="F179" s="216">
        <v>11.9</v>
      </c>
      <c r="G179" s="90">
        <v>2</v>
      </c>
      <c r="H179" s="90">
        <v>7</v>
      </c>
      <c r="I179" s="158">
        <v>18</v>
      </c>
    </row>
    <row r="180" spans="1:9" s="91" customFormat="1" x14ac:dyDescent="0.3">
      <c r="A180" s="169" t="s">
        <v>402</v>
      </c>
      <c r="B180" s="91" t="s">
        <v>403</v>
      </c>
      <c r="C180" s="91" t="s">
        <v>492</v>
      </c>
      <c r="D180" s="91">
        <v>5</v>
      </c>
      <c r="E180" s="91">
        <v>999</v>
      </c>
      <c r="F180" s="216">
        <v>11.9</v>
      </c>
      <c r="G180" s="90">
        <v>2</v>
      </c>
      <c r="H180" s="90">
        <v>7</v>
      </c>
      <c r="I180" s="158">
        <v>18</v>
      </c>
    </row>
    <row r="181" spans="1:9" s="91" customFormat="1" x14ac:dyDescent="0.3">
      <c r="A181" s="169" t="s">
        <v>402</v>
      </c>
      <c r="B181" s="91" t="s">
        <v>403</v>
      </c>
      <c r="C181" s="91" t="s">
        <v>491</v>
      </c>
      <c r="D181" s="91">
        <v>1</v>
      </c>
      <c r="E181" s="91">
        <v>1</v>
      </c>
      <c r="F181" s="216">
        <v>11.4</v>
      </c>
      <c r="G181" s="90">
        <v>2</v>
      </c>
      <c r="H181" s="90">
        <v>7</v>
      </c>
      <c r="I181" s="158">
        <v>18</v>
      </c>
    </row>
    <row r="182" spans="1:9" s="91" customFormat="1" x14ac:dyDescent="0.3">
      <c r="A182" s="169" t="s">
        <v>402</v>
      </c>
      <c r="B182" s="91" t="s">
        <v>403</v>
      </c>
      <c r="C182" s="91" t="s">
        <v>491</v>
      </c>
      <c r="D182" s="91">
        <v>2</v>
      </c>
      <c r="E182" s="91">
        <v>999</v>
      </c>
      <c r="F182" s="216">
        <v>11.4</v>
      </c>
      <c r="G182" s="90">
        <v>2</v>
      </c>
      <c r="H182" s="90">
        <v>7</v>
      </c>
      <c r="I182" s="158">
        <v>18</v>
      </c>
    </row>
    <row r="183" spans="1:9" s="91" customFormat="1" x14ac:dyDescent="0.3">
      <c r="A183" s="169" t="s">
        <v>402</v>
      </c>
      <c r="B183" s="91" t="s">
        <v>403</v>
      </c>
      <c r="C183" s="91" t="s">
        <v>493</v>
      </c>
      <c r="D183" s="91">
        <v>1</v>
      </c>
      <c r="E183" s="91">
        <v>999</v>
      </c>
      <c r="F183" s="216">
        <v>9.5</v>
      </c>
      <c r="G183" s="90">
        <v>1</v>
      </c>
      <c r="H183" s="90">
        <v>7</v>
      </c>
      <c r="I183" s="158">
        <v>17</v>
      </c>
    </row>
    <row r="184" spans="1:9" s="91" customFormat="1" x14ac:dyDescent="0.3">
      <c r="A184" s="169" t="s">
        <v>402</v>
      </c>
      <c r="B184" s="91" t="s">
        <v>403</v>
      </c>
      <c r="C184" s="91" t="s">
        <v>494</v>
      </c>
      <c r="D184" s="91">
        <v>1</v>
      </c>
      <c r="E184" s="91">
        <v>1</v>
      </c>
      <c r="F184" s="216">
        <v>8.1</v>
      </c>
      <c r="G184" s="90">
        <v>1</v>
      </c>
      <c r="H184" s="90">
        <v>7</v>
      </c>
      <c r="I184" s="158">
        <v>17</v>
      </c>
    </row>
    <row r="185" spans="1:9" s="91" customFormat="1" x14ac:dyDescent="0.3">
      <c r="A185" s="169" t="s">
        <v>402</v>
      </c>
      <c r="B185" s="91" t="s">
        <v>403</v>
      </c>
      <c r="C185" s="91" t="s">
        <v>494</v>
      </c>
      <c r="D185" s="91">
        <v>2</v>
      </c>
      <c r="E185" s="91">
        <v>4</v>
      </c>
      <c r="F185" s="216">
        <v>8.1</v>
      </c>
      <c r="G185" s="90">
        <v>1</v>
      </c>
      <c r="H185" s="90">
        <v>7</v>
      </c>
      <c r="I185" s="158">
        <v>17</v>
      </c>
    </row>
    <row r="186" spans="1:9" s="91" customFormat="1" x14ac:dyDescent="0.3">
      <c r="A186" s="169" t="s">
        <v>402</v>
      </c>
      <c r="B186" s="91" t="s">
        <v>403</v>
      </c>
      <c r="C186" s="91" t="s">
        <v>494</v>
      </c>
      <c r="D186" s="91">
        <v>5</v>
      </c>
      <c r="E186" s="91">
        <v>999</v>
      </c>
      <c r="F186" s="216">
        <v>8.1</v>
      </c>
      <c r="G186" s="90">
        <v>1</v>
      </c>
      <c r="H186" s="90">
        <v>7</v>
      </c>
      <c r="I186" s="158">
        <v>17</v>
      </c>
    </row>
    <row r="187" spans="1:9" s="91" customFormat="1" x14ac:dyDescent="0.3">
      <c r="A187" s="169" t="s">
        <v>402</v>
      </c>
      <c r="B187" s="91" t="s">
        <v>403</v>
      </c>
      <c r="C187" s="91" t="s">
        <v>497</v>
      </c>
      <c r="D187" s="91">
        <v>1</v>
      </c>
      <c r="E187" s="91">
        <v>1</v>
      </c>
      <c r="F187" s="216">
        <v>10</v>
      </c>
      <c r="G187" s="90">
        <v>2</v>
      </c>
      <c r="H187" s="90">
        <v>7</v>
      </c>
      <c r="I187" s="158">
        <v>17</v>
      </c>
    </row>
    <row r="188" spans="1:9" s="91" customFormat="1" x14ac:dyDescent="0.3">
      <c r="A188" s="169" t="s">
        <v>402</v>
      </c>
      <c r="B188" s="91" t="s">
        <v>403</v>
      </c>
      <c r="C188" s="91" t="s">
        <v>497</v>
      </c>
      <c r="D188" s="91">
        <v>2</v>
      </c>
      <c r="E188" s="91">
        <v>999</v>
      </c>
      <c r="F188" s="216">
        <v>10</v>
      </c>
      <c r="G188" s="90">
        <v>2</v>
      </c>
      <c r="H188" s="90">
        <v>7</v>
      </c>
      <c r="I188" s="158">
        <v>17</v>
      </c>
    </row>
    <row r="189" spans="1:9" s="91" customFormat="1" x14ac:dyDescent="0.3">
      <c r="A189" s="169" t="s">
        <v>402</v>
      </c>
      <c r="B189" s="91" t="s">
        <v>403</v>
      </c>
      <c r="C189" s="91" t="s">
        <v>498</v>
      </c>
      <c r="D189" s="91">
        <v>1</v>
      </c>
      <c r="E189" s="91">
        <v>1</v>
      </c>
      <c r="F189" s="216">
        <v>22.9</v>
      </c>
      <c r="G189" s="90">
        <v>3</v>
      </c>
      <c r="H189" s="90">
        <v>8</v>
      </c>
      <c r="I189" s="158">
        <v>19</v>
      </c>
    </row>
    <row r="190" spans="1:9" s="91" customFormat="1" x14ac:dyDescent="0.3">
      <c r="A190" s="169" t="s">
        <v>402</v>
      </c>
      <c r="B190" s="91" t="s">
        <v>403</v>
      </c>
      <c r="C190" s="91" t="s">
        <v>498</v>
      </c>
      <c r="D190" s="91">
        <v>2</v>
      </c>
      <c r="E190" s="91">
        <v>999</v>
      </c>
      <c r="F190" s="216">
        <v>22.9</v>
      </c>
      <c r="G190" s="90">
        <v>3</v>
      </c>
      <c r="H190" s="90">
        <v>8</v>
      </c>
      <c r="I190" s="158">
        <v>19</v>
      </c>
    </row>
    <row r="191" spans="1:9" s="91" customFormat="1" x14ac:dyDescent="0.3">
      <c r="A191" s="169" t="s">
        <v>402</v>
      </c>
      <c r="B191" s="91" t="s">
        <v>403</v>
      </c>
      <c r="C191" s="91" t="s">
        <v>525</v>
      </c>
      <c r="D191" s="91">
        <v>1</v>
      </c>
      <c r="E191" s="91">
        <v>1</v>
      </c>
      <c r="F191" s="216">
        <v>4.4000000000000004</v>
      </c>
      <c r="G191" s="90">
        <v>1</v>
      </c>
      <c r="H191" s="90">
        <v>6</v>
      </c>
      <c r="I191" s="158">
        <v>17</v>
      </c>
    </row>
    <row r="192" spans="1:9" s="91" customFormat="1" x14ac:dyDescent="0.3">
      <c r="A192" s="169" t="s">
        <v>402</v>
      </c>
      <c r="B192" s="91" t="s">
        <v>403</v>
      </c>
      <c r="C192" s="91" t="s">
        <v>526</v>
      </c>
      <c r="D192" s="91">
        <v>1</v>
      </c>
      <c r="E192" s="91">
        <v>1</v>
      </c>
      <c r="F192" s="216">
        <v>4.4000000000000004</v>
      </c>
      <c r="G192" s="90">
        <v>1</v>
      </c>
      <c r="H192" s="90">
        <v>6</v>
      </c>
      <c r="I192" s="158">
        <v>17</v>
      </c>
    </row>
    <row r="193" spans="1:9" s="91" customFormat="1" x14ac:dyDescent="0.3">
      <c r="A193" s="169" t="s">
        <v>402</v>
      </c>
      <c r="B193" s="91" t="s">
        <v>403</v>
      </c>
      <c r="C193" s="91" t="s">
        <v>527</v>
      </c>
      <c r="D193" s="91">
        <v>1</v>
      </c>
      <c r="E193" s="91">
        <v>1</v>
      </c>
      <c r="F193" s="216">
        <v>4.4000000000000004</v>
      </c>
      <c r="G193" s="90">
        <v>1</v>
      </c>
      <c r="H193" s="90">
        <v>6</v>
      </c>
      <c r="I193" s="158">
        <v>17</v>
      </c>
    </row>
    <row r="194" spans="1:9" s="91" customFormat="1" x14ac:dyDescent="0.3">
      <c r="A194" s="169" t="s">
        <v>402</v>
      </c>
      <c r="B194" s="91" t="s">
        <v>403</v>
      </c>
      <c r="C194" s="91" t="s">
        <v>528</v>
      </c>
      <c r="D194" s="91">
        <v>1</v>
      </c>
      <c r="E194" s="91">
        <v>1</v>
      </c>
      <c r="F194" s="216">
        <v>4.4000000000000004</v>
      </c>
      <c r="G194" s="90">
        <v>1</v>
      </c>
      <c r="H194" s="90">
        <v>6</v>
      </c>
      <c r="I194" s="158">
        <v>17</v>
      </c>
    </row>
    <row r="195" spans="1:9" s="91" customFormat="1" x14ac:dyDescent="0.3">
      <c r="A195" s="169" t="s">
        <v>402</v>
      </c>
      <c r="B195" s="91" t="s">
        <v>403</v>
      </c>
      <c r="C195" s="91" t="s">
        <v>529</v>
      </c>
      <c r="D195" s="91">
        <v>1</v>
      </c>
      <c r="E195" s="91">
        <v>1</v>
      </c>
      <c r="F195" s="216">
        <v>4.4000000000000004</v>
      </c>
      <c r="G195" s="90">
        <v>1</v>
      </c>
      <c r="H195" s="90">
        <v>6</v>
      </c>
      <c r="I195" s="158">
        <v>17</v>
      </c>
    </row>
    <row r="196" spans="1:9" s="91" customFormat="1" x14ac:dyDescent="0.3">
      <c r="A196" s="169" t="s">
        <v>402</v>
      </c>
      <c r="B196" s="91" t="s">
        <v>403</v>
      </c>
      <c r="C196" s="91" t="s">
        <v>530</v>
      </c>
      <c r="D196" s="91">
        <v>1</v>
      </c>
      <c r="E196" s="91">
        <v>1</v>
      </c>
      <c r="F196" s="216">
        <v>4.4000000000000004</v>
      </c>
      <c r="G196" s="90">
        <v>1</v>
      </c>
      <c r="H196" s="90">
        <v>6</v>
      </c>
      <c r="I196" s="158">
        <v>17</v>
      </c>
    </row>
    <row r="197" spans="1:9" s="91" customFormat="1" x14ac:dyDescent="0.3">
      <c r="A197" s="169" t="s">
        <v>402</v>
      </c>
      <c r="B197" s="91" t="s">
        <v>403</v>
      </c>
      <c r="C197" s="91" t="s">
        <v>531</v>
      </c>
      <c r="D197" s="91">
        <v>1</v>
      </c>
      <c r="E197" s="91">
        <v>1</v>
      </c>
      <c r="F197" s="216">
        <v>4.4000000000000004</v>
      </c>
      <c r="G197" s="90">
        <v>1</v>
      </c>
      <c r="H197" s="90">
        <v>6</v>
      </c>
      <c r="I197" s="158">
        <v>17</v>
      </c>
    </row>
    <row r="198" spans="1:9" s="91" customFormat="1" x14ac:dyDescent="0.3">
      <c r="A198" s="169" t="s">
        <v>402</v>
      </c>
      <c r="B198" s="91" t="s">
        <v>403</v>
      </c>
      <c r="C198" s="91" t="s">
        <v>532</v>
      </c>
      <c r="D198" s="91">
        <v>1</v>
      </c>
      <c r="E198" s="91">
        <v>1</v>
      </c>
      <c r="F198" s="216">
        <v>4.4000000000000004</v>
      </c>
      <c r="G198" s="90">
        <v>1</v>
      </c>
      <c r="H198" s="90">
        <v>6</v>
      </c>
      <c r="I198" s="158">
        <v>17</v>
      </c>
    </row>
    <row r="199" spans="1:9" s="91" customFormat="1" x14ac:dyDescent="0.3">
      <c r="A199" s="169" t="s">
        <v>402</v>
      </c>
      <c r="B199" s="91" t="s">
        <v>403</v>
      </c>
      <c r="C199" s="91" t="s">
        <v>533</v>
      </c>
      <c r="D199" s="91">
        <v>1</v>
      </c>
      <c r="E199" s="91">
        <v>1</v>
      </c>
      <c r="F199" s="216">
        <v>4.4000000000000004</v>
      </c>
      <c r="G199" s="90">
        <v>1</v>
      </c>
      <c r="H199" s="90">
        <v>6</v>
      </c>
      <c r="I199" s="158">
        <v>17</v>
      </c>
    </row>
    <row r="200" spans="1:9" s="91" customFormat="1" x14ac:dyDescent="0.3">
      <c r="A200" s="169" t="s">
        <v>402</v>
      </c>
      <c r="B200" s="91" t="s">
        <v>403</v>
      </c>
      <c r="C200" s="91" t="s">
        <v>516</v>
      </c>
      <c r="D200" s="91">
        <v>1</v>
      </c>
      <c r="E200" s="91">
        <v>1</v>
      </c>
      <c r="F200" s="216">
        <v>5.5</v>
      </c>
      <c r="G200" s="90">
        <v>1</v>
      </c>
      <c r="H200" s="90">
        <v>6</v>
      </c>
      <c r="I200" s="158">
        <v>17</v>
      </c>
    </row>
    <row r="201" spans="1:9" s="91" customFormat="1" x14ac:dyDescent="0.3">
      <c r="A201" s="169" t="s">
        <v>402</v>
      </c>
      <c r="B201" s="91" t="s">
        <v>403</v>
      </c>
      <c r="C201" s="91" t="s">
        <v>517</v>
      </c>
      <c r="D201" s="91">
        <v>1</v>
      </c>
      <c r="E201" s="91">
        <v>1</v>
      </c>
      <c r="F201" s="216">
        <v>5.5</v>
      </c>
      <c r="G201" s="90">
        <v>1</v>
      </c>
      <c r="H201" s="90">
        <v>6</v>
      </c>
      <c r="I201" s="158">
        <v>17</v>
      </c>
    </row>
    <row r="202" spans="1:9" s="91" customFormat="1" x14ac:dyDescent="0.3">
      <c r="A202" s="169" t="s">
        <v>402</v>
      </c>
      <c r="B202" s="91" t="s">
        <v>403</v>
      </c>
      <c r="C202" s="91" t="s">
        <v>518</v>
      </c>
      <c r="D202" s="91">
        <v>1</v>
      </c>
      <c r="E202" s="91">
        <v>1</v>
      </c>
      <c r="F202" s="216">
        <v>5.5</v>
      </c>
      <c r="G202" s="90">
        <v>1</v>
      </c>
      <c r="H202" s="90">
        <v>6</v>
      </c>
      <c r="I202" s="158">
        <v>17</v>
      </c>
    </row>
    <row r="203" spans="1:9" s="91" customFormat="1" x14ac:dyDescent="0.3">
      <c r="A203" s="169" t="s">
        <v>402</v>
      </c>
      <c r="B203" s="91" t="s">
        <v>403</v>
      </c>
      <c r="C203" s="91" t="s">
        <v>519</v>
      </c>
      <c r="D203" s="91">
        <v>1</v>
      </c>
      <c r="E203" s="91">
        <v>1</v>
      </c>
      <c r="F203" s="216">
        <v>5.5</v>
      </c>
      <c r="G203" s="90">
        <v>1</v>
      </c>
      <c r="H203" s="90">
        <v>6</v>
      </c>
      <c r="I203" s="158">
        <v>17</v>
      </c>
    </row>
    <row r="204" spans="1:9" s="91" customFormat="1" x14ac:dyDescent="0.3">
      <c r="A204" s="169" t="s">
        <v>402</v>
      </c>
      <c r="B204" s="91" t="s">
        <v>403</v>
      </c>
      <c r="C204" s="91" t="s">
        <v>520</v>
      </c>
      <c r="D204" s="91">
        <v>1</v>
      </c>
      <c r="E204" s="91">
        <v>1</v>
      </c>
      <c r="F204" s="216">
        <v>5.5</v>
      </c>
      <c r="G204" s="90">
        <v>1</v>
      </c>
      <c r="H204" s="90">
        <v>6</v>
      </c>
      <c r="I204" s="158">
        <v>17</v>
      </c>
    </row>
    <row r="205" spans="1:9" s="91" customFormat="1" x14ac:dyDescent="0.3">
      <c r="A205" s="169" t="s">
        <v>402</v>
      </c>
      <c r="B205" s="91" t="s">
        <v>403</v>
      </c>
      <c r="C205" s="91" t="s">
        <v>521</v>
      </c>
      <c r="D205" s="91">
        <v>1</v>
      </c>
      <c r="E205" s="91">
        <v>1</v>
      </c>
      <c r="F205" s="216">
        <v>5.5</v>
      </c>
      <c r="G205" s="90">
        <v>1</v>
      </c>
      <c r="H205" s="90">
        <v>6</v>
      </c>
      <c r="I205" s="158">
        <v>17</v>
      </c>
    </row>
    <row r="206" spans="1:9" s="91" customFormat="1" x14ac:dyDescent="0.3">
      <c r="A206" s="169" t="s">
        <v>402</v>
      </c>
      <c r="B206" s="91" t="s">
        <v>403</v>
      </c>
      <c r="C206" s="91" t="s">
        <v>522</v>
      </c>
      <c r="D206" s="91">
        <v>1</v>
      </c>
      <c r="E206" s="91">
        <v>1</v>
      </c>
      <c r="F206" s="216">
        <v>5.5</v>
      </c>
      <c r="G206" s="90">
        <v>1</v>
      </c>
      <c r="H206" s="90">
        <v>6</v>
      </c>
      <c r="I206" s="158">
        <v>17</v>
      </c>
    </row>
    <row r="207" spans="1:9" s="91" customFormat="1" x14ac:dyDescent="0.3">
      <c r="A207" s="169" t="s">
        <v>402</v>
      </c>
      <c r="B207" s="91" t="s">
        <v>403</v>
      </c>
      <c r="C207" s="91" t="s">
        <v>523</v>
      </c>
      <c r="D207" s="91">
        <v>1</v>
      </c>
      <c r="E207" s="91">
        <v>1</v>
      </c>
      <c r="F207" s="216">
        <v>5.5</v>
      </c>
      <c r="G207" s="90">
        <v>1</v>
      </c>
      <c r="H207" s="90">
        <v>6</v>
      </c>
      <c r="I207" s="158">
        <v>17</v>
      </c>
    </row>
    <row r="208" spans="1:9" s="91" customFormat="1" x14ac:dyDescent="0.3">
      <c r="A208" s="169" t="s">
        <v>402</v>
      </c>
      <c r="B208" s="91" t="s">
        <v>403</v>
      </c>
      <c r="C208" s="91" t="s">
        <v>524</v>
      </c>
      <c r="D208" s="91">
        <v>1</v>
      </c>
      <c r="E208" s="91">
        <v>1</v>
      </c>
      <c r="F208" s="216">
        <v>5.5</v>
      </c>
      <c r="G208" s="90">
        <v>1</v>
      </c>
      <c r="H208" s="90">
        <v>6</v>
      </c>
      <c r="I208" s="158">
        <v>17</v>
      </c>
    </row>
    <row r="209" spans="1:9" s="91" customFormat="1" x14ac:dyDescent="0.3">
      <c r="A209" s="169" t="s">
        <v>402</v>
      </c>
      <c r="B209" s="91" t="s">
        <v>403</v>
      </c>
      <c r="C209" s="91" t="s">
        <v>534</v>
      </c>
      <c r="D209" s="91">
        <v>1</v>
      </c>
      <c r="E209" s="91">
        <v>1</v>
      </c>
      <c r="F209" s="220">
        <v>13.9</v>
      </c>
      <c r="G209" s="90">
        <v>2</v>
      </c>
      <c r="H209" s="90">
        <v>7</v>
      </c>
      <c r="I209" s="158">
        <v>18</v>
      </c>
    </row>
    <row r="210" spans="1:9" s="91" customFormat="1" x14ac:dyDescent="0.3">
      <c r="A210" s="169" t="s">
        <v>402</v>
      </c>
      <c r="B210" s="91" t="s">
        <v>403</v>
      </c>
      <c r="C210" s="91" t="s">
        <v>535</v>
      </c>
      <c r="D210" s="91">
        <v>1</v>
      </c>
      <c r="E210" s="91">
        <v>1</v>
      </c>
      <c r="F210" s="220">
        <v>13.4</v>
      </c>
      <c r="G210" s="90">
        <v>2</v>
      </c>
      <c r="H210" s="90">
        <v>7</v>
      </c>
      <c r="I210" s="158">
        <v>18</v>
      </c>
    </row>
    <row r="211" spans="1:9" s="91" customFormat="1" x14ac:dyDescent="0.3">
      <c r="A211" s="169" t="s">
        <v>402</v>
      </c>
      <c r="B211" s="91" t="s">
        <v>403</v>
      </c>
      <c r="C211" s="91" t="s">
        <v>515</v>
      </c>
      <c r="D211" s="91">
        <v>1</v>
      </c>
      <c r="E211" s="91">
        <v>1</v>
      </c>
      <c r="F211" s="220">
        <v>11.3</v>
      </c>
      <c r="G211" s="90">
        <v>2</v>
      </c>
      <c r="H211" s="90">
        <v>7</v>
      </c>
      <c r="I211" s="158">
        <v>14</v>
      </c>
    </row>
    <row r="212" spans="1:9" s="91" customFormat="1" x14ac:dyDescent="0.3">
      <c r="A212" s="169" t="s">
        <v>402</v>
      </c>
      <c r="B212" s="91" t="s">
        <v>403</v>
      </c>
      <c r="C212" s="91" t="s">
        <v>513</v>
      </c>
      <c r="D212" s="91">
        <v>1</v>
      </c>
      <c r="E212" s="91">
        <v>1</v>
      </c>
      <c r="F212" s="220">
        <v>13.2</v>
      </c>
      <c r="G212" s="90">
        <v>2</v>
      </c>
      <c r="H212" s="90">
        <v>7</v>
      </c>
      <c r="I212" s="158">
        <v>14</v>
      </c>
    </row>
    <row r="213" spans="1:9" s="91" customFormat="1" x14ac:dyDescent="0.3">
      <c r="A213" s="169" t="s">
        <v>402</v>
      </c>
      <c r="B213" s="91" t="s">
        <v>403</v>
      </c>
      <c r="C213" s="91" t="s">
        <v>514</v>
      </c>
      <c r="D213" s="91">
        <v>1</v>
      </c>
      <c r="E213" s="91">
        <v>1</v>
      </c>
      <c r="F213" s="220">
        <v>12.8</v>
      </c>
      <c r="G213" s="90">
        <v>2</v>
      </c>
      <c r="H213" s="90">
        <v>7</v>
      </c>
      <c r="I213" s="158">
        <v>18</v>
      </c>
    </row>
    <row r="214" spans="1:9" s="91" customFormat="1" x14ac:dyDescent="0.3">
      <c r="A214" s="169" t="s">
        <v>402</v>
      </c>
      <c r="B214" s="91" t="s">
        <v>403</v>
      </c>
      <c r="C214" s="91" t="s">
        <v>536</v>
      </c>
      <c r="D214" s="91">
        <v>1</v>
      </c>
      <c r="E214" s="91">
        <v>1</v>
      </c>
      <c r="F214" s="220">
        <v>11.3</v>
      </c>
      <c r="G214" s="90">
        <v>2</v>
      </c>
      <c r="H214" s="90">
        <v>7</v>
      </c>
      <c r="I214" s="158">
        <v>18</v>
      </c>
    </row>
    <row r="215" spans="1:9" s="91" customFormat="1" x14ac:dyDescent="0.3">
      <c r="A215" s="169" t="s">
        <v>402</v>
      </c>
      <c r="B215" s="91" t="s">
        <v>403</v>
      </c>
      <c r="C215" s="91" t="s">
        <v>537</v>
      </c>
      <c r="D215" s="91">
        <v>1</v>
      </c>
      <c r="E215" s="91">
        <v>1</v>
      </c>
      <c r="F215" s="220">
        <v>11</v>
      </c>
      <c r="G215" s="90">
        <v>2</v>
      </c>
      <c r="H215" s="90">
        <v>7</v>
      </c>
      <c r="I215" s="158">
        <v>18</v>
      </c>
    </row>
    <row r="216" spans="1:9" s="91" customFormat="1" x14ac:dyDescent="0.3">
      <c r="A216" s="169" t="s">
        <v>402</v>
      </c>
      <c r="B216" s="91" t="s">
        <v>403</v>
      </c>
      <c r="C216" s="91" t="s">
        <v>543</v>
      </c>
      <c r="D216" s="91">
        <v>1</v>
      </c>
      <c r="E216" s="91">
        <v>1</v>
      </c>
      <c r="F216" s="220">
        <v>2</v>
      </c>
      <c r="G216" s="90">
        <v>1</v>
      </c>
      <c r="H216" s="90">
        <v>6</v>
      </c>
      <c r="I216" s="158">
        <v>9</v>
      </c>
    </row>
    <row r="217" spans="1:9" s="91" customFormat="1" x14ac:dyDescent="0.3">
      <c r="A217" s="169" t="s">
        <v>402</v>
      </c>
      <c r="B217" s="91" t="s">
        <v>403</v>
      </c>
      <c r="C217" s="91" t="s">
        <v>547</v>
      </c>
      <c r="D217" s="91">
        <v>1</v>
      </c>
      <c r="E217" s="91">
        <v>1</v>
      </c>
      <c r="F217" s="220">
        <v>10.1</v>
      </c>
      <c r="G217" s="90">
        <v>2</v>
      </c>
      <c r="H217" s="90">
        <v>7</v>
      </c>
      <c r="I217" s="158">
        <v>17</v>
      </c>
    </row>
    <row r="218" spans="1:9" s="91" customFormat="1" x14ac:dyDescent="0.3">
      <c r="A218" s="169" t="s">
        <v>402</v>
      </c>
      <c r="B218" s="91" t="s">
        <v>403</v>
      </c>
      <c r="C218" s="91" t="s">
        <v>1978</v>
      </c>
      <c r="D218" s="91">
        <v>1</v>
      </c>
      <c r="E218" s="91">
        <v>1</v>
      </c>
      <c r="F218" s="220">
        <v>18.2</v>
      </c>
      <c r="G218" s="90">
        <v>3</v>
      </c>
      <c r="H218" s="90">
        <v>8</v>
      </c>
      <c r="I218" s="158">
        <v>18</v>
      </c>
    </row>
    <row r="219" spans="1:9" s="91" customFormat="1" x14ac:dyDescent="0.3">
      <c r="A219" s="169" t="s">
        <v>402</v>
      </c>
      <c r="B219" s="91" t="s">
        <v>403</v>
      </c>
      <c r="C219" s="91" t="s">
        <v>548</v>
      </c>
      <c r="D219" s="91">
        <v>1</v>
      </c>
      <c r="E219" s="91">
        <v>1</v>
      </c>
      <c r="F219" s="220">
        <v>6.9</v>
      </c>
      <c r="G219" s="90">
        <v>1</v>
      </c>
      <c r="H219" s="90">
        <v>6</v>
      </c>
      <c r="I219" s="158">
        <v>17</v>
      </c>
    </row>
    <row r="220" spans="1:9" s="91" customFormat="1" x14ac:dyDescent="0.3">
      <c r="A220" s="169" t="s">
        <v>402</v>
      </c>
      <c r="B220" s="91" t="s">
        <v>403</v>
      </c>
      <c r="C220" s="91" t="s">
        <v>549</v>
      </c>
      <c r="D220" s="91">
        <v>1</v>
      </c>
      <c r="E220" s="91">
        <v>1</v>
      </c>
      <c r="F220" s="220">
        <v>18.2</v>
      </c>
      <c r="G220" s="90">
        <v>3</v>
      </c>
      <c r="H220" s="90">
        <v>8</v>
      </c>
      <c r="I220" s="158">
        <v>18</v>
      </c>
    </row>
    <row r="221" spans="1:9" s="91" customFormat="1" x14ac:dyDescent="0.3">
      <c r="A221" s="169" t="s">
        <v>402</v>
      </c>
      <c r="B221" s="91" t="s">
        <v>403</v>
      </c>
      <c r="C221" s="91" t="s">
        <v>550</v>
      </c>
      <c r="D221" s="91">
        <v>1</v>
      </c>
      <c r="E221" s="91">
        <v>1</v>
      </c>
      <c r="F221" s="220">
        <v>9.4</v>
      </c>
      <c r="G221" s="90">
        <v>1</v>
      </c>
      <c r="H221" s="90">
        <v>7</v>
      </c>
      <c r="I221" s="158">
        <v>17</v>
      </c>
    </row>
    <row r="222" spans="1:9" s="91" customFormat="1" x14ac:dyDescent="0.3">
      <c r="A222" s="169" t="s">
        <v>402</v>
      </c>
      <c r="B222" s="91" t="s">
        <v>403</v>
      </c>
      <c r="C222" s="91" t="s">
        <v>551</v>
      </c>
      <c r="D222" s="91">
        <v>1</v>
      </c>
      <c r="E222" s="91">
        <v>1</v>
      </c>
      <c r="F222" s="220">
        <v>11.8</v>
      </c>
      <c r="G222" s="90">
        <v>2</v>
      </c>
      <c r="H222" s="90">
        <v>7</v>
      </c>
      <c r="I222" s="158">
        <v>18</v>
      </c>
    </row>
    <row r="223" spans="1:9" s="91" customFormat="1" x14ac:dyDescent="0.3">
      <c r="A223" s="169" t="s">
        <v>402</v>
      </c>
      <c r="B223" s="91" t="s">
        <v>403</v>
      </c>
      <c r="C223" s="170" t="s">
        <v>552</v>
      </c>
      <c r="D223" s="91">
        <v>1</v>
      </c>
      <c r="E223" s="91">
        <v>1</v>
      </c>
      <c r="F223" s="220">
        <v>18.100000000000001</v>
      </c>
      <c r="G223" s="90">
        <v>2</v>
      </c>
      <c r="H223" s="90">
        <v>8</v>
      </c>
      <c r="I223" s="158">
        <v>18</v>
      </c>
    </row>
    <row r="224" spans="1:9" s="91" customFormat="1" x14ac:dyDescent="0.3">
      <c r="A224" s="169" t="s">
        <v>402</v>
      </c>
      <c r="B224" s="91" t="s">
        <v>403</v>
      </c>
      <c r="C224" s="91" t="s">
        <v>1977</v>
      </c>
      <c r="D224" s="91">
        <v>1</v>
      </c>
      <c r="E224" s="91">
        <v>1</v>
      </c>
      <c r="F224" s="220">
        <v>4.5999999999999996</v>
      </c>
      <c r="G224" s="90">
        <v>1</v>
      </c>
      <c r="H224" s="90">
        <v>6</v>
      </c>
      <c r="I224" s="158">
        <v>17</v>
      </c>
    </row>
    <row r="225" spans="1:9" x14ac:dyDescent="0.3">
      <c r="A225" s="166" t="s">
        <v>402</v>
      </c>
      <c r="B225" s="90" t="s">
        <v>403</v>
      </c>
      <c r="C225" s="90" t="s">
        <v>556</v>
      </c>
      <c r="D225" s="90">
        <v>1</v>
      </c>
      <c r="E225" s="90">
        <v>1</v>
      </c>
      <c r="F225" s="220">
        <v>7.8</v>
      </c>
      <c r="G225" s="90">
        <v>1</v>
      </c>
      <c r="H225" s="90">
        <v>7</v>
      </c>
      <c r="I225" s="158">
        <v>17</v>
      </c>
    </row>
    <row r="226" spans="1:9" x14ac:dyDescent="0.3">
      <c r="A226" s="166" t="s">
        <v>402</v>
      </c>
      <c r="B226" s="90" t="s">
        <v>403</v>
      </c>
      <c r="C226" s="90" t="s">
        <v>555</v>
      </c>
      <c r="D226" s="90">
        <v>1</v>
      </c>
      <c r="E226" s="90">
        <v>1</v>
      </c>
      <c r="F226" s="220">
        <v>12.9</v>
      </c>
      <c r="G226" s="90">
        <v>2</v>
      </c>
      <c r="H226" s="90">
        <v>7</v>
      </c>
      <c r="I226" s="158">
        <v>14</v>
      </c>
    </row>
    <row r="227" spans="1:9" x14ac:dyDescent="0.3">
      <c r="A227" s="166" t="s">
        <v>402</v>
      </c>
      <c r="B227" s="90" t="s">
        <v>403</v>
      </c>
      <c r="C227" s="90" t="s">
        <v>554</v>
      </c>
      <c r="D227" s="90">
        <v>1</v>
      </c>
      <c r="E227" s="90">
        <v>1</v>
      </c>
      <c r="F227" s="220">
        <v>20.7</v>
      </c>
      <c r="G227" s="90">
        <v>3</v>
      </c>
      <c r="H227" s="90">
        <v>7</v>
      </c>
      <c r="I227" s="158">
        <v>14</v>
      </c>
    </row>
    <row r="228" spans="1:9" x14ac:dyDescent="0.3">
      <c r="A228" s="166" t="s">
        <v>402</v>
      </c>
      <c r="B228" s="90" t="s">
        <v>403</v>
      </c>
      <c r="C228" s="90" t="s">
        <v>553</v>
      </c>
      <c r="D228" s="90">
        <v>1</v>
      </c>
      <c r="E228" s="90">
        <v>1</v>
      </c>
      <c r="F228" s="220">
        <v>32.4</v>
      </c>
      <c r="G228" s="90">
        <v>4</v>
      </c>
      <c r="H228" s="90">
        <v>8</v>
      </c>
      <c r="I228" s="158">
        <v>15</v>
      </c>
    </row>
    <row r="229" spans="1:9" x14ac:dyDescent="0.3">
      <c r="A229" s="166" t="s">
        <v>402</v>
      </c>
      <c r="B229" s="90" t="s">
        <v>403</v>
      </c>
      <c r="C229" s="90" t="s">
        <v>557</v>
      </c>
      <c r="D229" s="90">
        <v>1</v>
      </c>
      <c r="E229" s="90">
        <v>1</v>
      </c>
      <c r="F229" s="220">
        <v>28.2</v>
      </c>
      <c r="G229" s="90">
        <v>4</v>
      </c>
      <c r="H229" s="90">
        <v>8</v>
      </c>
      <c r="I229" s="158">
        <v>15</v>
      </c>
    </row>
    <row r="230" spans="1:9" x14ac:dyDescent="0.3">
      <c r="A230" s="166" t="s">
        <v>402</v>
      </c>
      <c r="B230" s="90" t="s">
        <v>403</v>
      </c>
      <c r="C230" s="90" t="s">
        <v>571</v>
      </c>
      <c r="D230" s="90">
        <v>1</v>
      </c>
      <c r="E230" s="90">
        <v>1</v>
      </c>
      <c r="F230" s="220">
        <v>10.8</v>
      </c>
      <c r="G230" s="90">
        <v>2</v>
      </c>
      <c r="H230" s="90">
        <v>7</v>
      </c>
      <c r="I230" s="158">
        <v>17</v>
      </c>
    </row>
    <row r="231" spans="1:9" x14ac:dyDescent="0.3">
      <c r="A231" s="166" t="s">
        <v>402</v>
      </c>
      <c r="B231" s="90" t="s">
        <v>403</v>
      </c>
      <c r="C231" s="90" t="s">
        <v>572</v>
      </c>
      <c r="D231" s="90">
        <v>1</v>
      </c>
      <c r="E231" s="90">
        <v>1</v>
      </c>
      <c r="F231" s="220">
        <v>9.6999999999999993</v>
      </c>
      <c r="G231" s="90">
        <v>1</v>
      </c>
      <c r="H231" s="90">
        <v>7</v>
      </c>
      <c r="I231" s="158">
        <v>17</v>
      </c>
    </row>
    <row r="232" spans="1:9" x14ac:dyDescent="0.3">
      <c r="A232" s="166" t="s">
        <v>402</v>
      </c>
      <c r="B232" s="90" t="s">
        <v>403</v>
      </c>
      <c r="C232" s="90" t="s">
        <v>1976</v>
      </c>
      <c r="D232" s="90">
        <v>1</v>
      </c>
      <c r="E232" s="90">
        <v>1</v>
      </c>
      <c r="F232" s="220">
        <v>5.8</v>
      </c>
      <c r="G232" s="90">
        <v>1</v>
      </c>
      <c r="H232" s="90">
        <v>7</v>
      </c>
      <c r="I232" s="158">
        <v>9</v>
      </c>
    </row>
    <row r="233" spans="1:9" x14ac:dyDescent="0.3">
      <c r="A233" s="166" t="s">
        <v>402</v>
      </c>
      <c r="B233" s="90" t="s">
        <v>403</v>
      </c>
      <c r="C233" s="90" t="s">
        <v>573</v>
      </c>
      <c r="D233" s="90">
        <v>1</v>
      </c>
      <c r="E233" s="90">
        <v>1</v>
      </c>
      <c r="F233" s="220">
        <v>11.6</v>
      </c>
      <c r="G233" s="90">
        <v>2</v>
      </c>
      <c r="H233" s="90">
        <v>7</v>
      </c>
      <c r="I233" s="158">
        <v>18</v>
      </c>
    </row>
    <row r="234" spans="1:9" x14ac:dyDescent="0.3">
      <c r="A234" s="166" t="s">
        <v>402</v>
      </c>
      <c r="B234" s="90" t="s">
        <v>403</v>
      </c>
      <c r="C234" s="90" t="s">
        <v>574</v>
      </c>
      <c r="D234" s="90">
        <v>1</v>
      </c>
      <c r="E234" s="90">
        <v>1</v>
      </c>
      <c r="F234" s="220">
        <v>10.199999999999999</v>
      </c>
      <c r="G234" s="90">
        <v>2</v>
      </c>
      <c r="H234" s="90">
        <v>7</v>
      </c>
      <c r="I234" s="158">
        <v>17</v>
      </c>
    </row>
    <row r="235" spans="1:9" x14ac:dyDescent="0.3">
      <c r="A235" s="166" t="s">
        <v>402</v>
      </c>
      <c r="B235" s="90" t="s">
        <v>403</v>
      </c>
      <c r="C235" s="90" t="s">
        <v>576</v>
      </c>
      <c r="D235" s="90">
        <v>1</v>
      </c>
      <c r="E235" s="90">
        <v>1</v>
      </c>
      <c r="F235" s="220">
        <v>6.3</v>
      </c>
      <c r="G235" s="90">
        <v>1</v>
      </c>
      <c r="H235" s="90">
        <v>7</v>
      </c>
      <c r="I235" s="158">
        <v>17</v>
      </c>
    </row>
    <row r="236" spans="1:9" ht="16.5" customHeight="1" x14ac:dyDescent="0.3">
      <c r="A236" s="166" t="s">
        <v>402</v>
      </c>
      <c r="B236" s="90" t="s">
        <v>403</v>
      </c>
      <c r="C236" s="90" t="s">
        <v>578</v>
      </c>
      <c r="D236" s="90">
        <v>1</v>
      </c>
      <c r="E236" s="90">
        <v>1</v>
      </c>
      <c r="F236" s="220">
        <v>10.199999999999999</v>
      </c>
      <c r="G236" s="90">
        <v>2</v>
      </c>
      <c r="H236" s="90">
        <v>7</v>
      </c>
      <c r="I236" s="158">
        <v>17</v>
      </c>
    </row>
    <row r="237" spans="1:9" ht="15" customHeight="1" x14ac:dyDescent="0.3">
      <c r="A237" s="189" t="s">
        <v>402</v>
      </c>
      <c r="B237" s="190" t="s">
        <v>403</v>
      </c>
      <c r="C237" s="190" t="s">
        <v>404</v>
      </c>
      <c r="D237" s="190">
        <v>1</v>
      </c>
      <c r="E237" s="190">
        <v>1</v>
      </c>
      <c r="F237" s="86">
        <v>0</v>
      </c>
      <c r="G237" s="90" t="s">
        <v>986</v>
      </c>
      <c r="H237" s="90" t="s">
        <v>986</v>
      </c>
      <c r="I237" s="90" t="s">
        <v>986</v>
      </c>
    </row>
    <row r="238" spans="1:9" s="91" customFormat="1" x14ac:dyDescent="0.3">
      <c r="A238" s="169" t="s">
        <v>402</v>
      </c>
      <c r="B238" s="91" t="s">
        <v>403</v>
      </c>
      <c r="C238" s="170" t="s">
        <v>454</v>
      </c>
      <c r="D238" s="91">
        <v>1</v>
      </c>
      <c r="E238" s="91">
        <v>1</v>
      </c>
      <c r="F238" s="216">
        <v>10.7</v>
      </c>
      <c r="G238" s="90">
        <v>2</v>
      </c>
      <c r="H238" s="90">
        <v>7</v>
      </c>
      <c r="I238" s="158">
        <v>9</v>
      </c>
    </row>
    <row r="239" spans="1:9" s="91" customFormat="1" x14ac:dyDescent="0.3">
      <c r="A239" s="169" t="s">
        <v>402</v>
      </c>
      <c r="B239" s="91" t="s">
        <v>403</v>
      </c>
      <c r="C239" s="170" t="s">
        <v>463</v>
      </c>
      <c r="D239" s="91">
        <v>1</v>
      </c>
      <c r="E239" s="91">
        <v>1</v>
      </c>
      <c r="F239" s="216">
        <v>12.33</v>
      </c>
      <c r="G239" s="90">
        <v>2</v>
      </c>
      <c r="H239" s="90">
        <v>7</v>
      </c>
      <c r="I239" s="158">
        <v>18</v>
      </c>
    </row>
    <row r="240" spans="1:9" s="91" customFormat="1" x14ac:dyDescent="0.3">
      <c r="A240" s="169" t="s">
        <v>402</v>
      </c>
      <c r="B240" s="91" t="s">
        <v>403</v>
      </c>
      <c r="C240" s="170" t="s">
        <v>568</v>
      </c>
      <c r="D240" s="91">
        <v>1</v>
      </c>
      <c r="E240" s="91">
        <v>1</v>
      </c>
      <c r="F240" s="216">
        <v>6.12</v>
      </c>
      <c r="G240" s="90">
        <v>1</v>
      </c>
      <c r="H240" s="90">
        <v>7</v>
      </c>
      <c r="I240" s="158">
        <v>17</v>
      </c>
    </row>
    <row r="241" spans="1:9" s="91" customFormat="1" x14ac:dyDescent="0.3">
      <c r="A241" s="169" t="s">
        <v>402</v>
      </c>
      <c r="B241" s="91" t="s">
        <v>403</v>
      </c>
      <c r="C241" s="170" t="s">
        <v>569</v>
      </c>
      <c r="D241" s="91">
        <v>1</v>
      </c>
      <c r="E241" s="91">
        <v>1</v>
      </c>
      <c r="F241" s="216">
        <v>6.12</v>
      </c>
      <c r="G241" s="90">
        <v>1</v>
      </c>
      <c r="H241" s="90">
        <v>7</v>
      </c>
      <c r="I241" s="158">
        <v>17</v>
      </c>
    </row>
    <row r="242" spans="1:9" s="91" customFormat="1" x14ac:dyDescent="0.3">
      <c r="A242" s="169" t="s">
        <v>402</v>
      </c>
      <c r="B242" s="91" t="s">
        <v>403</v>
      </c>
      <c r="C242" s="170" t="s">
        <v>570</v>
      </c>
      <c r="D242" s="91">
        <v>1</v>
      </c>
      <c r="E242" s="91">
        <v>1</v>
      </c>
      <c r="F242" s="216">
        <v>6.12</v>
      </c>
      <c r="G242" s="90">
        <v>1</v>
      </c>
      <c r="H242" s="90">
        <v>7</v>
      </c>
      <c r="I242" s="158">
        <v>17</v>
      </c>
    </row>
    <row r="243" spans="1:9" s="91" customFormat="1" x14ac:dyDescent="0.3">
      <c r="A243" s="169" t="s">
        <v>402</v>
      </c>
      <c r="B243" s="91" t="s">
        <v>403</v>
      </c>
      <c r="C243" s="170" t="s">
        <v>575</v>
      </c>
      <c r="D243" s="91">
        <v>1</v>
      </c>
      <c r="E243" s="91">
        <v>1</v>
      </c>
      <c r="F243" s="216">
        <v>10.199999999999999</v>
      </c>
      <c r="G243" s="90">
        <v>2</v>
      </c>
      <c r="H243" s="90">
        <v>7</v>
      </c>
      <c r="I243" s="158">
        <v>17</v>
      </c>
    </row>
    <row r="244" spans="1:9" s="91" customFormat="1" x14ac:dyDescent="0.3">
      <c r="A244" s="169" t="s">
        <v>402</v>
      </c>
      <c r="B244" s="91" t="s">
        <v>403</v>
      </c>
      <c r="C244" s="170" t="s">
        <v>577</v>
      </c>
      <c r="D244" s="91">
        <v>1</v>
      </c>
      <c r="E244" s="91">
        <v>1</v>
      </c>
      <c r="F244" s="220">
        <v>6.3</v>
      </c>
      <c r="G244" s="90">
        <v>1</v>
      </c>
      <c r="H244" s="90">
        <v>7</v>
      </c>
      <c r="I244" s="158">
        <v>17</v>
      </c>
    </row>
    <row r="245" spans="1:9" s="91" customFormat="1" x14ac:dyDescent="0.3">
      <c r="A245" s="169" t="s">
        <v>402</v>
      </c>
      <c r="B245" s="91" t="s">
        <v>403</v>
      </c>
      <c r="C245" s="170" t="s">
        <v>579</v>
      </c>
      <c r="D245" s="91">
        <v>1</v>
      </c>
      <c r="E245" s="91">
        <v>1</v>
      </c>
      <c r="F245" s="220">
        <v>6.3</v>
      </c>
      <c r="G245" s="90">
        <v>2</v>
      </c>
      <c r="H245" s="90">
        <v>7</v>
      </c>
      <c r="I245" s="158">
        <v>17</v>
      </c>
    </row>
    <row r="246" spans="1:9" s="91" customFormat="1" x14ac:dyDescent="0.3">
      <c r="A246" s="169" t="s">
        <v>402</v>
      </c>
      <c r="B246" s="91" t="s">
        <v>403</v>
      </c>
      <c r="C246" s="170" t="s">
        <v>539</v>
      </c>
      <c r="D246" s="91">
        <v>3</v>
      </c>
      <c r="E246" s="91">
        <v>999</v>
      </c>
      <c r="F246" s="216">
        <v>11.9</v>
      </c>
      <c r="G246" s="90">
        <v>1</v>
      </c>
      <c r="H246" s="91">
        <v>7</v>
      </c>
      <c r="I246" s="91">
        <v>17</v>
      </c>
    </row>
    <row r="247" spans="1:9" s="91" customFormat="1" x14ac:dyDescent="0.3">
      <c r="A247" s="169" t="s">
        <v>402</v>
      </c>
      <c r="B247" s="91" t="s">
        <v>403</v>
      </c>
      <c r="C247" s="170" t="s">
        <v>540</v>
      </c>
      <c r="D247" s="91">
        <v>3</v>
      </c>
      <c r="E247" s="91">
        <v>999</v>
      </c>
      <c r="F247" s="216">
        <v>10.71</v>
      </c>
      <c r="G247" s="90">
        <v>1</v>
      </c>
      <c r="H247" s="91">
        <v>7</v>
      </c>
      <c r="I247" s="91">
        <v>17</v>
      </c>
    </row>
    <row r="248" spans="1:9" s="91" customFormat="1" x14ac:dyDescent="0.3">
      <c r="A248" s="169" t="s">
        <v>402</v>
      </c>
      <c r="B248" s="91" t="s">
        <v>403</v>
      </c>
      <c r="C248" s="170" t="s">
        <v>542</v>
      </c>
      <c r="D248" s="91">
        <v>3</v>
      </c>
      <c r="E248" s="91">
        <v>999</v>
      </c>
      <c r="F248" s="216">
        <v>11</v>
      </c>
      <c r="G248" s="90">
        <v>1</v>
      </c>
      <c r="H248" s="91">
        <v>7</v>
      </c>
      <c r="I248" s="91">
        <v>17</v>
      </c>
    </row>
    <row r="249" spans="1:9" s="91" customFormat="1" x14ac:dyDescent="0.3">
      <c r="A249" s="169" t="s">
        <v>402</v>
      </c>
      <c r="B249" s="91" t="s">
        <v>403</v>
      </c>
      <c r="C249" s="170" t="s">
        <v>539</v>
      </c>
      <c r="D249" s="91">
        <v>1</v>
      </c>
      <c r="E249" s="91">
        <v>2</v>
      </c>
      <c r="F249" s="216">
        <v>11.9</v>
      </c>
      <c r="G249" s="90">
        <v>1</v>
      </c>
      <c r="H249" s="91">
        <v>7</v>
      </c>
      <c r="I249" s="91">
        <v>17</v>
      </c>
    </row>
    <row r="250" spans="1:9" s="91" customFormat="1" x14ac:dyDescent="0.3">
      <c r="A250" s="169" t="s">
        <v>402</v>
      </c>
      <c r="B250" s="91" t="s">
        <v>403</v>
      </c>
      <c r="C250" s="170" t="s">
        <v>540</v>
      </c>
      <c r="D250" s="91">
        <v>1</v>
      </c>
      <c r="E250" s="91">
        <v>2</v>
      </c>
      <c r="F250" s="216">
        <v>10.71</v>
      </c>
      <c r="G250" s="90">
        <v>1</v>
      </c>
      <c r="H250" s="91">
        <v>7</v>
      </c>
      <c r="I250" s="91">
        <v>17</v>
      </c>
    </row>
    <row r="251" spans="1:9" s="91" customFormat="1" x14ac:dyDescent="0.3">
      <c r="A251" s="169" t="s">
        <v>402</v>
      </c>
      <c r="B251" s="91" t="s">
        <v>403</v>
      </c>
      <c r="C251" s="170" t="s">
        <v>542</v>
      </c>
      <c r="D251" s="91">
        <v>1</v>
      </c>
      <c r="E251" s="91">
        <v>2</v>
      </c>
      <c r="F251" s="216">
        <v>11</v>
      </c>
      <c r="G251" s="90">
        <v>1</v>
      </c>
      <c r="H251" s="91">
        <v>7</v>
      </c>
      <c r="I251" s="91">
        <v>17</v>
      </c>
    </row>
    <row r="252" spans="1:9" x14ac:dyDescent="0.3">
      <c r="A252" s="169" t="s">
        <v>538</v>
      </c>
      <c r="B252" s="214" t="s">
        <v>1684</v>
      </c>
      <c r="C252" s="90" t="s">
        <v>590</v>
      </c>
      <c r="D252" s="90">
        <v>1</v>
      </c>
      <c r="E252" s="90">
        <v>1</v>
      </c>
      <c r="F252" s="215">
        <v>8.6</v>
      </c>
      <c r="G252" s="90">
        <v>1</v>
      </c>
      <c r="H252" s="90">
        <v>7</v>
      </c>
      <c r="I252" s="158">
        <v>9</v>
      </c>
    </row>
    <row r="253" spans="1:9" x14ac:dyDescent="0.3">
      <c r="A253" s="169" t="s">
        <v>538</v>
      </c>
      <c r="B253" s="214" t="s">
        <v>373</v>
      </c>
      <c r="C253" s="90" t="s">
        <v>590</v>
      </c>
      <c r="D253" s="91">
        <v>1</v>
      </c>
      <c r="E253" s="91">
        <v>1</v>
      </c>
      <c r="F253" s="215">
        <v>10.9</v>
      </c>
      <c r="G253" s="90">
        <v>2</v>
      </c>
      <c r="H253" s="90">
        <v>7</v>
      </c>
      <c r="I253" s="158">
        <v>10</v>
      </c>
    </row>
    <row r="254" spans="1:9" x14ac:dyDescent="0.3">
      <c r="A254" s="169" t="s">
        <v>538</v>
      </c>
      <c r="B254" s="214" t="s">
        <v>374</v>
      </c>
      <c r="C254" s="90" t="s">
        <v>590</v>
      </c>
      <c r="D254" s="91">
        <v>1</v>
      </c>
      <c r="E254" s="91">
        <v>1</v>
      </c>
      <c r="F254" s="215">
        <v>10.9</v>
      </c>
      <c r="G254" s="158">
        <v>2</v>
      </c>
      <c r="H254" s="158">
        <v>9</v>
      </c>
      <c r="I254" s="158">
        <v>10</v>
      </c>
    </row>
    <row r="255" spans="1:9" x14ac:dyDescent="0.3">
      <c r="A255" s="169" t="s">
        <v>538</v>
      </c>
      <c r="B255" s="214" t="s">
        <v>436</v>
      </c>
      <c r="C255" s="90" t="s">
        <v>590</v>
      </c>
      <c r="D255" s="91">
        <v>1</v>
      </c>
      <c r="E255" s="91">
        <v>1</v>
      </c>
      <c r="F255" s="215">
        <v>10.9</v>
      </c>
      <c r="G255" s="158">
        <v>2</v>
      </c>
      <c r="H255" s="158">
        <v>7</v>
      </c>
      <c r="I255" s="158">
        <v>17</v>
      </c>
    </row>
    <row r="256" spans="1:9" x14ac:dyDescent="0.3">
      <c r="A256" s="169" t="s">
        <v>538</v>
      </c>
      <c r="B256" s="214" t="s">
        <v>1701</v>
      </c>
      <c r="C256" s="90" t="s">
        <v>590</v>
      </c>
      <c r="D256" s="91">
        <v>1</v>
      </c>
      <c r="E256" s="91">
        <v>1</v>
      </c>
      <c r="F256" s="215">
        <v>9.6999999999999993</v>
      </c>
      <c r="G256" s="158">
        <v>2</v>
      </c>
      <c r="H256" s="158">
        <v>7</v>
      </c>
      <c r="I256" s="158">
        <v>17</v>
      </c>
    </row>
    <row r="257" spans="1:9" x14ac:dyDescent="0.3">
      <c r="A257" s="169" t="s">
        <v>538</v>
      </c>
      <c r="B257" s="214" t="s">
        <v>593</v>
      </c>
      <c r="C257" s="90" t="s">
        <v>590</v>
      </c>
      <c r="D257" s="91">
        <v>1</v>
      </c>
      <c r="E257" s="91">
        <v>1</v>
      </c>
      <c r="F257" s="215">
        <v>10.199999999999999</v>
      </c>
      <c r="G257" s="158">
        <v>2</v>
      </c>
      <c r="H257" s="158">
        <v>7</v>
      </c>
      <c r="I257" s="158">
        <v>17</v>
      </c>
    </row>
    <row r="258" spans="1:9" x14ac:dyDescent="0.3">
      <c r="A258" s="169" t="s">
        <v>538</v>
      </c>
      <c r="B258" s="91" t="s">
        <v>375</v>
      </c>
      <c r="C258" s="91" t="s">
        <v>590</v>
      </c>
      <c r="D258" s="91">
        <v>1</v>
      </c>
      <c r="E258" s="91">
        <v>4</v>
      </c>
      <c r="F258" s="215">
        <v>6.1</v>
      </c>
      <c r="G258" s="158">
        <v>1</v>
      </c>
      <c r="H258" s="158">
        <v>7</v>
      </c>
      <c r="I258" s="158">
        <v>17</v>
      </c>
    </row>
    <row r="259" spans="1:9" x14ac:dyDescent="0.3">
      <c r="A259" s="169" t="s">
        <v>538</v>
      </c>
      <c r="B259" s="91" t="s">
        <v>375</v>
      </c>
      <c r="C259" s="91" t="s">
        <v>590</v>
      </c>
      <c r="D259" s="91">
        <v>5</v>
      </c>
      <c r="E259" s="91">
        <v>999</v>
      </c>
      <c r="F259" s="216">
        <v>6.1</v>
      </c>
      <c r="G259" s="158">
        <v>1</v>
      </c>
      <c r="H259" s="158">
        <v>7</v>
      </c>
      <c r="I259" s="158">
        <v>9</v>
      </c>
    </row>
    <row r="260" spans="1:9" x14ac:dyDescent="0.3">
      <c r="A260" s="169" t="s">
        <v>538</v>
      </c>
      <c r="B260" s="214" t="s">
        <v>1685</v>
      </c>
      <c r="C260" s="90" t="s">
        <v>590</v>
      </c>
      <c r="D260" s="91">
        <v>1</v>
      </c>
      <c r="E260" s="91">
        <v>1</v>
      </c>
      <c r="F260" s="215">
        <v>9</v>
      </c>
      <c r="G260" s="158">
        <v>2</v>
      </c>
      <c r="H260" s="158">
        <v>9</v>
      </c>
      <c r="I260" s="158">
        <v>9</v>
      </c>
    </row>
    <row r="261" spans="1:9" x14ac:dyDescent="0.3">
      <c r="A261" s="169" t="s">
        <v>538</v>
      </c>
      <c r="B261" s="214" t="s">
        <v>1686</v>
      </c>
      <c r="C261" s="90" t="s">
        <v>590</v>
      </c>
      <c r="D261" s="91">
        <v>1</v>
      </c>
      <c r="E261" s="91">
        <v>1</v>
      </c>
      <c r="F261" s="215">
        <v>7.2</v>
      </c>
      <c r="G261" s="158">
        <v>1</v>
      </c>
      <c r="H261" s="158">
        <v>9</v>
      </c>
      <c r="I261" s="158">
        <v>9</v>
      </c>
    </row>
    <row r="262" spans="1:9" x14ac:dyDescent="0.3">
      <c r="A262" s="169" t="s">
        <v>538</v>
      </c>
      <c r="B262" s="214" t="s">
        <v>378</v>
      </c>
      <c r="C262" s="90" t="s">
        <v>590</v>
      </c>
      <c r="D262" s="91">
        <v>1</v>
      </c>
      <c r="E262" s="91">
        <v>1</v>
      </c>
      <c r="F262" s="215">
        <v>10.1</v>
      </c>
      <c r="G262" s="158">
        <v>2</v>
      </c>
      <c r="H262" s="158">
        <v>9</v>
      </c>
      <c r="I262" s="158">
        <v>9</v>
      </c>
    </row>
    <row r="263" spans="1:9" x14ac:dyDescent="0.3">
      <c r="A263" s="169" t="s">
        <v>538</v>
      </c>
      <c r="B263" s="214" t="s">
        <v>1687</v>
      </c>
      <c r="C263" s="90" t="s">
        <v>590</v>
      </c>
      <c r="D263" s="91">
        <v>1</v>
      </c>
      <c r="E263" s="91">
        <v>2</v>
      </c>
      <c r="F263" s="215">
        <v>9.6999999999999993</v>
      </c>
      <c r="G263" s="158">
        <v>1</v>
      </c>
      <c r="H263" s="158">
        <v>7</v>
      </c>
      <c r="I263" s="158">
        <v>9</v>
      </c>
    </row>
    <row r="264" spans="1:9" x14ac:dyDescent="0.3">
      <c r="A264" s="169" t="s">
        <v>538</v>
      </c>
      <c r="B264" s="214" t="s">
        <v>1687</v>
      </c>
      <c r="C264" s="90" t="s">
        <v>590</v>
      </c>
      <c r="D264" s="91">
        <v>3</v>
      </c>
      <c r="E264" s="91">
        <v>999</v>
      </c>
      <c r="F264" s="216">
        <v>9.6999999999999993</v>
      </c>
      <c r="G264" s="158">
        <v>1</v>
      </c>
      <c r="H264" s="158">
        <v>7</v>
      </c>
      <c r="I264" s="158">
        <v>9</v>
      </c>
    </row>
    <row r="265" spans="1:9" x14ac:dyDescent="0.3">
      <c r="A265" s="169" t="s">
        <v>538</v>
      </c>
      <c r="B265" s="214" t="s">
        <v>379</v>
      </c>
      <c r="C265" s="90" t="s">
        <v>590</v>
      </c>
      <c r="D265" s="91">
        <v>1</v>
      </c>
      <c r="E265" s="91">
        <v>1</v>
      </c>
      <c r="F265" s="216">
        <v>11.3</v>
      </c>
      <c r="G265" s="158">
        <v>2</v>
      </c>
      <c r="H265" s="158">
        <v>7</v>
      </c>
      <c r="I265" s="158">
        <v>10</v>
      </c>
    </row>
    <row r="266" spans="1:9" x14ac:dyDescent="0.3">
      <c r="A266" s="169" t="s">
        <v>538</v>
      </c>
      <c r="B266" s="214" t="s">
        <v>1688</v>
      </c>
      <c r="C266" s="90" t="s">
        <v>590</v>
      </c>
      <c r="D266" s="91">
        <v>1</v>
      </c>
      <c r="E266" s="91">
        <v>4</v>
      </c>
      <c r="F266" s="216">
        <v>9.4</v>
      </c>
      <c r="G266" s="158">
        <v>2</v>
      </c>
      <c r="H266" s="158">
        <v>7</v>
      </c>
      <c r="I266" s="158">
        <v>9</v>
      </c>
    </row>
    <row r="267" spans="1:9" x14ac:dyDescent="0.3">
      <c r="A267" s="169" t="s">
        <v>538</v>
      </c>
      <c r="B267" s="214" t="s">
        <v>1688</v>
      </c>
      <c r="C267" s="90" t="s">
        <v>590</v>
      </c>
      <c r="D267" s="91">
        <v>5</v>
      </c>
      <c r="E267" s="91">
        <v>999</v>
      </c>
      <c r="F267" s="216">
        <v>9.4</v>
      </c>
      <c r="G267" s="158">
        <v>2</v>
      </c>
      <c r="H267" s="158">
        <v>7</v>
      </c>
      <c r="I267" s="158">
        <v>9</v>
      </c>
    </row>
    <row r="268" spans="1:9" x14ac:dyDescent="0.3">
      <c r="A268" s="169" t="s">
        <v>538</v>
      </c>
      <c r="B268" s="214" t="s">
        <v>381</v>
      </c>
      <c r="C268" s="90" t="s">
        <v>590</v>
      </c>
      <c r="D268" s="91">
        <v>1</v>
      </c>
      <c r="E268" s="91">
        <v>2</v>
      </c>
      <c r="F268" s="216">
        <v>12.8</v>
      </c>
      <c r="G268" s="90">
        <v>2</v>
      </c>
      <c r="H268" s="91">
        <v>7</v>
      </c>
      <c r="I268" s="91">
        <v>18</v>
      </c>
    </row>
    <row r="269" spans="1:9" x14ac:dyDescent="0.3">
      <c r="A269" s="169" t="s">
        <v>538</v>
      </c>
      <c r="B269" s="214" t="s">
        <v>381</v>
      </c>
      <c r="C269" s="90" t="s">
        <v>590</v>
      </c>
      <c r="D269" s="91">
        <v>3</v>
      </c>
      <c r="E269" s="91">
        <v>999</v>
      </c>
      <c r="F269" s="216">
        <v>12.8</v>
      </c>
      <c r="G269" s="90">
        <v>2</v>
      </c>
      <c r="H269" s="91">
        <v>7</v>
      </c>
      <c r="I269" s="91">
        <v>18</v>
      </c>
    </row>
    <row r="270" spans="1:9" x14ac:dyDescent="0.3">
      <c r="A270" s="169" t="s">
        <v>538</v>
      </c>
      <c r="B270" s="214" t="s">
        <v>1702</v>
      </c>
      <c r="C270" s="90" t="s">
        <v>590</v>
      </c>
      <c r="D270" s="91">
        <v>1</v>
      </c>
      <c r="E270" s="91">
        <v>4</v>
      </c>
      <c r="F270" s="216">
        <v>5.5</v>
      </c>
      <c r="G270" s="90">
        <v>1</v>
      </c>
      <c r="H270" s="90">
        <v>6</v>
      </c>
      <c r="I270" s="90">
        <v>9</v>
      </c>
    </row>
    <row r="271" spans="1:9" x14ac:dyDescent="0.3">
      <c r="A271" s="169" t="s">
        <v>538</v>
      </c>
      <c r="B271" s="214" t="s">
        <v>1702</v>
      </c>
      <c r="C271" s="90" t="s">
        <v>590</v>
      </c>
      <c r="D271" s="91">
        <v>5</v>
      </c>
      <c r="E271" s="91">
        <v>999</v>
      </c>
      <c r="F271" s="216">
        <v>5.5</v>
      </c>
      <c r="G271" s="90">
        <v>1</v>
      </c>
      <c r="H271" s="90">
        <v>6</v>
      </c>
      <c r="I271" s="90">
        <v>9</v>
      </c>
    </row>
    <row r="272" spans="1:9" x14ac:dyDescent="0.3">
      <c r="A272" s="169" t="s">
        <v>538</v>
      </c>
      <c r="B272" s="214" t="s">
        <v>1703</v>
      </c>
      <c r="C272" s="90" t="s">
        <v>590</v>
      </c>
      <c r="D272" s="91">
        <v>1</v>
      </c>
      <c r="E272" s="91">
        <v>4</v>
      </c>
      <c r="F272" s="216">
        <v>5.5</v>
      </c>
      <c r="G272" s="158">
        <v>1</v>
      </c>
      <c r="H272" s="158">
        <v>6</v>
      </c>
      <c r="I272" s="158">
        <v>9</v>
      </c>
    </row>
    <row r="273" spans="1:9" x14ac:dyDescent="0.3">
      <c r="A273" s="169" t="s">
        <v>538</v>
      </c>
      <c r="B273" s="214" t="s">
        <v>1703</v>
      </c>
      <c r="C273" s="90" t="s">
        <v>590</v>
      </c>
      <c r="D273" s="91">
        <v>5</v>
      </c>
      <c r="E273" s="91">
        <v>999</v>
      </c>
      <c r="F273" s="216">
        <v>5.5</v>
      </c>
      <c r="G273" s="158">
        <v>1</v>
      </c>
      <c r="H273" s="158">
        <v>6</v>
      </c>
      <c r="I273" s="158">
        <v>9</v>
      </c>
    </row>
    <row r="274" spans="1:9" x14ac:dyDescent="0.3">
      <c r="A274" s="169" t="s">
        <v>538</v>
      </c>
      <c r="B274" s="214" t="s">
        <v>1689</v>
      </c>
      <c r="C274" s="90" t="s">
        <v>590</v>
      </c>
      <c r="D274" s="91">
        <v>1</v>
      </c>
      <c r="E274" s="91">
        <v>1</v>
      </c>
      <c r="F274" s="216">
        <v>12.6</v>
      </c>
      <c r="G274" s="158">
        <v>2</v>
      </c>
      <c r="H274" s="158">
        <v>9</v>
      </c>
      <c r="I274" s="158">
        <v>14</v>
      </c>
    </row>
    <row r="275" spans="1:9" x14ac:dyDescent="0.3">
      <c r="A275" s="169" t="s">
        <v>538</v>
      </c>
      <c r="B275" s="214" t="s">
        <v>1690</v>
      </c>
      <c r="C275" s="90" t="s">
        <v>590</v>
      </c>
      <c r="D275" s="91">
        <v>1</v>
      </c>
      <c r="E275" s="91">
        <v>1</v>
      </c>
      <c r="F275" s="216">
        <v>8.1999999999999993</v>
      </c>
      <c r="G275" s="158">
        <v>2</v>
      </c>
      <c r="H275" s="158">
        <v>7</v>
      </c>
      <c r="I275" s="158">
        <v>17</v>
      </c>
    </row>
    <row r="276" spans="1:9" x14ac:dyDescent="0.3">
      <c r="A276" s="169" t="s">
        <v>538</v>
      </c>
      <c r="B276" s="214" t="s">
        <v>1691</v>
      </c>
      <c r="C276" s="90" t="s">
        <v>590</v>
      </c>
      <c r="D276" s="91">
        <v>1</v>
      </c>
      <c r="E276" s="91">
        <v>4</v>
      </c>
      <c r="F276" s="216">
        <v>5.5</v>
      </c>
      <c r="G276" s="158">
        <v>1</v>
      </c>
      <c r="H276" s="158">
        <v>6</v>
      </c>
      <c r="I276" s="158">
        <v>9</v>
      </c>
    </row>
    <row r="277" spans="1:9" x14ac:dyDescent="0.3">
      <c r="A277" s="169" t="s">
        <v>538</v>
      </c>
      <c r="B277" s="214" t="s">
        <v>1691</v>
      </c>
      <c r="C277" s="90" t="s">
        <v>590</v>
      </c>
      <c r="D277" s="91">
        <v>5</v>
      </c>
      <c r="E277" s="91">
        <v>999</v>
      </c>
      <c r="F277" s="216">
        <v>5.5</v>
      </c>
      <c r="G277" s="158">
        <v>1</v>
      </c>
      <c r="H277" s="158">
        <v>6</v>
      </c>
      <c r="I277" s="158">
        <v>9</v>
      </c>
    </row>
    <row r="278" spans="1:9" x14ac:dyDescent="0.3">
      <c r="A278" s="169" t="s">
        <v>538</v>
      </c>
      <c r="B278" s="214" t="s">
        <v>385</v>
      </c>
      <c r="C278" s="90" t="s">
        <v>590</v>
      </c>
      <c r="D278" s="91">
        <v>1</v>
      </c>
      <c r="E278" s="91">
        <v>1</v>
      </c>
      <c r="F278" s="216">
        <v>11</v>
      </c>
      <c r="G278" s="158">
        <v>2</v>
      </c>
      <c r="H278" s="158">
        <v>17</v>
      </c>
      <c r="I278" s="158">
        <v>17</v>
      </c>
    </row>
    <row r="279" spans="1:9" x14ac:dyDescent="0.3">
      <c r="A279" s="169" t="s">
        <v>538</v>
      </c>
      <c r="B279" s="214" t="s">
        <v>385</v>
      </c>
      <c r="C279" s="90" t="s">
        <v>590</v>
      </c>
      <c r="D279" s="91">
        <v>3</v>
      </c>
      <c r="E279" s="91">
        <v>999</v>
      </c>
      <c r="F279" s="216">
        <v>11</v>
      </c>
      <c r="G279" s="158">
        <v>2</v>
      </c>
      <c r="H279" s="158">
        <v>17</v>
      </c>
      <c r="I279" s="158">
        <v>17</v>
      </c>
    </row>
    <row r="280" spans="1:9" x14ac:dyDescent="0.3">
      <c r="A280" s="169" t="s">
        <v>538</v>
      </c>
      <c r="B280" s="214" t="s">
        <v>386</v>
      </c>
      <c r="C280" s="90" t="s">
        <v>590</v>
      </c>
      <c r="D280" s="91">
        <v>1</v>
      </c>
      <c r="E280" s="91">
        <v>2</v>
      </c>
      <c r="F280" s="216">
        <v>8.8000000000000007</v>
      </c>
      <c r="G280" s="158">
        <v>2</v>
      </c>
      <c r="H280" s="158">
        <v>7</v>
      </c>
      <c r="I280" s="158">
        <v>9</v>
      </c>
    </row>
    <row r="281" spans="1:9" x14ac:dyDescent="0.3">
      <c r="A281" s="169" t="s">
        <v>538</v>
      </c>
      <c r="B281" s="214" t="s">
        <v>386</v>
      </c>
      <c r="C281" s="90" t="s">
        <v>590</v>
      </c>
      <c r="D281" s="91">
        <v>3</v>
      </c>
      <c r="E281" s="91">
        <v>999</v>
      </c>
      <c r="F281" s="216">
        <v>8.8000000000000007</v>
      </c>
      <c r="G281" s="158">
        <v>2</v>
      </c>
      <c r="H281" s="158">
        <v>7</v>
      </c>
      <c r="I281" s="158">
        <v>9</v>
      </c>
    </row>
    <row r="282" spans="1:9" x14ac:dyDescent="0.3">
      <c r="A282" s="169" t="s">
        <v>538</v>
      </c>
      <c r="B282" s="214" t="s">
        <v>596</v>
      </c>
      <c r="C282" s="90" t="s">
        <v>590</v>
      </c>
      <c r="D282" s="91">
        <v>1</v>
      </c>
      <c r="E282" s="91">
        <v>1</v>
      </c>
      <c r="F282" s="215">
        <v>8.6999999999999993</v>
      </c>
      <c r="G282" s="158">
        <v>2</v>
      </c>
      <c r="H282" s="158">
        <v>7</v>
      </c>
      <c r="I282" s="158">
        <v>9</v>
      </c>
    </row>
    <row r="283" spans="1:9" x14ac:dyDescent="0.3">
      <c r="A283" s="169" t="s">
        <v>538</v>
      </c>
      <c r="B283" s="214" t="s">
        <v>597</v>
      </c>
      <c r="C283" s="90" t="s">
        <v>590</v>
      </c>
      <c r="D283" s="91">
        <v>1</v>
      </c>
      <c r="E283" s="91">
        <v>1</v>
      </c>
      <c r="F283" s="215">
        <v>14.9</v>
      </c>
      <c r="G283" s="158">
        <v>2</v>
      </c>
      <c r="H283" s="158">
        <v>7</v>
      </c>
      <c r="I283" s="158">
        <v>14</v>
      </c>
    </row>
    <row r="284" spans="1:9" x14ac:dyDescent="0.3">
      <c r="A284" s="169" t="s">
        <v>538</v>
      </c>
      <c r="B284" s="214" t="s">
        <v>1692</v>
      </c>
      <c r="C284" s="90" t="s">
        <v>590</v>
      </c>
      <c r="D284" s="91">
        <v>1</v>
      </c>
      <c r="E284" s="91">
        <v>1</v>
      </c>
      <c r="F284" s="215">
        <v>9.4</v>
      </c>
      <c r="G284" s="158">
        <v>2</v>
      </c>
      <c r="H284" s="158">
        <v>9</v>
      </c>
      <c r="I284" s="158">
        <v>9</v>
      </c>
    </row>
    <row r="285" spans="1:9" x14ac:dyDescent="0.3">
      <c r="A285" s="169" t="s">
        <v>538</v>
      </c>
      <c r="B285" s="214" t="s">
        <v>1693</v>
      </c>
      <c r="C285" s="90" t="s">
        <v>590</v>
      </c>
      <c r="D285" s="91">
        <v>1</v>
      </c>
      <c r="E285" s="91">
        <v>2</v>
      </c>
      <c r="F285" s="215">
        <v>9.4</v>
      </c>
      <c r="G285" s="158">
        <v>1</v>
      </c>
      <c r="H285" s="158">
        <v>7</v>
      </c>
      <c r="I285" s="158">
        <v>9</v>
      </c>
    </row>
    <row r="286" spans="1:9" x14ac:dyDescent="0.3">
      <c r="A286" s="169" t="s">
        <v>538</v>
      </c>
      <c r="B286" s="214" t="s">
        <v>1693</v>
      </c>
      <c r="C286" s="90" t="s">
        <v>590</v>
      </c>
      <c r="D286" s="91">
        <v>3</v>
      </c>
      <c r="E286" s="91">
        <v>999</v>
      </c>
      <c r="F286" s="216">
        <v>9.4</v>
      </c>
      <c r="G286" s="158">
        <v>1</v>
      </c>
      <c r="H286" s="158">
        <v>7</v>
      </c>
      <c r="I286" s="158">
        <v>9</v>
      </c>
    </row>
    <row r="287" spans="1:9" x14ac:dyDescent="0.3">
      <c r="A287" s="169" t="s">
        <v>538</v>
      </c>
      <c r="B287" s="214" t="s">
        <v>1694</v>
      </c>
      <c r="C287" s="90" t="s">
        <v>590</v>
      </c>
      <c r="D287" s="91">
        <v>1</v>
      </c>
      <c r="E287" s="91">
        <v>1</v>
      </c>
      <c r="F287" s="216">
        <v>10.8</v>
      </c>
      <c r="G287" s="158">
        <v>2</v>
      </c>
      <c r="H287" s="158">
        <v>7</v>
      </c>
      <c r="I287" s="158">
        <v>18</v>
      </c>
    </row>
    <row r="288" spans="1:9" x14ac:dyDescent="0.3">
      <c r="A288" s="169" t="s">
        <v>538</v>
      </c>
      <c r="B288" s="214" t="s">
        <v>1695</v>
      </c>
      <c r="C288" s="90" t="s">
        <v>590</v>
      </c>
      <c r="D288" s="91">
        <v>1</v>
      </c>
      <c r="E288" s="91">
        <v>2</v>
      </c>
      <c r="F288" s="216">
        <v>13.5</v>
      </c>
      <c r="G288" s="158">
        <v>2</v>
      </c>
      <c r="H288" s="158">
        <v>7</v>
      </c>
      <c r="I288" s="158">
        <v>18</v>
      </c>
    </row>
    <row r="289" spans="1:9" x14ac:dyDescent="0.3">
      <c r="A289" s="169" t="s">
        <v>538</v>
      </c>
      <c r="B289" s="214" t="s">
        <v>1695</v>
      </c>
      <c r="C289" s="90" t="s">
        <v>590</v>
      </c>
      <c r="D289" s="91">
        <v>3</v>
      </c>
      <c r="E289" s="91">
        <v>999</v>
      </c>
      <c r="F289" s="216">
        <v>13.5</v>
      </c>
      <c r="G289" s="158">
        <v>2</v>
      </c>
      <c r="H289" s="158">
        <v>7</v>
      </c>
      <c r="I289" s="158">
        <v>18</v>
      </c>
    </row>
    <row r="290" spans="1:9" x14ac:dyDescent="0.3">
      <c r="A290" s="169" t="s">
        <v>538</v>
      </c>
      <c r="B290" s="214" t="s">
        <v>1696</v>
      </c>
      <c r="C290" s="90" t="s">
        <v>590</v>
      </c>
      <c r="D290" s="91">
        <v>1</v>
      </c>
      <c r="E290" s="91">
        <v>4</v>
      </c>
      <c r="F290" s="216">
        <v>9.4</v>
      </c>
      <c r="G290" s="158">
        <v>2</v>
      </c>
      <c r="H290" s="158">
        <v>7</v>
      </c>
      <c r="I290" s="158">
        <v>17</v>
      </c>
    </row>
    <row r="291" spans="1:9" x14ac:dyDescent="0.3">
      <c r="A291" s="169" t="s">
        <v>538</v>
      </c>
      <c r="B291" s="214" t="s">
        <v>1696</v>
      </c>
      <c r="C291" s="90" t="s">
        <v>590</v>
      </c>
      <c r="D291" s="91">
        <v>5</v>
      </c>
      <c r="E291" s="91">
        <v>999</v>
      </c>
      <c r="F291" s="216">
        <v>9.4</v>
      </c>
      <c r="G291" s="158">
        <v>2</v>
      </c>
      <c r="H291" s="158">
        <v>7</v>
      </c>
      <c r="I291" s="158">
        <v>17</v>
      </c>
    </row>
    <row r="292" spans="1:9" x14ac:dyDescent="0.3">
      <c r="A292" s="169" t="s">
        <v>538</v>
      </c>
      <c r="B292" s="214" t="s">
        <v>1697</v>
      </c>
      <c r="C292" s="90" t="s">
        <v>590</v>
      </c>
      <c r="D292" s="91">
        <v>1</v>
      </c>
      <c r="E292" s="91">
        <v>1</v>
      </c>
      <c r="F292" s="216">
        <v>9.8000000000000007</v>
      </c>
      <c r="G292" s="158">
        <v>2</v>
      </c>
      <c r="H292" s="158">
        <v>7</v>
      </c>
      <c r="I292" s="158">
        <v>9</v>
      </c>
    </row>
    <row r="293" spans="1:9" x14ac:dyDescent="0.3">
      <c r="A293" s="169" t="s">
        <v>538</v>
      </c>
      <c r="B293" s="214" t="s">
        <v>1698</v>
      </c>
      <c r="C293" s="90" t="s">
        <v>590</v>
      </c>
      <c r="D293" s="91">
        <v>1</v>
      </c>
      <c r="E293" s="91">
        <v>1</v>
      </c>
      <c r="F293" s="216">
        <v>2.2999999999999998</v>
      </c>
      <c r="G293" s="90">
        <v>1</v>
      </c>
      <c r="H293" s="90">
        <v>7</v>
      </c>
      <c r="I293" s="158">
        <v>17</v>
      </c>
    </row>
    <row r="294" spans="1:9" x14ac:dyDescent="0.3">
      <c r="A294" s="169" t="s">
        <v>538</v>
      </c>
      <c r="B294" s="214" t="s">
        <v>1699</v>
      </c>
      <c r="C294" s="90" t="s">
        <v>590</v>
      </c>
      <c r="D294" s="91">
        <v>1</v>
      </c>
      <c r="E294" s="91">
        <v>4</v>
      </c>
      <c r="F294" s="216">
        <v>9.6</v>
      </c>
      <c r="G294" s="158">
        <v>2</v>
      </c>
      <c r="H294" s="158">
        <v>7</v>
      </c>
      <c r="I294" s="158">
        <v>17</v>
      </c>
    </row>
    <row r="295" spans="1:9" x14ac:dyDescent="0.3">
      <c r="A295" s="169" t="s">
        <v>538</v>
      </c>
      <c r="B295" s="214" t="s">
        <v>1699</v>
      </c>
      <c r="C295" s="90" t="s">
        <v>590</v>
      </c>
      <c r="D295" s="91">
        <v>5</v>
      </c>
      <c r="E295" s="91">
        <v>999</v>
      </c>
      <c r="F295" s="216">
        <v>9.6</v>
      </c>
      <c r="G295" s="158">
        <v>2</v>
      </c>
      <c r="H295" s="158">
        <v>7</v>
      </c>
      <c r="I295" s="158">
        <v>17</v>
      </c>
    </row>
    <row r="296" spans="1:9" x14ac:dyDescent="0.3">
      <c r="A296" s="169" t="s">
        <v>538</v>
      </c>
      <c r="B296" s="214" t="s">
        <v>1700</v>
      </c>
      <c r="C296" s="90" t="s">
        <v>590</v>
      </c>
      <c r="D296" s="91">
        <v>1</v>
      </c>
      <c r="E296" s="91">
        <v>4</v>
      </c>
      <c r="F296" s="216">
        <v>7.5</v>
      </c>
      <c r="G296" s="158">
        <v>1</v>
      </c>
      <c r="H296" s="158">
        <v>9</v>
      </c>
      <c r="I296" s="158">
        <v>9</v>
      </c>
    </row>
    <row r="297" spans="1:9" x14ac:dyDescent="0.3">
      <c r="A297" s="169" t="s">
        <v>538</v>
      </c>
      <c r="B297" s="214" t="s">
        <v>1700</v>
      </c>
      <c r="C297" s="90" t="s">
        <v>590</v>
      </c>
      <c r="D297" s="91">
        <v>5</v>
      </c>
      <c r="E297" s="91">
        <v>999</v>
      </c>
      <c r="F297" s="216">
        <v>7.5</v>
      </c>
      <c r="G297" s="158">
        <v>1</v>
      </c>
      <c r="H297" s="158">
        <v>9</v>
      </c>
      <c r="I297" s="158">
        <v>9</v>
      </c>
    </row>
    <row r="298" spans="1:9" x14ac:dyDescent="0.3">
      <c r="A298" s="169" t="s">
        <v>538</v>
      </c>
      <c r="B298" s="214" t="s">
        <v>395</v>
      </c>
      <c r="C298" s="90" t="s">
        <v>590</v>
      </c>
      <c r="D298" s="91">
        <v>1</v>
      </c>
      <c r="E298" s="91">
        <v>1</v>
      </c>
      <c r="F298" s="216">
        <v>7.1</v>
      </c>
      <c r="G298" s="158">
        <v>1</v>
      </c>
      <c r="H298" s="158">
        <v>9</v>
      </c>
      <c r="I298" s="158">
        <v>9</v>
      </c>
    </row>
    <row r="299" spans="1:9" x14ac:dyDescent="0.3">
      <c r="A299" s="169" t="s">
        <v>538</v>
      </c>
      <c r="B299" s="214" t="s">
        <v>396</v>
      </c>
      <c r="C299" s="90" t="s">
        <v>590</v>
      </c>
      <c r="D299" s="91">
        <v>1</v>
      </c>
      <c r="E299" s="91">
        <v>1</v>
      </c>
      <c r="F299" s="216">
        <v>12.8</v>
      </c>
      <c r="G299" s="158">
        <v>2</v>
      </c>
      <c r="H299" s="158">
        <v>7</v>
      </c>
      <c r="I299" s="158">
        <v>9</v>
      </c>
    </row>
    <row r="300" spans="1:9" x14ac:dyDescent="0.3">
      <c r="A300" s="169" t="s">
        <v>538</v>
      </c>
      <c r="B300" s="90" t="s">
        <v>403</v>
      </c>
      <c r="C300" s="215" t="s">
        <v>1716</v>
      </c>
      <c r="D300" s="91">
        <v>1</v>
      </c>
      <c r="E300" s="91">
        <v>1</v>
      </c>
      <c r="F300" s="216"/>
      <c r="G300" s="158">
        <v>4</v>
      </c>
      <c r="H300" s="158">
        <v>7</v>
      </c>
      <c r="I300" s="158">
        <v>17</v>
      </c>
    </row>
    <row r="301" spans="1:9" x14ac:dyDescent="0.3">
      <c r="A301" s="169" t="s">
        <v>538</v>
      </c>
      <c r="B301" s="90" t="s">
        <v>403</v>
      </c>
      <c r="C301" s="215" t="s">
        <v>1717</v>
      </c>
      <c r="D301" s="91">
        <v>1</v>
      </c>
      <c r="E301" s="91">
        <v>1</v>
      </c>
      <c r="F301" s="216"/>
      <c r="G301" s="158">
        <v>4</v>
      </c>
      <c r="H301" s="158">
        <v>7</v>
      </c>
      <c r="I301" s="158">
        <v>17</v>
      </c>
    </row>
    <row r="302" spans="1:9" x14ac:dyDescent="0.3">
      <c r="A302" s="169" t="s">
        <v>538</v>
      </c>
      <c r="B302" s="90" t="s">
        <v>403</v>
      </c>
      <c r="C302" s="215" t="s">
        <v>1718</v>
      </c>
      <c r="D302" s="91">
        <v>1</v>
      </c>
      <c r="E302" s="91">
        <v>1</v>
      </c>
      <c r="F302" s="216"/>
      <c r="G302" s="158">
        <v>4</v>
      </c>
      <c r="H302" s="158">
        <v>7</v>
      </c>
      <c r="I302" s="158">
        <v>17</v>
      </c>
    </row>
    <row r="303" spans="1:9" x14ac:dyDescent="0.3">
      <c r="A303" s="169" t="s">
        <v>538</v>
      </c>
      <c r="B303" s="90" t="s">
        <v>403</v>
      </c>
      <c r="C303" s="215" t="s">
        <v>1719</v>
      </c>
      <c r="D303" s="91">
        <v>1</v>
      </c>
      <c r="E303" s="91">
        <v>1</v>
      </c>
      <c r="F303" s="216"/>
      <c r="G303" s="158">
        <v>4</v>
      </c>
      <c r="H303" s="158">
        <v>7</v>
      </c>
      <c r="I303" s="158">
        <v>17</v>
      </c>
    </row>
    <row r="304" spans="1:9" x14ac:dyDescent="0.3">
      <c r="A304" s="169" t="s">
        <v>538</v>
      </c>
      <c r="B304" s="90" t="s">
        <v>403</v>
      </c>
      <c r="C304" s="215" t="s">
        <v>1720</v>
      </c>
      <c r="D304" s="91">
        <v>1</v>
      </c>
      <c r="E304" s="91">
        <v>1</v>
      </c>
      <c r="F304" s="216"/>
      <c r="G304" s="158">
        <v>4</v>
      </c>
      <c r="H304" s="158">
        <v>7</v>
      </c>
      <c r="I304" s="158">
        <v>17</v>
      </c>
    </row>
    <row r="305" spans="1:9" x14ac:dyDescent="0.3">
      <c r="A305" s="169" t="s">
        <v>538</v>
      </c>
      <c r="B305" s="90" t="s">
        <v>403</v>
      </c>
      <c r="C305" s="215" t="s">
        <v>1721</v>
      </c>
      <c r="D305" s="91">
        <v>1</v>
      </c>
      <c r="E305" s="91">
        <v>1</v>
      </c>
      <c r="F305" s="216"/>
      <c r="G305" s="158">
        <v>4</v>
      </c>
      <c r="H305" s="158">
        <v>7</v>
      </c>
      <c r="I305" s="158">
        <v>17</v>
      </c>
    </row>
    <row r="306" spans="1:9" x14ac:dyDescent="0.3">
      <c r="A306" s="169" t="s">
        <v>538</v>
      </c>
      <c r="B306" s="90" t="s">
        <v>403</v>
      </c>
      <c r="C306" s="215" t="s">
        <v>1722</v>
      </c>
      <c r="D306" s="91">
        <v>1</v>
      </c>
      <c r="E306" s="91">
        <v>1</v>
      </c>
      <c r="F306" s="216"/>
      <c r="G306" s="158">
        <v>4</v>
      </c>
      <c r="H306" s="158">
        <v>7</v>
      </c>
      <c r="I306" s="158">
        <v>17</v>
      </c>
    </row>
    <row r="307" spans="1:9" x14ac:dyDescent="0.3">
      <c r="A307" s="169" t="s">
        <v>538</v>
      </c>
      <c r="B307" s="90" t="s">
        <v>403</v>
      </c>
      <c r="C307" s="215" t="s">
        <v>1723</v>
      </c>
      <c r="D307" s="91">
        <v>1</v>
      </c>
      <c r="E307" s="91">
        <v>1</v>
      </c>
      <c r="F307" s="216"/>
      <c r="G307" s="158">
        <v>4</v>
      </c>
      <c r="H307" s="158">
        <v>7</v>
      </c>
      <c r="I307" s="158">
        <v>17</v>
      </c>
    </row>
    <row r="308" spans="1:9" x14ac:dyDescent="0.3">
      <c r="A308" s="169" t="s">
        <v>538</v>
      </c>
      <c r="B308" s="90" t="s">
        <v>403</v>
      </c>
      <c r="C308" s="215" t="s">
        <v>1724</v>
      </c>
      <c r="D308" s="91">
        <v>1</v>
      </c>
      <c r="E308" s="91">
        <v>1</v>
      </c>
      <c r="F308" s="216"/>
      <c r="G308" s="158">
        <v>4</v>
      </c>
      <c r="H308" s="158">
        <v>7</v>
      </c>
      <c r="I308" s="158">
        <v>17</v>
      </c>
    </row>
    <row r="309" spans="1:9" x14ac:dyDescent="0.3">
      <c r="A309" s="169" t="s">
        <v>538</v>
      </c>
      <c r="B309" s="90" t="s">
        <v>403</v>
      </c>
      <c r="C309" s="215" t="s">
        <v>1725</v>
      </c>
      <c r="D309" s="91">
        <v>1</v>
      </c>
      <c r="E309" s="91">
        <v>1</v>
      </c>
      <c r="F309" s="216"/>
      <c r="G309" s="158">
        <v>4</v>
      </c>
      <c r="H309" s="158">
        <v>7</v>
      </c>
      <c r="I309" s="158">
        <v>17</v>
      </c>
    </row>
    <row r="310" spans="1:9" x14ac:dyDescent="0.3">
      <c r="A310" s="169" t="s">
        <v>538</v>
      </c>
      <c r="B310" s="90" t="s">
        <v>403</v>
      </c>
      <c r="C310" s="215" t="s">
        <v>1726</v>
      </c>
      <c r="D310" s="91">
        <v>1</v>
      </c>
      <c r="E310" s="91">
        <v>1</v>
      </c>
      <c r="F310" s="216"/>
      <c r="G310" s="158">
        <v>4</v>
      </c>
      <c r="H310" s="158">
        <v>7</v>
      </c>
      <c r="I310" s="158">
        <v>17</v>
      </c>
    </row>
    <row r="311" spans="1:9" x14ac:dyDescent="0.3">
      <c r="A311" s="169" t="s">
        <v>538</v>
      </c>
      <c r="B311" s="90" t="s">
        <v>403</v>
      </c>
      <c r="C311" s="215" t="s">
        <v>1727</v>
      </c>
      <c r="D311" s="91">
        <v>1</v>
      </c>
      <c r="E311" s="91">
        <v>1</v>
      </c>
      <c r="F311" s="216"/>
      <c r="G311" s="158">
        <v>4</v>
      </c>
      <c r="H311" s="158">
        <v>7</v>
      </c>
      <c r="I311" s="158">
        <v>17</v>
      </c>
    </row>
    <row r="312" spans="1:9" x14ac:dyDescent="0.3">
      <c r="A312" s="169" t="s">
        <v>538</v>
      </c>
      <c r="B312" s="90" t="s">
        <v>403</v>
      </c>
      <c r="C312" s="215" t="s">
        <v>1728</v>
      </c>
      <c r="D312" s="91">
        <v>1</v>
      </c>
      <c r="E312" s="91">
        <v>1</v>
      </c>
      <c r="F312" s="216"/>
      <c r="G312" s="158">
        <v>4</v>
      </c>
      <c r="H312" s="158">
        <v>7</v>
      </c>
      <c r="I312" s="158">
        <v>17</v>
      </c>
    </row>
    <row r="313" spans="1:9" x14ac:dyDescent="0.3">
      <c r="A313" s="169" t="s">
        <v>538</v>
      </c>
      <c r="B313" s="90" t="s">
        <v>403</v>
      </c>
      <c r="C313" s="215" t="s">
        <v>1729</v>
      </c>
      <c r="D313" s="91">
        <v>1</v>
      </c>
      <c r="E313" s="91">
        <v>1</v>
      </c>
      <c r="F313" s="216"/>
      <c r="G313" s="158">
        <v>4</v>
      </c>
      <c r="H313" s="158">
        <v>7</v>
      </c>
      <c r="I313" s="158">
        <v>17</v>
      </c>
    </row>
    <row r="314" spans="1:9" x14ac:dyDescent="0.3">
      <c r="A314" s="169" t="s">
        <v>538</v>
      </c>
      <c r="B314" s="90" t="s">
        <v>403</v>
      </c>
      <c r="C314" s="215" t="s">
        <v>1730</v>
      </c>
      <c r="D314" s="91">
        <v>1</v>
      </c>
      <c r="E314" s="91">
        <v>1</v>
      </c>
      <c r="F314" s="216"/>
      <c r="G314" s="158">
        <v>4</v>
      </c>
      <c r="H314" s="158">
        <v>7</v>
      </c>
      <c r="I314" s="158">
        <v>17</v>
      </c>
    </row>
    <row r="315" spans="1:9" x14ac:dyDescent="0.3">
      <c r="A315" s="169" t="s">
        <v>538</v>
      </c>
      <c r="B315" s="90" t="s">
        <v>403</v>
      </c>
      <c r="C315" s="215" t="s">
        <v>1731</v>
      </c>
      <c r="D315" s="91">
        <v>1</v>
      </c>
      <c r="E315" s="91">
        <v>1</v>
      </c>
      <c r="F315" s="216"/>
      <c r="G315" s="158">
        <v>4</v>
      </c>
      <c r="H315" s="158">
        <v>7</v>
      </c>
      <c r="I315" s="158">
        <v>17</v>
      </c>
    </row>
    <row r="316" spans="1:9" x14ac:dyDescent="0.3">
      <c r="A316" s="169" t="s">
        <v>538</v>
      </c>
      <c r="B316" s="90" t="s">
        <v>403</v>
      </c>
      <c r="C316" s="215" t="s">
        <v>1732</v>
      </c>
      <c r="D316" s="91">
        <v>1</v>
      </c>
      <c r="E316" s="91">
        <v>1</v>
      </c>
      <c r="F316" s="216"/>
      <c r="G316" s="158">
        <v>4</v>
      </c>
      <c r="H316" s="158">
        <v>7</v>
      </c>
      <c r="I316" s="158">
        <v>17</v>
      </c>
    </row>
    <row r="317" spans="1:9" x14ac:dyDescent="0.3">
      <c r="A317" s="169" t="s">
        <v>538</v>
      </c>
      <c r="B317" s="90" t="s">
        <v>403</v>
      </c>
      <c r="C317" s="215" t="s">
        <v>1733</v>
      </c>
      <c r="D317" s="91">
        <v>1</v>
      </c>
      <c r="E317" s="91">
        <v>1</v>
      </c>
      <c r="F317" s="216"/>
      <c r="G317" s="158">
        <v>4</v>
      </c>
      <c r="H317" s="158">
        <v>7</v>
      </c>
      <c r="I317" s="158">
        <v>17</v>
      </c>
    </row>
    <row r="318" spans="1:9" x14ac:dyDescent="0.3">
      <c r="A318" s="169" t="s">
        <v>538</v>
      </c>
      <c r="B318" s="90" t="s">
        <v>403</v>
      </c>
      <c r="C318" s="215" t="s">
        <v>1734</v>
      </c>
      <c r="D318" s="91">
        <v>1</v>
      </c>
      <c r="E318" s="91">
        <v>1</v>
      </c>
      <c r="F318" s="216"/>
      <c r="G318" s="158">
        <v>4</v>
      </c>
      <c r="H318" s="158">
        <v>7</v>
      </c>
      <c r="I318" s="158">
        <v>17</v>
      </c>
    </row>
    <row r="319" spans="1:9" x14ac:dyDescent="0.3">
      <c r="A319" s="169" t="s">
        <v>538</v>
      </c>
      <c r="B319" s="90" t="s">
        <v>403</v>
      </c>
      <c r="C319" s="215" t="s">
        <v>1735</v>
      </c>
      <c r="D319" s="91">
        <v>1</v>
      </c>
      <c r="E319" s="91">
        <v>1</v>
      </c>
      <c r="F319" s="216"/>
      <c r="G319" s="158">
        <v>4</v>
      </c>
      <c r="H319" s="158">
        <v>7</v>
      </c>
      <c r="I319" s="158">
        <v>17</v>
      </c>
    </row>
    <row r="320" spans="1:9" x14ac:dyDescent="0.3">
      <c r="A320" s="169" t="s">
        <v>538</v>
      </c>
      <c r="B320" s="90" t="s">
        <v>403</v>
      </c>
      <c r="C320" s="215" t="s">
        <v>1736</v>
      </c>
      <c r="D320" s="91">
        <v>1</v>
      </c>
      <c r="E320" s="91">
        <v>1</v>
      </c>
      <c r="F320" s="216"/>
      <c r="G320" s="158">
        <v>4</v>
      </c>
      <c r="H320" s="158">
        <v>7</v>
      </c>
      <c r="I320" s="158">
        <v>17</v>
      </c>
    </row>
    <row r="321" spans="1:9" x14ac:dyDescent="0.3">
      <c r="A321" s="169" t="s">
        <v>538</v>
      </c>
      <c r="B321" s="90" t="s">
        <v>403</v>
      </c>
      <c r="C321" s="215" t="s">
        <v>1737</v>
      </c>
      <c r="D321" s="91">
        <v>1</v>
      </c>
      <c r="E321" s="91">
        <v>1</v>
      </c>
      <c r="F321" s="216"/>
      <c r="G321" s="158">
        <v>4</v>
      </c>
      <c r="H321" s="158">
        <v>7</v>
      </c>
      <c r="I321" s="158">
        <v>17</v>
      </c>
    </row>
    <row r="322" spans="1:9" x14ac:dyDescent="0.3">
      <c r="A322" s="169" t="s">
        <v>538</v>
      </c>
      <c r="B322" s="90" t="s">
        <v>403</v>
      </c>
      <c r="C322" s="215" t="s">
        <v>1738</v>
      </c>
      <c r="D322" s="91">
        <v>1</v>
      </c>
      <c r="E322" s="91">
        <v>1</v>
      </c>
      <c r="F322" s="216"/>
      <c r="G322" s="158">
        <v>4</v>
      </c>
      <c r="H322" s="158">
        <v>17</v>
      </c>
      <c r="I322" s="90">
        <v>13</v>
      </c>
    </row>
    <row r="323" spans="1:9" x14ac:dyDescent="0.3">
      <c r="A323" s="169" t="s">
        <v>538</v>
      </c>
      <c r="B323" s="90" t="s">
        <v>403</v>
      </c>
      <c r="C323" s="215" t="s">
        <v>1739</v>
      </c>
      <c r="D323" s="91">
        <v>1</v>
      </c>
      <c r="E323" s="91">
        <v>1</v>
      </c>
      <c r="F323" s="216"/>
      <c r="G323" s="158">
        <v>4</v>
      </c>
      <c r="H323" s="158">
        <v>17</v>
      </c>
      <c r="I323" s="90">
        <v>13</v>
      </c>
    </row>
    <row r="324" spans="1:9" x14ac:dyDescent="0.3">
      <c r="A324" s="169" t="s">
        <v>538</v>
      </c>
      <c r="B324" s="90" t="s">
        <v>403</v>
      </c>
      <c r="C324" s="215" t="s">
        <v>1740</v>
      </c>
      <c r="D324" s="91">
        <v>1</v>
      </c>
      <c r="E324" s="91">
        <v>1</v>
      </c>
      <c r="F324" s="216"/>
      <c r="G324" s="158">
        <v>4</v>
      </c>
      <c r="H324" s="158">
        <v>17</v>
      </c>
      <c r="I324" s="90">
        <v>13</v>
      </c>
    </row>
    <row r="325" spans="1:9" x14ac:dyDescent="0.3">
      <c r="A325" s="169" t="s">
        <v>538</v>
      </c>
      <c r="B325" s="90" t="s">
        <v>403</v>
      </c>
      <c r="C325" s="215" t="s">
        <v>1741</v>
      </c>
      <c r="D325" s="91">
        <v>1</v>
      </c>
      <c r="E325" s="91">
        <v>1</v>
      </c>
      <c r="F325" s="216"/>
      <c r="G325" s="158">
        <v>4</v>
      </c>
      <c r="H325" s="158">
        <v>17</v>
      </c>
      <c r="I325" s="90">
        <v>13</v>
      </c>
    </row>
    <row r="326" spans="1:9" x14ac:dyDescent="0.3">
      <c r="A326" s="169" t="s">
        <v>538</v>
      </c>
      <c r="B326" s="90" t="s">
        <v>403</v>
      </c>
      <c r="C326" s="215" t="s">
        <v>1742</v>
      </c>
      <c r="D326" s="91">
        <v>1</v>
      </c>
      <c r="E326" s="91">
        <v>1</v>
      </c>
      <c r="F326" s="216"/>
      <c r="G326" s="158">
        <v>4</v>
      </c>
      <c r="H326" s="158">
        <v>17</v>
      </c>
      <c r="I326" s="90">
        <v>13</v>
      </c>
    </row>
    <row r="327" spans="1:9" x14ac:dyDescent="0.3">
      <c r="A327" s="169" t="s">
        <v>538</v>
      </c>
      <c r="B327" s="90" t="s">
        <v>403</v>
      </c>
      <c r="C327" s="215" t="s">
        <v>1743</v>
      </c>
      <c r="D327" s="91">
        <v>1</v>
      </c>
      <c r="E327" s="91">
        <v>1</v>
      </c>
      <c r="F327" s="216"/>
      <c r="G327" s="158">
        <v>4</v>
      </c>
      <c r="H327" s="158">
        <v>17</v>
      </c>
      <c r="I327" s="90">
        <v>13</v>
      </c>
    </row>
    <row r="328" spans="1:9" x14ac:dyDescent="0.3">
      <c r="A328" s="169" t="s">
        <v>538</v>
      </c>
      <c r="B328" s="90" t="s">
        <v>403</v>
      </c>
      <c r="C328" s="215" t="s">
        <v>1744</v>
      </c>
      <c r="D328" s="91">
        <v>1</v>
      </c>
      <c r="E328" s="91">
        <v>1</v>
      </c>
      <c r="F328" s="216"/>
      <c r="G328" s="158">
        <v>4</v>
      </c>
      <c r="H328" s="158">
        <v>17</v>
      </c>
      <c r="I328" s="90">
        <v>13</v>
      </c>
    </row>
    <row r="329" spans="1:9" x14ac:dyDescent="0.3">
      <c r="A329" s="169" t="s">
        <v>538</v>
      </c>
      <c r="B329" s="90" t="s">
        <v>403</v>
      </c>
      <c r="C329" s="215" t="s">
        <v>1745</v>
      </c>
      <c r="D329" s="91">
        <v>1</v>
      </c>
      <c r="E329" s="91">
        <v>1</v>
      </c>
      <c r="F329" s="216"/>
      <c r="G329" s="158">
        <v>4</v>
      </c>
      <c r="H329" s="158">
        <v>17</v>
      </c>
      <c r="I329" s="90">
        <v>13</v>
      </c>
    </row>
    <row r="330" spans="1:9" x14ac:dyDescent="0.3">
      <c r="A330" s="169" t="s">
        <v>538</v>
      </c>
      <c r="B330" s="90" t="s">
        <v>403</v>
      </c>
      <c r="C330" s="215" t="s">
        <v>1746</v>
      </c>
      <c r="D330" s="91">
        <v>1</v>
      </c>
      <c r="E330" s="91">
        <v>1</v>
      </c>
      <c r="F330" s="216"/>
      <c r="G330" s="158">
        <v>4</v>
      </c>
      <c r="H330" s="158">
        <v>17</v>
      </c>
      <c r="I330" s="90">
        <v>13</v>
      </c>
    </row>
    <row r="331" spans="1:9" x14ac:dyDescent="0.3">
      <c r="A331" s="169" t="s">
        <v>538</v>
      </c>
      <c r="B331" s="90" t="s">
        <v>403</v>
      </c>
      <c r="C331" s="215" t="s">
        <v>1747</v>
      </c>
      <c r="D331" s="91">
        <v>1</v>
      </c>
      <c r="E331" s="91">
        <v>1</v>
      </c>
      <c r="F331" s="216"/>
      <c r="G331" s="158">
        <v>4</v>
      </c>
      <c r="H331" s="158">
        <v>17</v>
      </c>
      <c r="I331" s="90">
        <v>13</v>
      </c>
    </row>
    <row r="332" spans="1:9" x14ac:dyDescent="0.3">
      <c r="A332" s="169" t="s">
        <v>538</v>
      </c>
      <c r="B332" s="90" t="s">
        <v>403</v>
      </c>
      <c r="C332" s="215" t="s">
        <v>1748</v>
      </c>
      <c r="D332" s="91">
        <v>1</v>
      </c>
      <c r="E332" s="91">
        <v>1</v>
      </c>
      <c r="F332" s="216"/>
      <c r="G332" s="158">
        <v>4</v>
      </c>
      <c r="H332" s="158">
        <v>17</v>
      </c>
      <c r="I332" s="90">
        <v>13</v>
      </c>
    </row>
    <row r="333" spans="1:9" x14ac:dyDescent="0.3">
      <c r="A333" s="169" t="s">
        <v>538</v>
      </c>
      <c r="B333" s="90" t="s">
        <v>403</v>
      </c>
      <c r="C333" s="215" t="s">
        <v>1749</v>
      </c>
      <c r="D333" s="91">
        <v>1</v>
      </c>
      <c r="E333" s="91">
        <v>1</v>
      </c>
      <c r="F333" s="216">
        <v>6.8</v>
      </c>
      <c r="G333" s="90">
        <v>1</v>
      </c>
      <c r="H333" s="158">
        <v>7</v>
      </c>
      <c r="I333" s="158">
        <v>9</v>
      </c>
    </row>
    <row r="334" spans="1:9" x14ac:dyDescent="0.3">
      <c r="A334" s="169" t="s">
        <v>538</v>
      </c>
      <c r="B334" s="90" t="s">
        <v>403</v>
      </c>
      <c r="C334" s="215" t="s">
        <v>1749</v>
      </c>
      <c r="D334" s="91">
        <v>2</v>
      </c>
      <c r="E334" s="91">
        <v>999</v>
      </c>
      <c r="F334" s="216">
        <v>6.8</v>
      </c>
      <c r="G334" s="90">
        <v>1</v>
      </c>
      <c r="H334" s="158">
        <v>7</v>
      </c>
      <c r="I334" s="158">
        <v>9</v>
      </c>
    </row>
    <row r="335" spans="1:9" x14ac:dyDescent="0.3">
      <c r="A335" s="169" t="s">
        <v>538</v>
      </c>
      <c r="B335" s="90" t="s">
        <v>403</v>
      </c>
      <c r="C335" s="215" t="s">
        <v>1750</v>
      </c>
      <c r="D335" s="91">
        <v>1</v>
      </c>
      <c r="E335" s="91">
        <v>1</v>
      </c>
      <c r="F335" s="215">
        <v>8.9</v>
      </c>
      <c r="G335" s="90">
        <v>2</v>
      </c>
      <c r="H335" s="90">
        <v>7</v>
      </c>
      <c r="I335" s="158">
        <v>13</v>
      </c>
    </row>
    <row r="336" spans="1:9" x14ac:dyDescent="0.3">
      <c r="A336" s="169" t="s">
        <v>538</v>
      </c>
      <c r="B336" s="90" t="s">
        <v>403</v>
      </c>
      <c r="C336" s="215" t="s">
        <v>1751</v>
      </c>
      <c r="D336" s="91">
        <v>1</v>
      </c>
      <c r="E336" s="91">
        <v>1</v>
      </c>
      <c r="F336" s="215">
        <v>7</v>
      </c>
      <c r="G336" s="90">
        <v>1</v>
      </c>
      <c r="H336" s="90">
        <v>7</v>
      </c>
      <c r="I336" s="158">
        <v>13</v>
      </c>
    </row>
    <row r="337" spans="1:9" x14ac:dyDescent="0.3">
      <c r="A337" s="169" t="s">
        <v>538</v>
      </c>
      <c r="B337" s="90" t="s">
        <v>403</v>
      </c>
      <c r="C337" s="230" t="s">
        <v>1752</v>
      </c>
      <c r="D337" s="91">
        <v>1</v>
      </c>
      <c r="E337" s="91">
        <v>1</v>
      </c>
      <c r="F337" s="230">
        <v>12.3</v>
      </c>
      <c r="G337" s="90">
        <v>2</v>
      </c>
      <c r="H337" s="90">
        <v>7</v>
      </c>
      <c r="I337" s="90">
        <v>14</v>
      </c>
    </row>
    <row r="338" spans="1:9" x14ac:dyDescent="0.3">
      <c r="A338" s="169" t="s">
        <v>538</v>
      </c>
      <c r="B338" s="90" t="s">
        <v>403</v>
      </c>
      <c r="C338" s="215" t="s">
        <v>1753</v>
      </c>
      <c r="D338" s="91">
        <v>1</v>
      </c>
      <c r="E338" s="91">
        <v>1</v>
      </c>
      <c r="F338" s="215">
        <v>3</v>
      </c>
      <c r="G338" s="90">
        <v>1</v>
      </c>
      <c r="H338" s="90">
        <v>6</v>
      </c>
      <c r="I338" s="158">
        <v>9</v>
      </c>
    </row>
    <row r="339" spans="1:9" x14ac:dyDescent="0.3">
      <c r="A339" s="169" t="s">
        <v>538</v>
      </c>
      <c r="B339" s="90" t="s">
        <v>403</v>
      </c>
      <c r="C339" s="230" t="s">
        <v>1754</v>
      </c>
      <c r="D339" s="91">
        <v>1</v>
      </c>
      <c r="E339" s="91">
        <v>1</v>
      </c>
      <c r="F339" s="230">
        <v>26.2</v>
      </c>
      <c r="G339" s="90">
        <v>4</v>
      </c>
      <c r="H339" s="90">
        <v>8</v>
      </c>
      <c r="I339" s="90">
        <v>19</v>
      </c>
    </row>
    <row r="340" spans="1:9" x14ac:dyDescent="0.3">
      <c r="A340" s="169" t="s">
        <v>538</v>
      </c>
      <c r="B340" s="90" t="s">
        <v>403</v>
      </c>
      <c r="C340" s="215" t="s">
        <v>1755</v>
      </c>
      <c r="D340" s="91">
        <v>1</v>
      </c>
      <c r="E340" s="91">
        <v>1</v>
      </c>
      <c r="F340" s="215">
        <v>16.5</v>
      </c>
      <c r="G340" s="90">
        <v>2</v>
      </c>
      <c r="H340" s="90">
        <v>8</v>
      </c>
      <c r="I340" s="158">
        <v>18</v>
      </c>
    </row>
    <row r="341" spans="1:9" x14ac:dyDescent="0.3">
      <c r="A341" s="169" t="s">
        <v>538</v>
      </c>
      <c r="B341" s="90" t="s">
        <v>403</v>
      </c>
      <c r="C341" s="215" t="s">
        <v>1756</v>
      </c>
      <c r="D341" s="91">
        <v>1</v>
      </c>
      <c r="E341" s="91">
        <v>1</v>
      </c>
      <c r="F341" s="215">
        <v>4.5999999999999996</v>
      </c>
      <c r="G341" s="90">
        <v>1</v>
      </c>
      <c r="H341" s="90">
        <v>6</v>
      </c>
      <c r="I341" s="158">
        <v>17</v>
      </c>
    </row>
    <row r="342" spans="1:9" x14ac:dyDescent="0.3">
      <c r="A342" s="169" t="s">
        <v>538</v>
      </c>
      <c r="B342" s="90" t="s">
        <v>403</v>
      </c>
      <c r="C342" s="215" t="s">
        <v>1757</v>
      </c>
      <c r="D342" s="91">
        <v>1</v>
      </c>
      <c r="E342" s="91">
        <v>1</v>
      </c>
      <c r="F342" s="215">
        <v>4.5999999999999996</v>
      </c>
      <c r="G342" s="90">
        <v>1</v>
      </c>
      <c r="H342" s="90">
        <v>6</v>
      </c>
      <c r="I342" s="158">
        <v>17</v>
      </c>
    </row>
    <row r="343" spans="1:9" x14ac:dyDescent="0.3">
      <c r="A343" s="169" t="s">
        <v>538</v>
      </c>
      <c r="B343" s="90" t="s">
        <v>403</v>
      </c>
      <c r="C343" s="215" t="s">
        <v>1758</v>
      </c>
      <c r="D343" s="91">
        <v>1</v>
      </c>
      <c r="E343" s="91">
        <v>1</v>
      </c>
      <c r="F343" s="215">
        <v>4.5999999999999996</v>
      </c>
      <c r="G343" s="90">
        <v>1</v>
      </c>
      <c r="H343" s="90">
        <v>6</v>
      </c>
      <c r="I343" s="158">
        <v>17</v>
      </c>
    </row>
    <row r="344" spans="1:9" x14ac:dyDescent="0.3">
      <c r="A344" s="169" t="s">
        <v>538</v>
      </c>
      <c r="B344" s="90" t="s">
        <v>403</v>
      </c>
      <c r="C344" s="215" t="s">
        <v>1759</v>
      </c>
      <c r="D344" s="91">
        <v>1</v>
      </c>
      <c r="E344" s="91">
        <v>1</v>
      </c>
      <c r="F344" s="215">
        <v>4.5999999999999996</v>
      </c>
      <c r="G344" s="90">
        <v>1</v>
      </c>
      <c r="H344" s="90">
        <v>6</v>
      </c>
      <c r="I344" s="158">
        <v>17</v>
      </c>
    </row>
    <row r="345" spans="1:9" x14ac:dyDescent="0.3">
      <c r="A345" s="169" t="s">
        <v>538</v>
      </c>
      <c r="B345" s="90" t="s">
        <v>403</v>
      </c>
      <c r="C345" s="215" t="s">
        <v>1760</v>
      </c>
      <c r="D345" s="91">
        <v>1</v>
      </c>
      <c r="E345" s="91">
        <v>1</v>
      </c>
      <c r="F345" s="215">
        <v>4.5999999999999996</v>
      </c>
      <c r="G345" s="90">
        <v>1</v>
      </c>
      <c r="H345" s="90">
        <v>6</v>
      </c>
      <c r="I345" s="158">
        <v>17</v>
      </c>
    </row>
    <row r="346" spans="1:9" x14ac:dyDescent="0.3">
      <c r="A346" s="169" t="s">
        <v>538</v>
      </c>
      <c r="B346" s="90" t="s">
        <v>403</v>
      </c>
      <c r="C346" s="215" t="s">
        <v>1761</v>
      </c>
      <c r="D346" s="91">
        <v>1</v>
      </c>
      <c r="E346" s="91">
        <v>1</v>
      </c>
      <c r="F346" s="215">
        <v>4.5999999999999996</v>
      </c>
      <c r="G346" s="90">
        <v>1</v>
      </c>
      <c r="H346" s="90">
        <v>6</v>
      </c>
      <c r="I346" s="158">
        <v>17</v>
      </c>
    </row>
    <row r="347" spans="1:9" x14ac:dyDescent="0.3">
      <c r="A347" s="169" t="s">
        <v>538</v>
      </c>
      <c r="B347" s="90" t="s">
        <v>403</v>
      </c>
      <c r="C347" s="215" t="s">
        <v>1762</v>
      </c>
      <c r="D347" s="91">
        <v>1</v>
      </c>
      <c r="E347" s="91">
        <v>1</v>
      </c>
      <c r="F347" s="215">
        <v>4.5999999999999996</v>
      </c>
      <c r="G347" s="90">
        <v>1</v>
      </c>
      <c r="H347" s="90">
        <v>6</v>
      </c>
      <c r="I347" s="158">
        <v>17</v>
      </c>
    </row>
    <row r="348" spans="1:9" x14ac:dyDescent="0.3">
      <c r="A348" s="169" t="s">
        <v>538</v>
      </c>
      <c r="B348" s="90" t="s">
        <v>403</v>
      </c>
      <c r="C348" s="215" t="s">
        <v>1763</v>
      </c>
      <c r="D348" s="91">
        <v>1</v>
      </c>
      <c r="E348" s="91">
        <v>1</v>
      </c>
      <c r="F348" s="215">
        <v>4.5999999999999996</v>
      </c>
      <c r="G348" s="90">
        <v>1</v>
      </c>
      <c r="H348" s="90">
        <v>6</v>
      </c>
      <c r="I348" s="158">
        <v>17</v>
      </c>
    </row>
    <row r="349" spans="1:9" x14ac:dyDescent="0.3">
      <c r="A349" s="169" t="s">
        <v>538</v>
      </c>
      <c r="B349" s="90" t="s">
        <v>403</v>
      </c>
      <c r="C349" s="215" t="s">
        <v>1764</v>
      </c>
      <c r="D349" s="91">
        <v>1</v>
      </c>
      <c r="E349" s="91">
        <v>1</v>
      </c>
      <c r="F349" s="215">
        <v>4.5999999999999996</v>
      </c>
      <c r="G349" s="90">
        <v>1</v>
      </c>
      <c r="H349" s="90">
        <v>6</v>
      </c>
      <c r="I349" s="158">
        <v>17</v>
      </c>
    </row>
    <row r="350" spans="1:9" x14ac:dyDescent="0.3">
      <c r="A350" s="169" t="s">
        <v>538</v>
      </c>
      <c r="B350" s="90" t="s">
        <v>403</v>
      </c>
      <c r="C350" s="215" t="s">
        <v>1765</v>
      </c>
      <c r="D350" s="91">
        <v>1</v>
      </c>
      <c r="E350" s="91">
        <v>1</v>
      </c>
      <c r="F350" s="215">
        <v>4.5999999999999996</v>
      </c>
      <c r="G350" s="90">
        <v>1</v>
      </c>
      <c r="H350" s="90">
        <v>6</v>
      </c>
      <c r="I350" s="158">
        <v>17</v>
      </c>
    </row>
    <row r="351" spans="1:9" x14ac:dyDescent="0.3">
      <c r="A351" s="169" t="s">
        <v>538</v>
      </c>
      <c r="B351" s="90" t="s">
        <v>403</v>
      </c>
      <c r="C351" s="215" t="s">
        <v>1766</v>
      </c>
      <c r="D351" s="91">
        <v>1</v>
      </c>
      <c r="E351" s="91">
        <v>1</v>
      </c>
      <c r="F351" s="215">
        <v>4.5999999999999996</v>
      </c>
      <c r="G351" s="90">
        <v>1</v>
      </c>
      <c r="H351" s="90">
        <v>6</v>
      </c>
      <c r="I351" s="158">
        <v>17</v>
      </c>
    </row>
    <row r="352" spans="1:9" x14ac:dyDescent="0.3">
      <c r="A352" s="169" t="s">
        <v>538</v>
      </c>
      <c r="B352" s="90" t="s">
        <v>403</v>
      </c>
      <c r="C352" s="215" t="s">
        <v>1767</v>
      </c>
      <c r="D352" s="91">
        <v>1</v>
      </c>
      <c r="E352" s="91">
        <v>1</v>
      </c>
      <c r="F352" s="215">
        <v>4.5999999999999996</v>
      </c>
      <c r="G352" s="90">
        <v>1</v>
      </c>
      <c r="H352" s="90">
        <v>6</v>
      </c>
      <c r="I352" s="158">
        <v>17</v>
      </c>
    </row>
    <row r="353" spans="1:9" x14ac:dyDescent="0.3">
      <c r="A353" s="169" t="s">
        <v>538</v>
      </c>
      <c r="B353" s="90" t="s">
        <v>403</v>
      </c>
      <c r="C353" s="217" t="s">
        <v>1704</v>
      </c>
      <c r="D353" s="91">
        <v>1</v>
      </c>
      <c r="E353" s="91">
        <v>1</v>
      </c>
      <c r="F353" s="216">
        <v>10.9</v>
      </c>
      <c r="G353" s="90">
        <v>2</v>
      </c>
      <c r="H353" s="90">
        <v>7</v>
      </c>
      <c r="I353" s="158">
        <v>18</v>
      </c>
    </row>
    <row r="354" spans="1:9" x14ac:dyDescent="0.3">
      <c r="A354" s="169" t="s">
        <v>538</v>
      </c>
      <c r="B354" s="90" t="s">
        <v>403</v>
      </c>
      <c r="C354" s="215" t="s">
        <v>1768</v>
      </c>
      <c r="D354" s="91">
        <v>1</v>
      </c>
      <c r="E354" s="91">
        <v>1</v>
      </c>
      <c r="F354" s="216">
        <v>14.5</v>
      </c>
      <c r="G354" s="90">
        <v>2</v>
      </c>
      <c r="H354" s="90">
        <v>7</v>
      </c>
      <c r="I354" s="158">
        <v>18</v>
      </c>
    </row>
    <row r="355" spans="1:9" x14ac:dyDescent="0.3">
      <c r="A355" s="169" t="s">
        <v>538</v>
      </c>
      <c r="B355" s="90" t="s">
        <v>403</v>
      </c>
      <c r="C355" s="215" t="s">
        <v>1769</v>
      </c>
      <c r="D355" s="91">
        <v>1</v>
      </c>
      <c r="E355" s="91">
        <v>1</v>
      </c>
      <c r="F355" s="216">
        <v>13.4</v>
      </c>
      <c r="G355" s="90">
        <v>2</v>
      </c>
      <c r="H355" s="90">
        <v>7</v>
      </c>
      <c r="I355" s="158">
        <v>18</v>
      </c>
    </row>
    <row r="356" spans="1:9" x14ac:dyDescent="0.3">
      <c r="A356" s="169" t="s">
        <v>538</v>
      </c>
      <c r="B356" s="90" t="s">
        <v>403</v>
      </c>
      <c r="C356" s="215" t="s">
        <v>1769</v>
      </c>
      <c r="D356" s="91">
        <v>2</v>
      </c>
      <c r="E356" s="91">
        <v>999</v>
      </c>
      <c r="F356" s="216">
        <v>13.4</v>
      </c>
      <c r="G356" s="90">
        <v>2</v>
      </c>
      <c r="H356" s="90">
        <v>7</v>
      </c>
      <c r="I356" s="158">
        <v>18</v>
      </c>
    </row>
    <row r="357" spans="1:9" x14ac:dyDescent="0.3">
      <c r="A357" s="169" t="s">
        <v>538</v>
      </c>
      <c r="B357" s="90" t="s">
        <v>403</v>
      </c>
      <c r="C357" s="215" t="s">
        <v>1770</v>
      </c>
      <c r="D357" s="91">
        <v>1</v>
      </c>
      <c r="E357" s="91">
        <v>999</v>
      </c>
      <c r="F357" s="216">
        <v>18.399999999999999</v>
      </c>
      <c r="G357" s="90">
        <v>3</v>
      </c>
      <c r="H357" s="91">
        <v>8</v>
      </c>
      <c r="I357" s="91">
        <v>18</v>
      </c>
    </row>
    <row r="358" spans="1:9" x14ac:dyDescent="0.3">
      <c r="A358" s="169" t="s">
        <v>538</v>
      </c>
      <c r="B358" s="90" t="s">
        <v>403</v>
      </c>
      <c r="C358" s="215" t="s">
        <v>1771</v>
      </c>
      <c r="D358" s="91">
        <v>1</v>
      </c>
      <c r="E358" s="91">
        <v>999</v>
      </c>
      <c r="F358" s="216">
        <v>18.399999999999999</v>
      </c>
      <c r="G358" s="90">
        <v>3</v>
      </c>
      <c r="H358" s="91">
        <v>8</v>
      </c>
      <c r="I358" s="91">
        <v>18</v>
      </c>
    </row>
    <row r="359" spans="1:9" x14ac:dyDescent="0.3">
      <c r="A359" s="169" t="s">
        <v>538</v>
      </c>
      <c r="B359" s="90" t="s">
        <v>403</v>
      </c>
      <c r="C359" s="215" t="s">
        <v>1772</v>
      </c>
      <c r="D359" s="91">
        <v>1</v>
      </c>
      <c r="E359" s="91">
        <v>999</v>
      </c>
      <c r="F359" s="216">
        <v>18.399999999999999</v>
      </c>
      <c r="G359" s="90">
        <v>3</v>
      </c>
      <c r="H359" s="91">
        <v>8</v>
      </c>
      <c r="I359" s="91">
        <v>18</v>
      </c>
    </row>
    <row r="360" spans="1:9" x14ac:dyDescent="0.3">
      <c r="A360" s="169" t="s">
        <v>538</v>
      </c>
      <c r="B360" s="90" t="s">
        <v>403</v>
      </c>
      <c r="C360" s="215" t="s">
        <v>1773</v>
      </c>
      <c r="D360" s="91">
        <v>1</v>
      </c>
      <c r="E360" s="91">
        <v>999</v>
      </c>
      <c r="F360" s="216">
        <v>18.399999999999999</v>
      </c>
      <c r="G360" s="90">
        <v>3</v>
      </c>
      <c r="H360" s="91">
        <v>8</v>
      </c>
      <c r="I360" s="91">
        <v>18</v>
      </c>
    </row>
    <row r="361" spans="1:9" x14ac:dyDescent="0.3">
      <c r="A361" s="169" t="s">
        <v>538</v>
      </c>
      <c r="B361" s="90" t="s">
        <v>403</v>
      </c>
      <c r="C361" s="215" t="s">
        <v>1774</v>
      </c>
      <c r="D361" s="91">
        <v>1</v>
      </c>
      <c r="E361" s="91">
        <v>999</v>
      </c>
      <c r="F361" s="216">
        <v>18.399999999999999</v>
      </c>
      <c r="G361" s="90">
        <v>3</v>
      </c>
      <c r="H361" s="91">
        <v>8</v>
      </c>
      <c r="I361" s="91">
        <v>18</v>
      </c>
    </row>
    <row r="362" spans="1:9" x14ac:dyDescent="0.3">
      <c r="A362" s="169" t="s">
        <v>538</v>
      </c>
      <c r="B362" s="90" t="s">
        <v>403</v>
      </c>
      <c r="C362" s="215" t="s">
        <v>1775</v>
      </c>
      <c r="D362" s="91">
        <v>1</v>
      </c>
      <c r="E362" s="91">
        <v>999</v>
      </c>
      <c r="F362" s="216">
        <v>18.399999999999999</v>
      </c>
      <c r="G362" s="90">
        <v>3</v>
      </c>
      <c r="H362" s="91">
        <v>8</v>
      </c>
      <c r="I362" s="91">
        <v>18</v>
      </c>
    </row>
    <row r="363" spans="1:9" x14ac:dyDescent="0.3">
      <c r="A363" s="169" t="s">
        <v>538</v>
      </c>
      <c r="B363" s="90" t="s">
        <v>403</v>
      </c>
      <c r="C363" s="215" t="s">
        <v>1776</v>
      </c>
      <c r="D363" s="91">
        <v>1</v>
      </c>
      <c r="E363" s="91">
        <v>999</v>
      </c>
      <c r="F363" s="216">
        <v>18.399999999999999</v>
      </c>
      <c r="G363" s="90">
        <v>3</v>
      </c>
      <c r="H363" s="91">
        <v>8</v>
      </c>
      <c r="I363" s="91">
        <v>18</v>
      </c>
    </row>
    <row r="364" spans="1:9" x14ac:dyDescent="0.3">
      <c r="A364" s="169" t="s">
        <v>538</v>
      </c>
      <c r="B364" s="90" t="s">
        <v>403</v>
      </c>
      <c r="C364" s="215" t="s">
        <v>1777</v>
      </c>
      <c r="D364" s="91">
        <v>1</v>
      </c>
      <c r="E364" s="91">
        <v>999</v>
      </c>
      <c r="F364" s="216">
        <v>18.399999999999999</v>
      </c>
      <c r="G364" s="90">
        <v>3</v>
      </c>
      <c r="H364" s="91">
        <v>8</v>
      </c>
      <c r="I364" s="91">
        <v>18</v>
      </c>
    </row>
    <row r="365" spans="1:9" x14ac:dyDescent="0.3">
      <c r="A365" s="169" t="s">
        <v>538</v>
      </c>
      <c r="B365" s="90" t="s">
        <v>403</v>
      </c>
      <c r="C365" s="215" t="s">
        <v>1778</v>
      </c>
      <c r="D365" s="91">
        <v>1</v>
      </c>
      <c r="E365" s="91">
        <v>999</v>
      </c>
      <c r="F365" s="216">
        <v>18.399999999999999</v>
      </c>
      <c r="G365" s="90">
        <v>3</v>
      </c>
      <c r="H365" s="91">
        <v>8</v>
      </c>
      <c r="I365" s="91">
        <v>18</v>
      </c>
    </row>
    <row r="366" spans="1:9" x14ac:dyDescent="0.3">
      <c r="A366" s="169" t="s">
        <v>538</v>
      </c>
      <c r="B366" s="90" t="s">
        <v>403</v>
      </c>
      <c r="C366" s="215" t="s">
        <v>1779</v>
      </c>
      <c r="D366" s="91">
        <v>1</v>
      </c>
      <c r="E366" s="91">
        <v>999</v>
      </c>
      <c r="F366" s="216">
        <v>18.399999999999999</v>
      </c>
      <c r="G366" s="90">
        <v>3</v>
      </c>
      <c r="H366" s="91">
        <v>8</v>
      </c>
      <c r="I366" s="91">
        <v>18</v>
      </c>
    </row>
    <row r="367" spans="1:9" x14ac:dyDescent="0.3">
      <c r="A367" s="169" t="s">
        <v>538</v>
      </c>
      <c r="B367" s="90" t="s">
        <v>403</v>
      </c>
      <c r="C367" s="215" t="s">
        <v>1780</v>
      </c>
      <c r="D367" s="91">
        <v>1</v>
      </c>
      <c r="E367" s="91">
        <v>999</v>
      </c>
      <c r="F367" s="216">
        <v>18.399999999999999</v>
      </c>
      <c r="G367" s="90">
        <v>3</v>
      </c>
      <c r="H367" s="91">
        <v>8</v>
      </c>
      <c r="I367" s="91">
        <v>18</v>
      </c>
    </row>
    <row r="368" spans="1:9" ht="16.2" customHeight="1" x14ac:dyDescent="0.3">
      <c r="A368" s="169" t="s">
        <v>538</v>
      </c>
      <c r="B368" s="90" t="s">
        <v>403</v>
      </c>
      <c r="C368" s="215" t="s">
        <v>1705</v>
      </c>
      <c r="D368" s="91">
        <v>1</v>
      </c>
      <c r="E368" s="91">
        <v>1</v>
      </c>
      <c r="F368" s="216">
        <v>13.3</v>
      </c>
      <c r="G368" s="90">
        <v>2</v>
      </c>
      <c r="H368" s="90">
        <v>7</v>
      </c>
      <c r="I368" s="158">
        <v>14</v>
      </c>
    </row>
    <row r="369" spans="1:9" ht="16.2" customHeight="1" x14ac:dyDescent="0.3">
      <c r="A369" s="169" t="s">
        <v>538</v>
      </c>
      <c r="B369" s="90" t="s">
        <v>403</v>
      </c>
      <c r="C369" s="215" t="s">
        <v>1705</v>
      </c>
      <c r="D369" s="91">
        <v>2</v>
      </c>
      <c r="E369" s="91">
        <v>999</v>
      </c>
      <c r="F369" s="216">
        <v>13.3</v>
      </c>
      <c r="G369" s="90">
        <v>2</v>
      </c>
      <c r="H369" s="90">
        <v>7</v>
      </c>
      <c r="I369" s="158">
        <v>14</v>
      </c>
    </row>
    <row r="370" spans="1:9" x14ac:dyDescent="0.3">
      <c r="A370" s="169" t="s">
        <v>538</v>
      </c>
      <c r="B370" s="90" t="s">
        <v>403</v>
      </c>
      <c r="C370" s="215" t="s">
        <v>1706</v>
      </c>
      <c r="D370" s="91">
        <v>1</v>
      </c>
      <c r="E370" s="91">
        <v>999</v>
      </c>
      <c r="F370" s="216">
        <v>8.8000000000000007</v>
      </c>
      <c r="G370" s="90">
        <v>2</v>
      </c>
      <c r="H370" s="90">
        <v>7</v>
      </c>
      <c r="I370" s="158">
        <v>18</v>
      </c>
    </row>
    <row r="371" spans="1:9" x14ac:dyDescent="0.3">
      <c r="A371" s="169" t="s">
        <v>538</v>
      </c>
      <c r="B371" s="90" t="s">
        <v>403</v>
      </c>
      <c r="C371" s="215" t="s">
        <v>1707</v>
      </c>
      <c r="D371" s="91">
        <v>1</v>
      </c>
      <c r="E371" s="91">
        <v>999</v>
      </c>
      <c r="F371" s="216">
        <v>7.8</v>
      </c>
      <c r="G371" s="90">
        <v>1</v>
      </c>
      <c r="H371" s="91">
        <v>7</v>
      </c>
      <c r="I371" s="91">
        <v>17</v>
      </c>
    </row>
    <row r="372" spans="1:9" x14ac:dyDescent="0.3">
      <c r="A372" s="169" t="s">
        <v>538</v>
      </c>
      <c r="B372" s="90" t="s">
        <v>403</v>
      </c>
      <c r="C372" s="215" t="s">
        <v>1781</v>
      </c>
      <c r="D372" s="91">
        <v>1</v>
      </c>
      <c r="E372" s="91">
        <v>1</v>
      </c>
      <c r="F372" s="216">
        <v>10.7</v>
      </c>
      <c r="G372" s="90">
        <v>2</v>
      </c>
      <c r="H372" s="90">
        <v>7</v>
      </c>
      <c r="I372" s="158">
        <v>17</v>
      </c>
    </row>
    <row r="373" spans="1:9" x14ac:dyDescent="0.3">
      <c r="A373" s="169" t="s">
        <v>538</v>
      </c>
      <c r="B373" s="90" t="s">
        <v>403</v>
      </c>
      <c r="C373" s="215" t="s">
        <v>1782</v>
      </c>
      <c r="D373" s="91">
        <v>1</v>
      </c>
      <c r="E373" s="91">
        <v>1</v>
      </c>
      <c r="F373" s="216">
        <v>10.7</v>
      </c>
      <c r="G373" s="90">
        <v>2</v>
      </c>
      <c r="H373" s="90">
        <v>7</v>
      </c>
      <c r="I373" s="158">
        <v>17</v>
      </c>
    </row>
    <row r="374" spans="1:9" x14ac:dyDescent="0.3">
      <c r="A374" s="169" t="s">
        <v>538</v>
      </c>
      <c r="B374" s="90" t="s">
        <v>403</v>
      </c>
      <c r="C374" s="215" t="s">
        <v>1783</v>
      </c>
      <c r="D374" s="91">
        <v>1</v>
      </c>
      <c r="E374" s="91">
        <v>1</v>
      </c>
      <c r="F374" s="216">
        <v>10.7</v>
      </c>
      <c r="G374" s="90">
        <v>2</v>
      </c>
      <c r="H374" s="90">
        <v>7</v>
      </c>
      <c r="I374" s="158">
        <v>17</v>
      </c>
    </row>
    <row r="375" spans="1:9" x14ac:dyDescent="0.3">
      <c r="A375" s="169" t="s">
        <v>538</v>
      </c>
      <c r="B375" s="90" t="s">
        <v>403</v>
      </c>
      <c r="C375" s="215" t="s">
        <v>1784</v>
      </c>
      <c r="D375" s="91">
        <v>1</v>
      </c>
      <c r="E375" s="91">
        <v>1</v>
      </c>
      <c r="F375" s="216">
        <v>10.7</v>
      </c>
      <c r="G375" s="90">
        <v>2</v>
      </c>
      <c r="H375" s="90">
        <v>7</v>
      </c>
      <c r="I375" s="158">
        <v>17</v>
      </c>
    </row>
    <row r="376" spans="1:9" x14ac:dyDescent="0.3">
      <c r="A376" s="169" t="s">
        <v>538</v>
      </c>
      <c r="B376" s="90" t="s">
        <v>403</v>
      </c>
      <c r="C376" s="215" t="s">
        <v>1785</v>
      </c>
      <c r="D376" s="91">
        <v>1</v>
      </c>
      <c r="E376" s="91">
        <v>1</v>
      </c>
      <c r="F376" s="216">
        <v>10.7</v>
      </c>
      <c r="G376" s="90">
        <v>2</v>
      </c>
      <c r="H376" s="90">
        <v>7</v>
      </c>
      <c r="I376" s="158">
        <v>17</v>
      </c>
    </row>
    <row r="377" spans="1:9" x14ac:dyDescent="0.3">
      <c r="A377" s="169" t="s">
        <v>538</v>
      </c>
      <c r="B377" s="90" t="s">
        <v>403</v>
      </c>
      <c r="C377" s="215" t="s">
        <v>1786</v>
      </c>
      <c r="D377" s="91">
        <v>1</v>
      </c>
      <c r="E377" s="91">
        <v>1</v>
      </c>
      <c r="F377" s="216">
        <v>10.7</v>
      </c>
      <c r="G377" s="90">
        <v>2</v>
      </c>
      <c r="H377" s="90">
        <v>7</v>
      </c>
      <c r="I377" s="158">
        <v>17</v>
      </c>
    </row>
    <row r="378" spans="1:9" x14ac:dyDescent="0.3">
      <c r="A378" s="169" t="s">
        <v>538</v>
      </c>
      <c r="B378" s="90" t="s">
        <v>403</v>
      </c>
      <c r="C378" s="215" t="s">
        <v>1787</v>
      </c>
      <c r="D378" s="91">
        <v>1</v>
      </c>
      <c r="E378" s="91">
        <v>1</v>
      </c>
      <c r="F378" s="216">
        <v>10.7</v>
      </c>
      <c r="G378" s="90">
        <v>2</v>
      </c>
      <c r="H378" s="90">
        <v>7</v>
      </c>
      <c r="I378" s="158">
        <v>17</v>
      </c>
    </row>
    <row r="379" spans="1:9" x14ac:dyDescent="0.3">
      <c r="A379" s="169" t="s">
        <v>538</v>
      </c>
      <c r="B379" s="90" t="s">
        <v>403</v>
      </c>
      <c r="C379" s="215" t="s">
        <v>1788</v>
      </c>
      <c r="D379" s="91">
        <v>1</v>
      </c>
      <c r="E379" s="91">
        <v>1</v>
      </c>
      <c r="F379" s="216">
        <v>10.7</v>
      </c>
      <c r="G379" s="90">
        <v>2</v>
      </c>
      <c r="H379" s="90">
        <v>7</v>
      </c>
      <c r="I379" s="158">
        <v>17</v>
      </c>
    </row>
    <row r="380" spans="1:9" x14ac:dyDescent="0.3">
      <c r="A380" s="169" t="s">
        <v>538</v>
      </c>
      <c r="B380" s="90" t="s">
        <v>403</v>
      </c>
      <c r="C380" s="215" t="s">
        <v>1789</v>
      </c>
      <c r="D380" s="91">
        <v>1</v>
      </c>
      <c r="E380" s="91">
        <v>1</v>
      </c>
      <c r="F380" s="216">
        <v>10.7</v>
      </c>
      <c r="G380" s="90">
        <v>2</v>
      </c>
      <c r="H380" s="90">
        <v>7</v>
      </c>
      <c r="I380" s="158">
        <v>17</v>
      </c>
    </row>
    <row r="381" spans="1:9" x14ac:dyDescent="0.3">
      <c r="A381" s="169" t="s">
        <v>538</v>
      </c>
      <c r="B381" s="90" t="s">
        <v>403</v>
      </c>
      <c r="C381" s="215" t="s">
        <v>1791</v>
      </c>
      <c r="D381" s="91">
        <v>1</v>
      </c>
      <c r="E381" s="91">
        <v>1</v>
      </c>
      <c r="F381" s="216">
        <v>10.7</v>
      </c>
      <c r="G381" s="90">
        <v>2</v>
      </c>
      <c r="H381" s="90">
        <v>7</v>
      </c>
      <c r="I381" s="158">
        <v>17</v>
      </c>
    </row>
    <row r="382" spans="1:9" x14ac:dyDescent="0.3">
      <c r="A382" s="169" t="s">
        <v>538</v>
      </c>
      <c r="B382" s="90" t="s">
        <v>403</v>
      </c>
      <c r="C382" s="215" t="s">
        <v>1790</v>
      </c>
      <c r="D382" s="91">
        <v>1</v>
      </c>
      <c r="E382" s="91">
        <v>1</v>
      </c>
      <c r="F382" s="216">
        <v>10.7</v>
      </c>
      <c r="G382" s="90">
        <v>2</v>
      </c>
      <c r="H382" s="90">
        <v>7</v>
      </c>
      <c r="I382" s="158">
        <v>17</v>
      </c>
    </row>
    <row r="383" spans="1:9" x14ac:dyDescent="0.3">
      <c r="A383" s="169" t="s">
        <v>538</v>
      </c>
      <c r="B383" s="90" t="s">
        <v>403</v>
      </c>
      <c r="C383" s="215" t="s">
        <v>1792</v>
      </c>
      <c r="D383" s="91">
        <v>1</v>
      </c>
      <c r="E383" s="91">
        <v>1</v>
      </c>
      <c r="F383" s="216">
        <v>4.4000000000000004</v>
      </c>
      <c r="G383" s="90">
        <v>1</v>
      </c>
      <c r="H383" s="90">
        <v>6</v>
      </c>
      <c r="I383" s="158">
        <v>13</v>
      </c>
    </row>
    <row r="384" spans="1:9" x14ac:dyDescent="0.3">
      <c r="A384" s="169" t="s">
        <v>538</v>
      </c>
      <c r="B384" s="90" t="s">
        <v>403</v>
      </c>
      <c r="C384" s="215" t="s">
        <v>1793</v>
      </c>
      <c r="D384" s="91">
        <v>1</v>
      </c>
      <c r="E384" s="91">
        <v>1</v>
      </c>
      <c r="F384" s="216">
        <v>4.4000000000000004</v>
      </c>
      <c r="G384" s="90">
        <v>1</v>
      </c>
      <c r="H384" s="90">
        <v>6</v>
      </c>
      <c r="I384" s="158">
        <v>13</v>
      </c>
    </row>
    <row r="385" spans="1:9" x14ac:dyDescent="0.3">
      <c r="A385" s="169" t="s">
        <v>538</v>
      </c>
      <c r="B385" s="90" t="s">
        <v>403</v>
      </c>
      <c r="C385" s="215" t="s">
        <v>1794</v>
      </c>
      <c r="D385" s="91">
        <v>1</v>
      </c>
      <c r="E385" s="91">
        <v>1</v>
      </c>
      <c r="F385" s="216">
        <v>4.4000000000000004</v>
      </c>
      <c r="G385" s="90">
        <v>1</v>
      </c>
      <c r="H385" s="90">
        <v>6</v>
      </c>
      <c r="I385" s="158">
        <v>13</v>
      </c>
    </row>
    <row r="386" spans="1:9" x14ac:dyDescent="0.3">
      <c r="A386" s="169" t="s">
        <v>538</v>
      </c>
      <c r="B386" s="90" t="s">
        <v>403</v>
      </c>
      <c r="C386" s="215" t="s">
        <v>1795</v>
      </c>
      <c r="D386" s="91">
        <v>1</v>
      </c>
      <c r="E386" s="91">
        <v>1</v>
      </c>
      <c r="F386" s="216">
        <v>4.4000000000000004</v>
      </c>
      <c r="G386" s="90">
        <v>1</v>
      </c>
      <c r="H386" s="90">
        <v>6</v>
      </c>
      <c r="I386" s="158">
        <v>13</v>
      </c>
    </row>
    <row r="387" spans="1:9" x14ac:dyDescent="0.3">
      <c r="A387" s="169" t="s">
        <v>538</v>
      </c>
      <c r="B387" s="90" t="s">
        <v>403</v>
      </c>
      <c r="C387" s="215" t="s">
        <v>1796</v>
      </c>
      <c r="D387" s="91">
        <v>1</v>
      </c>
      <c r="E387" s="91">
        <v>1</v>
      </c>
      <c r="F387" s="216">
        <v>4.4000000000000004</v>
      </c>
      <c r="G387" s="90">
        <v>1</v>
      </c>
      <c r="H387" s="90">
        <v>6</v>
      </c>
      <c r="I387" s="158">
        <v>13</v>
      </c>
    </row>
    <row r="388" spans="1:9" x14ac:dyDescent="0.3">
      <c r="A388" s="169" t="s">
        <v>538</v>
      </c>
      <c r="B388" s="90" t="s">
        <v>403</v>
      </c>
      <c r="C388" s="215" t="s">
        <v>1797</v>
      </c>
      <c r="D388" s="91">
        <v>1</v>
      </c>
      <c r="E388" s="91">
        <v>1</v>
      </c>
      <c r="F388" s="216">
        <v>4.4000000000000004</v>
      </c>
      <c r="G388" s="90">
        <v>1</v>
      </c>
      <c r="H388" s="90">
        <v>6</v>
      </c>
      <c r="I388" s="158">
        <v>13</v>
      </c>
    </row>
    <row r="389" spans="1:9" x14ac:dyDescent="0.3">
      <c r="A389" s="169" t="s">
        <v>538</v>
      </c>
      <c r="B389" s="90" t="s">
        <v>403</v>
      </c>
      <c r="C389" s="215" t="s">
        <v>1798</v>
      </c>
      <c r="D389" s="91">
        <v>1</v>
      </c>
      <c r="E389" s="91">
        <v>1</v>
      </c>
      <c r="F389" s="216">
        <v>4.4000000000000004</v>
      </c>
      <c r="G389" s="90">
        <v>1</v>
      </c>
      <c r="H389" s="90">
        <v>6</v>
      </c>
      <c r="I389" s="158">
        <v>13</v>
      </c>
    </row>
    <row r="390" spans="1:9" x14ac:dyDescent="0.3">
      <c r="A390" s="169" t="s">
        <v>538</v>
      </c>
      <c r="B390" s="90" t="s">
        <v>403</v>
      </c>
      <c r="C390" s="215" t="s">
        <v>1799</v>
      </c>
      <c r="D390" s="91">
        <v>1</v>
      </c>
      <c r="E390" s="91">
        <v>1</v>
      </c>
      <c r="F390" s="216">
        <v>4.4000000000000004</v>
      </c>
      <c r="G390" s="90">
        <v>1</v>
      </c>
      <c r="H390" s="90">
        <v>6</v>
      </c>
      <c r="I390" s="158">
        <v>13</v>
      </c>
    </row>
    <row r="391" spans="1:9" x14ac:dyDescent="0.3">
      <c r="A391" s="169" t="s">
        <v>538</v>
      </c>
      <c r="B391" s="90" t="s">
        <v>403</v>
      </c>
      <c r="C391" s="215" t="s">
        <v>1800</v>
      </c>
      <c r="D391" s="91">
        <v>1</v>
      </c>
      <c r="E391" s="91">
        <v>1</v>
      </c>
      <c r="F391" s="216">
        <v>4.4000000000000004</v>
      </c>
      <c r="G391" s="90">
        <v>1</v>
      </c>
      <c r="H391" s="90">
        <v>6</v>
      </c>
      <c r="I391" s="158">
        <v>13</v>
      </c>
    </row>
    <row r="392" spans="1:9" x14ac:dyDescent="0.3">
      <c r="A392" s="169" t="s">
        <v>538</v>
      </c>
      <c r="B392" s="90" t="s">
        <v>403</v>
      </c>
      <c r="C392" s="215" t="s">
        <v>1801</v>
      </c>
      <c r="D392" s="91">
        <v>1</v>
      </c>
      <c r="E392" s="91">
        <v>1</v>
      </c>
      <c r="F392" s="216">
        <v>4.4000000000000004</v>
      </c>
      <c r="G392" s="90">
        <v>1</v>
      </c>
      <c r="H392" s="90">
        <v>6</v>
      </c>
      <c r="I392" s="158">
        <v>13</v>
      </c>
    </row>
    <row r="393" spans="1:9" x14ac:dyDescent="0.3">
      <c r="A393" s="169" t="s">
        <v>538</v>
      </c>
      <c r="B393" s="90" t="s">
        <v>403</v>
      </c>
      <c r="C393" s="215" t="s">
        <v>1802</v>
      </c>
      <c r="D393" s="91">
        <v>1</v>
      </c>
      <c r="E393" s="91">
        <v>1</v>
      </c>
      <c r="F393" s="216">
        <v>4.4000000000000004</v>
      </c>
      <c r="G393" s="90">
        <v>1</v>
      </c>
      <c r="H393" s="90">
        <v>6</v>
      </c>
      <c r="I393" s="158">
        <v>13</v>
      </c>
    </row>
    <row r="394" spans="1:9" ht="14.4" customHeight="1" x14ac:dyDescent="0.3">
      <c r="A394" s="169" t="s">
        <v>538</v>
      </c>
      <c r="B394" s="90" t="s">
        <v>403</v>
      </c>
      <c r="C394" s="215" t="s">
        <v>1803</v>
      </c>
      <c r="D394" s="91">
        <v>1</v>
      </c>
      <c r="E394" s="91">
        <v>1</v>
      </c>
      <c r="F394" s="216">
        <v>9.9</v>
      </c>
      <c r="G394" s="90">
        <v>2</v>
      </c>
      <c r="H394" s="90">
        <v>7</v>
      </c>
      <c r="I394" s="158">
        <v>17</v>
      </c>
    </row>
    <row r="395" spans="1:9" ht="14.4" customHeight="1" x14ac:dyDescent="0.3">
      <c r="A395" s="169" t="s">
        <v>538</v>
      </c>
      <c r="B395" s="90" t="s">
        <v>403</v>
      </c>
      <c r="C395" s="215" t="s">
        <v>1804</v>
      </c>
      <c r="D395" s="91">
        <v>1</v>
      </c>
      <c r="E395" s="91">
        <v>1</v>
      </c>
      <c r="F395" s="216">
        <v>9.9</v>
      </c>
      <c r="G395" s="90">
        <v>2</v>
      </c>
      <c r="H395" s="90">
        <v>7</v>
      </c>
      <c r="I395" s="158">
        <v>17</v>
      </c>
    </row>
    <row r="396" spans="1:9" ht="14.4" customHeight="1" x14ac:dyDescent="0.3">
      <c r="A396" s="169" t="s">
        <v>538</v>
      </c>
      <c r="B396" s="90" t="s">
        <v>403</v>
      </c>
      <c r="C396" s="215" t="s">
        <v>1805</v>
      </c>
      <c r="D396" s="91">
        <v>1</v>
      </c>
      <c r="E396" s="91">
        <v>1</v>
      </c>
      <c r="F396" s="216">
        <v>9.9</v>
      </c>
      <c r="G396" s="90">
        <v>2</v>
      </c>
      <c r="H396" s="90">
        <v>7</v>
      </c>
      <c r="I396" s="158">
        <v>17</v>
      </c>
    </row>
    <row r="397" spans="1:9" ht="14.4" customHeight="1" x14ac:dyDescent="0.3">
      <c r="A397" s="169" t="s">
        <v>538</v>
      </c>
      <c r="B397" s="90" t="s">
        <v>403</v>
      </c>
      <c r="C397" s="215" t="s">
        <v>1806</v>
      </c>
      <c r="D397" s="91">
        <v>1</v>
      </c>
      <c r="E397" s="91">
        <v>1</v>
      </c>
      <c r="F397" s="216">
        <v>9.9</v>
      </c>
      <c r="G397" s="90">
        <v>2</v>
      </c>
      <c r="H397" s="90">
        <v>7</v>
      </c>
      <c r="I397" s="158">
        <v>17</v>
      </c>
    </row>
    <row r="398" spans="1:9" ht="14.4" customHeight="1" x14ac:dyDescent="0.3">
      <c r="A398" s="169" t="s">
        <v>538</v>
      </c>
      <c r="B398" s="90" t="s">
        <v>403</v>
      </c>
      <c r="C398" s="215" t="s">
        <v>1807</v>
      </c>
      <c r="D398" s="91">
        <v>1</v>
      </c>
      <c r="E398" s="91">
        <v>1</v>
      </c>
      <c r="F398" s="216">
        <v>9.9</v>
      </c>
      <c r="G398" s="90">
        <v>2</v>
      </c>
      <c r="H398" s="90">
        <v>7</v>
      </c>
      <c r="I398" s="158">
        <v>17</v>
      </c>
    </row>
    <row r="399" spans="1:9" ht="14.4" customHeight="1" x14ac:dyDescent="0.3">
      <c r="A399" s="169" t="s">
        <v>538</v>
      </c>
      <c r="B399" s="90" t="s">
        <v>403</v>
      </c>
      <c r="C399" s="215" t="s">
        <v>1808</v>
      </c>
      <c r="D399" s="91">
        <v>1</v>
      </c>
      <c r="E399" s="91">
        <v>1</v>
      </c>
      <c r="F399" s="216">
        <v>9.9</v>
      </c>
      <c r="G399" s="90">
        <v>2</v>
      </c>
      <c r="H399" s="90">
        <v>7</v>
      </c>
      <c r="I399" s="158">
        <v>17</v>
      </c>
    </row>
    <row r="400" spans="1:9" ht="14.4" customHeight="1" x14ac:dyDescent="0.3">
      <c r="A400" s="169" t="s">
        <v>538</v>
      </c>
      <c r="B400" s="90" t="s">
        <v>403</v>
      </c>
      <c r="C400" s="215" t="s">
        <v>1809</v>
      </c>
      <c r="D400" s="91">
        <v>1</v>
      </c>
      <c r="E400" s="91">
        <v>1</v>
      </c>
      <c r="F400" s="216">
        <v>9.9</v>
      </c>
      <c r="G400" s="90">
        <v>2</v>
      </c>
      <c r="H400" s="90">
        <v>7</v>
      </c>
      <c r="I400" s="158">
        <v>17</v>
      </c>
    </row>
    <row r="401" spans="1:9" ht="14.4" customHeight="1" x14ac:dyDescent="0.3">
      <c r="A401" s="169" t="s">
        <v>538</v>
      </c>
      <c r="B401" s="90" t="s">
        <v>403</v>
      </c>
      <c r="C401" s="215" t="s">
        <v>1810</v>
      </c>
      <c r="D401" s="91">
        <v>1</v>
      </c>
      <c r="E401" s="91">
        <v>1</v>
      </c>
      <c r="F401" s="216">
        <v>9.9</v>
      </c>
      <c r="G401" s="90">
        <v>2</v>
      </c>
      <c r="H401" s="90">
        <v>7</v>
      </c>
      <c r="I401" s="158">
        <v>17</v>
      </c>
    </row>
    <row r="402" spans="1:9" ht="14.4" customHeight="1" x14ac:dyDescent="0.3">
      <c r="A402" s="169" t="s">
        <v>538</v>
      </c>
      <c r="B402" s="90" t="s">
        <v>403</v>
      </c>
      <c r="C402" s="215" t="s">
        <v>1811</v>
      </c>
      <c r="D402" s="91">
        <v>1</v>
      </c>
      <c r="E402" s="91">
        <v>1</v>
      </c>
      <c r="F402" s="216">
        <v>9.9</v>
      </c>
      <c r="G402" s="90">
        <v>2</v>
      </c>
      <c r="H402" s="90">
        <v>7</v>
      </c>
      <c r="I402" s="158">
        <v>17</v>
      </c>
    </row>
    <row r="403" spans="1:9" ht="14.4" customHeight="1" x14ac:dyDescent="0.3">
      <c r="A403" s="169" t="s">
        <v>538</v>
      </c>
      <c r="B403" s="90" t="s">
        <v>403</v>
      </c>
      <c r="C403" s="215" t="s">
        <v>1812</v>
      </c>
      <c r="D403" s="91">
        <v>1</v>
      </c>
      <c r="E403" s="91">
        <v>1</v>
      </c>
      <c r="F403" s="216">
        <v>9.9</v>
      </c>
      <c r="G403" s="90">
        <v>2</v>
      </c>
      <c r="H403" s="90">
        <v>7</v>
      </c>
      <c r="I403" s="158">
        <v>17</v>
      </c>
    </row>
    <row r="404" spans="1:9" ht="14.4" customHeight="1" x14ac:dyDescent="0.3">
      <c r="A404" s="169" t="s">
        <v>538</v>
      </c>
      <c r="B404" s="90" t="s">
        <v>403</v>
      </c>
      <c r="C404" s="215" t="s">
        <v>1813</v>
      </c>
      <c r="D404" s="91">
        <v>1</v>
      </c>
      <c r="E404" s="91">
        <v>1</v>
      </c>
      <c r="F404" s="216">
        <v>9.9</v>
      </c>
      <c r="G404" s="90">
        <v>2</v>
      </c>
      <c r="H404" s="90">
        <v>7</v>
      </c>
      <c r="I404" s="158">
        <v>17</v>
      </c>
    </row>
    <row r="405" spans="1:9" ht="14.4" customHeight="1" x14ac:dyDescent="0.3">
      <c r="A405" s="169" t="s">
        <v>538</v>
      </c>
      <c r="B405" s="90" t="s">
        <v>403</v>
      </c>
      <c r="C405" s="215" t="s">
        <v>1814</v>
      </c>
      <c r="D405" s="91">
        <v>1</v>
      </c>
      <c r="E405" s="91">
        <v>1</v>
      </c>
      <c r="F405" s="216">
        <v>7.1</v>
      </c>
      <c r="G405" s="90">
        <v>1</v>
      </c>
      <c r="H405" s="90">
        <v>7</v>
      </c>
      <c r="I405" s="158">
        <v>17</v>
      </c>
    </row>
    <row r="406" spans="1:9" ht="14.4" customHeight="1" x14ac:dyDescent="0.3">
      <c r="A406" s="169" t="s">
        <v>538</v>
      </c>
      <c r="B406" s="90" t="s">
        <v>403</v>
      </c>
      <c r="C406" s="215" t="s">
        <v>1815</v>
      </c>
      <c r="D406" s="91">
        <v>1</v>
      </c>
      <c r="E406" s="91">
        <v>1</v>
      </c>
      <c r="F406" s="216">
        <v>7.1</v>
      </c>
      <c r="G406" s="90">
        <v>1</v>
      </c>
      <c r="H406" s="90">
        <v>7</v>
      </c>
      <c r="I406" s="158">
        <v>17</v>
      </c>
    </row>
    <row r="407" spans="1:9" ht="14.4" customHeight="1" x14ac:dyDescent="0.3">
      <c r="A407" s="169" t="s">
        <v>538</v>
      </c>
      <c r="B407" s="90" t="s">
        <v>403</v>
      </c>
      <c r="C407" s="215" t="s">
        <v>1816</v>
      </c>
      <c r="D407" s="91">
        <v>1</v>
      </c>
      <c r="E407" s="91">
        <v>1</v>
      </c>
      <c r="F407" s="216">
        <v>7.1</v>
      </c>
      <c r="G407" s="90">
        <v>1</v>
      </c>
      <c r="H407" s="90">
        <v>7</v>
      </c>
      <c r="I407" s="158">
        <v>17</v>
      </c>
    </row>
    <row r="408" spans="1:9" ht="14.4" customHeight="1" x14ac:dyDescent="0.3">
      <c r="A408" s="169" t="s">
        <v>538</v>
      </c>
      <c r="B408" s="90" t="s">
        <v>403</v>
      </c>
      <c r="C408" s="215" t="s">
        <v>1817</v>
      </c>
      <c r="D408" s="91">
        <v>1</v>
      </c>
      <c r="E408" s="91">
        <v>1</v>
      </c>
      <c r="F408" s="216">
        <v>7.1</v>
      </c>
      <c r="G408" s="90">
        <v>1</v>
      </c>
      <c r="H408" s="90">
        <v>7</v>
      </c>
      <c r="I408" s="158">
        <v>17</v>
      </c>
    </row>
    <row r="409" spans="1:9" x14ac:dyDescent="0.3">
      <c r="A409" s="169" t="s">
        <v>538</v>
      </c>
      <c r="B409" s="90" t="s">
        <v>403</v>
      </c>
      <c r="C409" s="215" t="s">
        <v>1818</v>
      </c>
      <c r="D409" s="91">
        <v>1</v>
      </c>
      <c r="E409" s="91">
        <v>1</v>
      </c>
      <c r="F409" s="216">
        <v>7.1</v>
      </c>
      <c r="G409" s="90">
        <v>1</v>
      </c>
      <c r="H409" s="90">
        <v>7</v>
      </c>
      <c r="I409" s="158">
        <v>17</v>
      </c>
    </row>
    <row r="410" spans="1:9" x14ac:dyDescent="0.3">
      <c r="A410" s="169" t="s">
        <v>538</v>
      </c>
      <c r="B410" s="90" t="s">
        <v>403</v>
      </c>
      <c r="C410" s="215" t="s">
        <v>1819</v>
      </c>
      <c r="D410" s="91">
        <v>1</v>
      </c>
      <c r="E410" s="91">
        <v>1</v>
      </c>
      <c r="F410" s="216">
        <v>7.1</v>
      </c>
      <c r="G410" s="90">
        <v>1</v>
      </c>
      <c r="H410" s="90">
        <v>7</v>
      </c>
      <c r="I410" s="158">
        <v>17</v>
      </c>
    </row>
    <row r="411" spans="1:9" x14ac:dyDescent="0.3">
      <c r="A411" s="169" t="s">
        <v>538</v>
      </c>
      <c r="B411" s="90" t="s">
        <v>403</v>
      </c>
      <c r="C411" s="215" t="s">
        <v>1820</v>
      </c>
      <c r="D411" s="91">
        <v>1</v>
      </c>
      <c r="E411" s="91">
        <v>1</v>
      </c>
      <c r="F411" s="216">
        <v>7.1</v>
      </c>
      <c r="G411" s="90">
        <v>1</v>
      </c>
      <c r="H411" s="90">
        <v>7</v>
      </c>
      <c r="I411" s="158">
        <v>17</v>
      </c>
    </row>
    <row r="412" spans="1:9" x14ac:dyDescent="0.3">
      <c r="A412" s="169" t="s">
        <v>538</v>
      </c>
      <c r="B412" s="90" t="s">
        <v>403</v>
      </c>
      <c r="C412" s="215" t="s">
        <v>1821</v>
      </c>
      <c r="D412" s="91">
        <v>1</v>
      </c>
      <c r="E412" s="91">
        <v>1</v>
      </c>
      <c r="F412" s="216">
        <v>7.1</v>
      </c>
      <c r="G412" s="90">
        <v>1</v>
      </c>
      <c r="H412" s="90">
        <v>7</v>
      </c>
      <c r="I412" s="158">
        <v>17</v>
      </c>
    </row>
    <row r="413" spans="1:9" x14ac:dyDescent="0.3">
      <c r="A413" s="169" t="s">
        <v>538</v>
      </c>
      <c r="B413" s="90" t="s">
        <v>403</v>
      </c>
      <c r="C413" s="215" t="s">
        <v>1822</v>
      </c>
      <c r="D413" s="91">
        <v>1</v>
      </c>
      <c r="E413" s="91">
        <v>1</v>
      </c>
      <c r="F413" s="216">
        <v>7.1</v>
      </c>
      <c r="G413" s="90">
        <v>1</v>
      </c>
      <c r="H413" s="90">
        <v>7</v>
      </c>
      <c r="I413" s="158">
        <v>17</v>
      </c>
    </row>
    <row r="414" spans="1:9" x14ac:dyDescent="0.3">
      <c r="A414" s="169" t="s">
        <v>538</v>
      </c>
      <c r="B414" s="90" t="s">
        <v>403</v>
      </c>
      <c r="C414" s="215" t="s">
        <v>1823</v>
      </c>
      <c r="D414" s="91">
        <v>1</v>
      </c>
      <c r="E414" s="91">
        <v>1</v>
      </c>
      <c r="F414" s="216">
        <v>7.1</v>
      </c>
      <c r="G414" s="90">
        <v>1</v>
      </c>
      <c r="H414" s="90">
        <v>7</v>
      </c>
      <c r="I414" s="158">
        <v>17</v>
      </c>
    </row>
    <row r="415" spans="1:9" x14ac:dyDescent="0.3">
      <c r="A415" s="169" t="s">
        <v>538</v>
      </c>
      <c r="B415" s="90" t="s">
        <v>403</v>
      </c>
      <c r="C415" s="215" t="s">
        <v>1824</v>
      </c>
      <c r="D415" s="91">
        <v>1</v>
      </c>
      <c r="E415" s="91">
        <v>1</v>
      </c>
      <c r="F415" s="216">
        <v>7.1</v>
      </c>
      <c r="G415" s="90">
        <v>1</v>
      </c>
      <c r="H415" s="90">
        <v>7</v>
      </c>
      <c r="I415" s="158">
        <v>17</v>
      </c>
    </row>
    <row r="416" spans="1:9" x14ac:dyDescent="0.3">
      <c r="A416" s="169" t="s">
        <v>538</v>
      </c>
      <c r="B416" s="90" t="s">
        <v>403</v>
      </c>
      <c r="C416" s="215" t="s">
        <v>1708</v>
      </c>
      <c r="D416" s="91">
        <v>1</v>
      </c>
      <c r="E416" s="91">
        <v>1</v>
      </c>
      <c r="F416" s="216">
        <v>18.600000000000001</v>
      </c>
      <c r="G416" s="90">
        <v>3</v>
      </c>
      <c r="H416" s="90">
        <v>7</v>
      </c>
      <c r="I416" s="158">
        <v>18</v>
      </c>
    </row>
    <row r="417" spans="1:9" x14ac:dyDescent="0.3">
      <c r="A417" s="169" t="s">
        <v>538</v>
      </c>
      <c r="B417" s="90" t="s">
        <v>403</v>
      </c>
      <c r="C417" s="215" t="s">
        <v>1825</v>
      </c>
      <c r="D417" s="91">
        <v>1</v>
      </c>
      <c r="E417" s="91">
        <v>1</v>
      </c>
      <c r="F417" s="215">
        <v>11.6</v>
      </c>
      <c r="G417" s="90">
        <v>2</v>
      </c>
      <c r="H417" s="90">
        <v>7</v>
      </c>
      <c r="I417" s="158">
        <v>18</v>
      </c>
    </row>
    <row r="418" spans="1:9" x14ac:dyDescent="0.3">
      <c r="A418" s="169" t="s">
        <v>538</v>
      </c>
      <c r="B418" s="90" t="s">
        <v>403</v>
      </c>
      <c r="C418" s="215" t="s">
        <v>1826</v>
      </c>
      <c r="D418" s="91">
        <v>1</v>
      </c>
      <c r="E418" s="91">
        <v>1</v>
      </c>
      <c r="F418" s="215">
        <v>7</v>
      </c>
      <c r="G418" s="90">
        <v>1</v>
      </c>
      <c r="H418" s="90">
        <v>7</v>
      </c>
      <c r="I418" s="158">
        <v>18</v>
      </c>
    </row>
    <row r="419" spans="1:9" x14ac:dyDescent="0.3">
      <c r="A419" s="169" t="s">
        <v>538</v>
      </c>
      <c r="B419" s="90" t="s">
        <v>403</v>
      </c>
      <c r="C419" s="215" t="s">
        <v>1827</v>
      </c>
      <c r="D419" s="91">
        <v>1</v>
      </c>
      <c r="E419" s="91">
        <v>1</v>
      </c>
      <c r="F419" s="215">
        <v>9.6</v>
      </c>
      <c r="G419" s="90">
        <v>1</v>
      </c>
      <c r="H419" s="90">
        <v>7</v>
      </c>
      <c r="I419" s="158">
        <v>9</v>
      </c>
    </row>
    <row r="420" spans="1:9" x14ac:dyDescent="0.3">
      <c r="A420" s="169" t="s">
        <v>538</v>
      </c>
      <c r="B420" s="90" t="s">
        <v>403</v>
      </c>
      <c r="C420" s="215" t="s">
        <v>1828</v>
      </c>
      <c r="D420" s="91">
        <v>1</v>
      </c>
      <c r="E420" s="91">
        <v>1</v>
      </c>
      <c r="F420" s="215">
        <v>10.3</v>
      </c>
      <c r="G420" s="90">
        <v>2</v>
      </c>
      <c r="H420" s="90">
        <v>7</v>
      </c>
      <c r="I420" s="158">
        <v>17</v>
      </c>
    </row>
    <row r="421" spans="1:9" x14ac:dyDescent="0.3">
      <c r="A421" s="169" t="s">
        <v>538</v>
      </c>
      <c r="B421" s="90" t="s">
        <v>403</v>
      </c>
      <c r="C421" s="216" t="s">
        <v>1829</v>
      </c>
      <c r="D421" s="91">
        <v>1</v>
      </c>
      <c r="E421" s="91">
        <v>1</v>
      </c>
      <c r="F421" s="215">
        <v>28.5</v>
      </c>
      <c r="G421" s="90">
        <v>4</v>
      </c>
      <c r="H421" s="90">
        <v>8</v>
      </c>
      <c r="I421" s="158">
        <v>15</v>
      </c>
    </row>
    <row r="422" spans="1:9" x14ac:dyDescent="0.3">
      <c r="A422" s="169" t="s">
        <v>538</v>
      </c>
      <c r="B422" s="90" t="s">
        <v>403</v>
      </c>
      <c r="C422" s="215" t="s">
        <v>1830</v>
      </c>
      <c r="D422" s="91">
        <v>1</v>
      </c>
      <c r="E422" s="91">
        <v>1</v>
      </c>
      <c r="F422" s="215">
        <v>7</v>
      </c>
      <c r="G422" s="90">
        <v>1</v>
      </c>
      <c r="H422" s="90">
        <v>7</v>
      </c>
      <c r="I422" s="158">
        <v>18</v>
      </c>
    </row>
    <row r="423" spans="1:9" x14ac:dyDescent="0.3">
      <c r="A423" s="169" t="s">
        <v>538</v>
      </c>
      <c r="B423" s="90" t="s">
        <v>403</v>
      </c>
      <c r="C423" s="216" t="s">
        <v>1831</v>
      </c>
      <c r="D423" s="91">
        <v>1</v>
      </c>
      <c r="E423" s="91">
        <v>1</v>
      </c>
      <c r="F423" s="217">
        <v>6.6</v>
      </c>
      <c r="G423" s="90">
        <v>1</v>
      </c>
      <c r="H423" s="90">
        <v>7</v>
      </c>
      <c r="I423" s="158">
        <v>9</v>
      </c>
    </row>
    <row r="424" spans="1:9" x14ac:dyDescent="0.3">
      <c r="A424" s="169" t="s">
        <v>538</v>
      </c>
      <c r="B424" s="90" t="s">
        <v>403</v>
      </c>
      <c r="C424" s="215" t="s">
        <v>1832</v>
      </c>
      <c r="D424" s="91">
        <v>1</v>
      </c>
      <c r="E424" s="91">
        <v>1</v>
      </c>
      <c r="F424" s="215">
        <v>4.5999999999999996</v>
      </c>
      <c r="G424" s="90">
        <v>1</v>
      </c>
      <c r="H424" s="90">
        <v>7</v>
      </c>
      <c r="I424" s="90">
        <v>13</v>
      </c>
    </row>
    <row r="425" spans="1:9" x14ac:dyDescent="0.3">
      <c r="A425" s="169" t="s">
        <v>538</v>
      </c>
      <c r="B425" s="90" t="s">
        <v>403</v>
      </c>
      <c r="C425" s="215" t="s">
        <v>1833</v>
      </c>
      <c r="D425" s="91">
        <v>1</v>
      </c>
      <c r="E425" s="91">
        <v>1</v>
      </c>
      <c r="F425" s="215">
        <v>4.5999999999999996</v>
      </c>
      <c r="G425" s="90">
        <v>1</v>
      </c>
      <c r="H425" s="90">
        <v>7</v>
      </c>
      <c r="I425" s="90">
        <v>13</v>
      </c>
    </row>
    <row r="426" spans="1:9" x14ac:dyDescent="0.3">
      <c r="A426" s="169" t="s">
        <v>538</v>
      </c>
      <c r="B426" s="90" t="s">
        <v>403</v>
      </c>
      <c r="C426" s="215" t="s">
        <v>1834</v>
      </c>
      <c r="D426" s="91">
        <v>1</v>
      </c>
      <c r="E426" s="91">
        <v>1</v>
      </c>
      <c r="F426" s="215">
        <v>4.5999999999999996</v>
      </c>
      <c r="G426" s="90">
        <v>1</v>
      </c>
      <c r="H426" s="90">
        <v>7</v>
      </c>
      <c r="I426" s="90">
        <v>13</v>
      </c>
    </row>
    <row r="427" spans="1:9" x14ac:dyDescent="0.3">
      <c r="A427" s="169" t="s">
        <v>538</v>
      </c>
      <c r="B427" s="90" t="s">
        <v>403</v>
      </c>
      <c r="C427" s="215" t="s">
        <v>1835</v>
      </c>
      <c r="D427" s="91">
        <v>1</v>
      </c>
      <c r="E427" s="91">
        <v>1</v>
      </c>
      <c r="F427" s="215">
        <v>4.5999999999999996</v>
      </c>
      <c r="G427" s="90">
        <v>1</v>
      </c>
      <c r="H427" s="90">
        <v>7</v>
      </c>
      <c r="I427" s="90">
        <v>13</v>
      </c>
    </row>
    <row r="428" spans="1:9" x14ac:dyDescent="0.3">
      <c r="A428" s="169" t="s">
        <v>538</v>
      </c>
      <c r="B428" s="90" t="s">
        <v>403</v>
      </c>
      <c r="C428" s="215" t="s">
        <v>1836</v>
      </c>
      <c r="D428" s="91">
        <v>1</v>
      </c>
      <c r="E428" s="91">
        <v>1</v>
      </c>
      <c r="F428" s="215">
        <v>4.5999999999999996</v>
      </c>
      <c r="G428" s="90">
        <v>1</v>
      </c>
      <c r="H428" s="90">
        <v>7</v>
      </c>
      <c r="I428" s="90">
        <v>13</v>
      </c>
    </row>
    <row r="429" spans="1:9" x14ac:dyDescent="0.3">
      <c r="A429" s="169" t="s">
        <v>538</v>
      </c>
      <c r="B429" s="90" t="s">
        <v>403</v>
      </c>
      <c r="C429" s="215" t="s">
        <v>1837</v>
      </c>
      <c r="D429" s="91">
        <v>1</v>
      </c>
      <c r="E429" s="91">
        <v>1</v>
      </c>
      <c r="F429" s="215">
        <v>4.5999999999999996</v>
      </c>
      <c r="G429" s="90">
        <v>1</v>
      </c>
      <c r="H429" s="90">
        <v>7</v>
      </c>
      <c r="I429" s="90">
        <v>13</v>
      </c>
    </row>
    <row r="430" spans="1:9" x14ac:dyDescent="0.3">
      <c r="A430" s="169" t="s">
        <v>538</v>
      </c>
      <c r="B430" s="90" t="s">
        <v>403</v>
      </c>
      <c r="C430" s="215" t="s">
        <v>1838</v>
      </c>
      <c r="D430" s="91">
        <v>1</v>
      </c>
      <c r="E430" s="91">
        <v>1</v>
      </c>
      <c r="F430" s="215">
        <v>4.5999999999999996</v>
      </c>
      <c r="G430" s="90">
        <v>1</v>
      </c>
      <c r="H430" s="90">
        <v>7</v>
      </c>
      <c r="I430" s="90">
        <v>13</v>
      </c>
    </row>
    <row r="431" spans="1:9" x14ac:dyDescent="0.3">
      <c r="A431" s="169" t="s">
        <v>538</v>
      </c>
      <c r="B431" s="90" t="s">
        <v>403</v>
      </c>
      <c r="C431" s="215" t="s">
        <v>1839</v>
      </c>
      <c r="D431" s="91">
        <v>1</v>
      </c>
      <c r="E431" s="91">
        <v>1</v>
      </c>
      <c r="F431" s="215">
        <v>4.5999999999999996</v>
      </c>
      <c r="G431" s="90">
        <v>1</v>
      </c>
      <c r="H431" s="90">
        <v>7</v>
      </c>
      <c r="I431" s="90">
        <v>13</v>
      </c>
    </row>
    <row r="432" spans="1:9" x14ac:dyDescent="0.3">
      <c r="A432" s="169" t="s">
        <v>538</v>
      </c>
      <c r="B432" s="90" t="s">
        <v>403</v>
      </c>
      <c r="C432" s="215" t="s">
        <v>1840</v>
      </c>
      <c r="D432" s="91">
        <v>1</v>
      </c>
      <c r="E432" s="91">
        <v>1</v>
      </c>
      <c r="F432" s="215">
        <v>4.5999999999999996</v>
      </c>
      <c r="G432" s="90">
        <v>1</v>
      </c>
      <c r="H432" s="90">
        <v>7</v>
      </c>
      <c r="I432" s="90">
        <v>13</v>
      </c>
    </row>
    <row r="433" spans="1:9" x14ac:dyDescent="0.3">
      <c r="A433" s="169" t="s">
        <v>538</v>
      </c>
      <c r="B433" s="90" t="s">
        <v>403</v>
      </c>
      <c r="C433" s="215" t="s">
        <v>1841</v>
      </c>
      <c r="D433" s="91">
        <v>1</v>
      </c>
      <c r="E433" s="91">
        <v>1</v>
      </c>
      <c r="F433" s="215">
        <v>4.5999999999999996</v>
      </c>
      <c r="G433" s="90">
        <v>1</v>
      </c>
      <c r="H433" s="90">
        <v>7</v>
      </c>
      <c r="I433" s="90">
        <v>13</v>
      </c>
    </row>
    <row r="434" spans="1:9" x14ac:dyDescent="0.3">
      <c r="A434" s="169" t="s">
        <v>538</v>
      </c>
      <c r="B434" s="90" t="s">
        <v>403</v>
      </c>
      <c r="C434" s="215" t="s">
        <v>1842</v>
      </c>
      <c r="D434" s="91">
        <v>1</v>
      </c>
      <c r="E434" s="91">
        <v>1</v>
      </c>
      <c r="F434" s="215">
        <v>4.5999999999999996</v>
      </c>
      <c r="G434" s="90">
        <v>1</v>
      </c>
      <c r="H434" s="90">
        <v>7</v>
      </c>
      <c r="I434" s="90">
        <v>13</v>
      </c>
    </row>
    <row r="435" spans="1:9" x14ac:dyDescent="0.3">
      <c r="A435" s="169" t="s">
        <v>538</v>
      </c>
      <c r="B435" s="90" t="s">
        <v>403</v>
      </c>
      <c r="C435" s="215" t="s">
        <v>1709</v>
      </c>
      <c r="D435" s="91">
        <v>1</v>
      </c>
      <c r="E435" s="91">
        <v>1</v>
      </c>
      <c r="F435" s="215">
        <v>6.1</v>
      </c>
      <c r="G435" s="90">
        <v>1</v>
      </c>
      <c r="H435" s="90">
        <v>7</v>
      </c>
      <c r="I435" s="158">
        <v>13</v>
      </c>
    </row>
    <row r="436" spans="1:9" x14ac:dyDescent="0.3">
      <c r="A436" s="169" t="s">
        <v>538</v>
      </c>
      <c r="B436" s="90" t="s">
        <v>403</v>
      </c>
      <c r="C436" s="215" t="s">
        <v>1710</v>
      </c>
      <c r="D436" s="91">
        <v>1</v>
      </c>
      <c r="E436" s="91">
        <v>1</v>
      </c>
      <c r="F436" s="215">
        <v>13.1</v>
      </c>
      <c r="G436" s="90">
        <v>2</v>
      </c>
      <c r="H436" s="90">
        <v>7</v>
      </c>
      <c r="I436" s="158">
        <v>10</v>
      </c>
    </row>
    <row r="437" spans="1:9" x14ac:dyDescent="0.3">
      <c r="A437" s="169" t="s">
        <v>538</v>
      </c>
      <c r="B437" s="90" t="s">
        <v>403</v>
      </c>
      <c r="C437" s="215" t="s">
        <v>1711</v>
      </c>
      <c r="D437" s="91">
        <v>1</v>
      </c>
      <c r="E437" s="91">
        <v>1</v>
      </c>
      <c r="F437" s="215">
        <v>5.0999999999999996</v>
      </c>
      <c r="G437" s="90">
        <v>1</v>
      </c>
      <c r="H437" s="90">
        <v>6</v>
      </c>
      <c r="I437" s="158">
        <v>9</v>
      </c>
    </row>
    <row r="438" spans="1:9" x14ac:dyDescent="0.3">
      <c r="A438" s="169" t="s">
        <v>538</v>
      </c>
      <c r="B438" s="90" t="s">
        <v>403</v>
      </c>
      <c r="C438" s="215" t="s">
        <v>1711</v>
      </c>
      <c r="D438" s="91">
        <v>2</v>
      </c>
      <c r="E438" s="91">
        <v>4</v>
      </c>
      <c r="F438" s="215">
        <v>5.0999999999999996</v>
      </c>
      <c r="G438" s="90">
        <v>1</v>
      </c>
      <c r="H438" s="90">
        <v>6</v>
      </c>
      <c r="I438" s="158">
        <v>9</v>
      </c>
    </row>
    <row r="439" spans="1:9" x14ac:dyDescent="0.3">
      <c r="A439" s="169" t="s">
        <v>538</v>
      </c>
      <c r="B439" s="90" t="s">
        <v>403</v>
      </c>
      <c r="C439" s="215" t="s">
        <v>1711</v>
      </c>
      <c r="D439" s="91">
        <v>5</v>
      </c>
      <c r="E439" s="91">
        <v>999</v>
      </c>
      <c r="F439" s="215">
        <v>5.0999999999999996</v>
      </c>
      <c r="G439" s="90">
        <v>1</v>
      </c>
      <c r="H439" s="90">
        <v>6</v>
      </c>
      <c r="I439" s="158">
        <v>9</v>
      </c>
    </row>
    <row r="440" spans="1:9" x14ac:dyDescent="0.3">
      <c r="A440" s="169" t="s">
        <v>538</v>
      </c>
      <c r="B440" s="90" t="s">
        <v>403</v>
      </c>
      <c r="C440" s="215" t="s">
        <v>1843</v>
      </c>
      <c r="D440" s="91">
        <v>1</v>
      </c>
      <c r="E440" s="91">
        <v>1</v>
      </c>
      <c r="F440" s="215">
        <v>15.5</v>
      </c>
      <c r="G440" s="90">
        <v>2</v>
      </c>
      <c r="H440" s="90">
        <v>7</v>
      </c>
      <c r="I440" s="158">
        <v>18</v>
      </c>
    </row>
    <row r="441" spans="1:9" x14ac:dyDescent="0.3">
      <c r="A441" s="169" t="s">
        <v>538</v>
      </c>
      <c r="B441" s="90" t="s">
        <v>403</v>
      </c>
      <c r="C441" s="215" t="s">
        <v>1844</v>
      </c>
      <c r="D441" s="91">
        <v>1</v>
      </c>
      <c r="E441" s="91">
        <v>1</v>
      </c>
      <c r="F441" s="215">
        <v>19.5</v>
      </c>
      <c r="G441" s="90">
        <v>2</v>
      </c>
      <c r="H441" s="90">
        <v>7</v>
      </c>
      <c r="I441" s="158">
        <v>18</v>
      </c>
    </row>
    <row r="442" spans="1:9" x14ac:dyDescent="0.3">
      <c r="A442" s="169" t="s">
        <v>538</v>
      </c>
      <c r="B442" s="90" t="s">
        <v>403</v>
      </c>
      <c r="C442" s="215" t="s">
        <v>1712</v>
      </c>
      <c r="D442" s="91">
        <v>1</v>
      </c>
      <c r="E442" s="91">
        <v>1</v>
      </c>
      <c r="F442" s="215">
        <v>6.5</v>
      </c>
      <c r="G442" s="90">
        <v>1</v>
      </c>
      <c r="H442" s="90">
        <v>7</v>
      </c>
      <c r="I442" s="158">
        <v>17</v>
      </c>
    </row>
    <row r="443" spans="1:9" x14ac:dyDescent="0.3">
      <c r="A443" s="169" t="s">
        <v>538</v>
      </c>
      <c r="B443" s="90" t="s">
        <v>403</v>
      </c>
      <c r="C443" s="215" t="s">
        <v>1845</v>
      </c>
      <c r="D443" s="91">
        <v>1</v>
      </c>
      <c r="E443" s="91">
        <v>1</v>
      </c>
      <c r="F443" s="215">
        <v>5.0999999999999996</v>
      </c>
      <c r="G443" s="90">
        <v>1</v>
      </c>
      <c r="H443" s="90">
        <v>7</v>
      </c>
      <c r="I443" s="158">
        <v>17</v>
      </c>
    </row>
    <row r="444" spans="1:9" x14ac:dyDescent="0.3">
      <c r="A444" s="169" t="s">
        <v>538</v>
      </c>
      <c r="B444" s="90" t="s">
        <v>403</v>
      </c>
      <c r="C444" s="215" t="s">
        <v>499</v>
      </c>
      <c r="D444" s="91">
        <v>1</v>
      </c>
      <c r="E444" s="91">
        <v>999</v>
      </c>
      <c r="F444" s="215">
        <v>7</v>
      </c>
      <c r="G444" s="90">
        <v>1</v>
      </c>
      <c r="H444" s="90">
        <v>7</v>
      </c>
      <c r="I444" s="158">
        <v>17</v>
      </c>
    </row>
    <row r="445" spans="1:9" x14ac:dyDescent="0.3">
      <c r="A445" s="169" t="s">
        <v>538</v>
      </c>
      <c r="B445" s="90" t="s">
        <v>403</v>
      </c>
      <c r="C445" s="215" t="s">
        <v>1846</v>
      </c>
      <c r="D445" s="91">
        <v>1</v>
      </c>
      <c r="E445" s="91">
        <v>999</v>
      </c>
      <c r="F445" s="215">
        <v>11.5</v>
      </c>
      <c r="G445" s="90">
        <v>2</v>
      </c>
      <c r="H445" s="90">
        <v>7</v>
      </c>
      <c r="I445" s="158">
        <v>15</v>
      </c>
    </row>
    <row r="446" spans="1:9" x14ac:dyDescent="0.3">
      <c r="A446" s="169" t="s">
        <v>538</v>
      </c>
      <c r="B446" s="90" t="s">
        <v>403</v>
      </c>
      <c r="C446" s="216" t="s">
        <v>1847</v>
      </c>
      <c r="D446" s="91">
        <v>1</v>
      </c>
      <c r="E446" s="91">
        <v>999</v>
      </c>
      <c r="F446" s="215">
        <v>6.4</v>
      </c>
      <c r="G446" s="90">
        <v>1</v>
      </c>
      <c r="H446" s="90">
        <v>7</v>
      </c>
      <c r="I446" s="158">
        <v>9</v>
      </c>
    </row>
    <row r="447" spans="1:9" x14ac:dyDescent="0.3">
      <c r="A447" s="169" t="s">
        <v>538</v>
      </c>
      <c r="B447" s="90" t="s">
        <v>403</v>
      </c>
      <c r="C447" s="216" t="s">
        <v>1848</v>
      </c>
      <c r="D447" s="91">
        <v>1</v>
      </c>
      <c r="E447" s="91">
        <v>999</v>
      </c>
      <c r="F447" s="215">
        <v>21.6</v>
      </c>
      <c r="G447" s="90">
        <v>3</v>
      </c>
      <c r="H447" s="90">
        <v>7</v>
      </c>
      <c r="I447" s="158">
        <v>15</v>
      </c>
    </row>
    <row r="448" spans="1:9" x14ac:dyDescent="0.3">
      <c r="A448" s="169" t="s">
        <v>538</v>
      </c>
      <c r="B448" s="90" t="s">
        <v>403</v>
      </c>
      <c r="C448" s="216" t="s">
        <v>1849</v>
      </c>
      <c r="D448" s="91">
        <v>1</v>
      </c>
      <c r="E448" s="91">
        <v>999</v>
      </c>
      <c r="F448" s="215">
        <v>19.399999999999999</v>
      </c>
      <c r="G448" s="90">
        <v>3</v>
      </c>
      <c r="H448" s="90">
        <v>8</v>
      </c>
      <c r="I448" s="158">
        <v>19</v>
      </c>
    </row>
    <row r="449" spans="1:9" x14ac:dyDescent="0.3">
      <c r="A449" s="169" t="s">
        <v>538</v>
      </c>
      <c r="B449" s="90" t="s">
        <v>403</v>
      </c>
      <c r="C449" s="215" t="s">
        <v>501</v>
      </c>
      <c r="D449" s="91">
        <v>1</v>
      </c>
      <c r="E449" s="91">
        <v>999</v>
      </c>
      <c r="F449" s="215">
        <v>9.6999999999999993</v>
      </c>
      <c r="G449" s="90">
        <v>2</v>
      </c>
      <c r="H449" s="90">
        <v>7</v>
      </c>
      <c r="I449" s="158">
        <v>17</v>
      </c>
    </row>
    <row r="450" spans="1:9" x14ac:dyDescent="0.3">
      <c r="A450" s="169" t="s">
        <v>538</v>
      </c>
      <c r="B450" s="90" t="s">
        <v>403</v>
      </c>
      <c r="C450" s="215" t="s">
        <v>503</v>
      </c>
      <c r="D450" s="91">
        <v>1</v>
      </c>
      <c r="E450" s="91">
        <v>1</v>
      </c>
      <c r="F450" s="215">
        <v>8.1</v>
      </c>
      <c r="G450" s="90">
        <v>1</v>
      </c>
      <c r="H450" s="90">
        <v>7</v>
      </c>
      <c r="I450" s="158">
        <v>17</v>
      </c>
    </row>
    <row r="451" spans="1:9" x14ac:dyDescent="0.3">
      <c r="A451" s="169" t="s">
        <v>538</v>
      </c>
      <c r="B451" s="90" t="s">
        <v>403</v>
      </c>
      <c r="C451" s="215" t="s">
        <v>504</v>
      </c>
      <c r="D451" s="91">
        <v>1</v>
      </c>
      <c r="E451" s="91">
        <v>1</v>
      </c>
      <c r="F451" s="215">
        <v>8.1</v>
      </c>
      <c r="G451" s="90">
        <v>1</v>
      </c>
      <c r="H451" s="90">
        <v>7</v>
      </c>
      <c r="I451" s="158">
        <v>17</v>
      </c>
    </row>
    <row r="452" spans="1:9" x14ac:dyDescent="0.3">
      <c r="A452" s="169" t="s">
        <v>538</v>
      </c>
      <c r="B452" s="90" t="s">
        <v>403</v>
      </c>
      <c r="C452" s="215" t="s">
        <v>505</v>
      </c>
      <c r="D452" s="91">
        <v>1</v>
      </c>
      <c r="E452" s="91">
        <v>1</v>
      </c>
      <c r="F452" s="215">
        <v>8.1</v>
      </c>
      <c r="G452" s="90">
        <v>1</v>
      </c>
      <c r="H452" s="90">
        <v>7</v>
      </c>
      <c r="I452" s="158">
        <v>17</v>
      </c>
    </row>
    <row r="453" spans="1:9" x14ac:dyDescent="0.3">
      <c r="A453" s="169" t="s">
        <v>538</v>
      </c>
      <c r="B453" s="90" t="s">
        <v>403</v>
      </c>
      <c r="C453" s="215" t="s">
        <v>506</v>
      </c>
      <c r="D453" s="91">
        <v>1</v>
      </c>
      <c r="E453" s="91">
        <v>1</v>
      </c>
      <c r="F453" s="215">
        <v>8.1</v>
      </c>
      <c r="G453" s="90">
        <v>1</v>
      </c>
      <c r="H453" s="90">
        <v>7</v>
      </c>
      <c r="I453" s="158">
        <v>17</v>
      </c>
    </row>
    <row r="454" spans="1:9" x14ac:dyDescent="0.3">
      <c r="A454" s="169" t="s">
        <v>538</v>
      </c>
      <c r="B454" s="90" t="s">
        <v>403</v>
      </c>
      <c r="C454" s="215" t="s">
        <v>507</v>
      </c>
      <c r="D454" s="91">
        <v>1</v>
      </c>
      <c r="E454" s="91">
        <v>1</v>
      </c>
      <c r="F454" s="215">
        <v>8.1</v>
      </c>
      <c r="G454" s="90">
        <v>1</v>
      </c>
      <c r="H454" s="90">
        <v>7</v>
      </c>
      <c r="I454" s="158">
        <v>17</v>
      </c>
    </row>
    <row r="455" spans="1:9" x14ac:dyDescent="0.3">
      <c r="A455" s="169" t="s">
        <v>538</v>
      </c>
      <c r="B455" s="90" t="s">
        <v>403</v>
      </c>
      <c r="C455" s="215" t="s">
        <v>508</v>
      </c>
      <c r="D455" s="91">
        <v>1</v>
      </c>
      <c r="E455" s="91">
        <v>1</v>
      </c>
      <c r="F455" s="215">
        <v>8.1</v>
      </c>
      <c r="G455" s="90">
        <v>1</v>
      </c>
      <c r="H455" s="90">
        <v>7</v>
      </c>
      <c r="I455" s="158">
        <v>17</v>
      </c>
    </row>
    <row r="456" spans="1:9" x14ac:dyDescent="0.3">
      <c r="A456" s="169" t="s">
        <v>538</v>
      </c>
      <c r="B456" s="90" t="s">
        <v>403</v>
      </c>
      <c r="C456" s="215" t="s">
        <v>509</v>
      </c>
      <c r="D456" s="91">
        <v>1</v>
      </c>
      <c r="E456" s="91">
        <v>1</v>
      </c>
      <c r="F456" s="215">
        <v>8.1</v>
      </c>
      <c r="G456" s="90">
        <v>1</v>
      </c>
      <c r="H456" s="90">
        <v>7</v>
      </c>
      <c r="I456" s="158">
        <v>17</v>
      </c>
    </row>
    <row r="457" spans="1:9" x14ac:dyDescent="0.3">
      <c r="A457" s="169" t="s">
        <v>538</v>
      </c>
      <c r="B457" s="90" t="s">
        <v>403</v>
      </c>
      <c r="C457" s="215" t="s">
        <v>510</v>
      </c>
      <c r="D457" s="91">
        <v>1</v>
      </c>
      <c r="E457" s="91">
        <v>1</v>
      </c>
      <c r="F457" s="215">
        <v>8.1</v>
      </c>
      <c r="G457" s="90">
        <v>1</v>
      </c>
      <c r="H457" s="90">
        <v>7</v>
      </c>
      <c r="I457" s="158">
        <v>17</v>
      </c>
    </row>
    <row r="458" spans="1:9" x14ac:dyDescent="0.3">
      <c r="A458" s="169" t="s">
        <v>538</v>
      </c>
      <c r="B458" s="90" t="s">
        <v>403</v>
      </c>
      <c r="C458" s="215" t="s">
        <v>511</v>
      </c>
      <c r="D458" s="91">
        <v>1</v>
      </c>
      <c r="E458" s="91">
        <v>1</v>
      </c>
      <c r="F458" s="215">
        <v>8.1</v>
      </c>
      <c r="G458" s="90">
        <v>1</v>
      </c>
      <c r="H458" s="90">
        <v>7</v>
      </c>
      <c r="I458" s="158">
        <v>17</v>
      </c>
    </row>
    <row r="459" spans="1:9" x14ac:dyDescent="0.3">
      <c r="A459" s="169" t="s">
        <v>538</v>
      </c>
      <c r="B459" s="90" t="s">
        <v>403</v>
      </c>
      <c r="C459" s="215" t="s">
        <v>1850</v>
      </c>
      <c r="D459" s="91">
        <v>1</v>
      </c>
      <c r="E459" s="91">
        <v>1</v>
      </c>
      <c r="F459" s="215">
        <v>8.1</v>
      </c>
      <c r="G459" s="90">
        <v>1</v>
      </c>
      <c r="H459" s="90">
        <v>7</v>
      </c>
      <c r="I459" s="158">
        <v>17</v>
      </c>
    </row>
    <row r="460" spans="1:9" x14ac:dyDescent="0.3">
      <c r="A460" s="169" t="s">
        <v>538</v>
      </c>
      <c r="B460" s="90" t="s">
        <v>403</v>
      </c>
      <c r="C460" s="215" t="s">
        <v>1851</v>
      </c>
      <c r="D460" s="91">
        <v>1</v>
      </c>
      <c r="E460" s="91">
        <v>1</v>
      </c>
      <c r="F460" s="215">
        <v>8.1</v>
      </c>
      <c r="G460" s="90">
        <v>1</v>
      </c>
      <c r="H460" s="90">
        <v>7</v>
      </c>
      <c r="I460" s="158">
        <v>17</v>
      </c>
    </row>
    <row r="461" spans="1:9" x14ac:dyDescent="0.3">
      <c r="A461" s="169" t="s">
        <v>538</v>
      </c>
      <c r="B461" s="90" t="s">
        <v>403</v>
      </c>
      <c r="C461" s="215" t="s">
        <v>1852</v>
      </c>
      <c r="D461" s="91">
        <v>1</v>
      </c>
      <c r="E461" s="91">
        <v>1</v>
      </c>
      <c r="F461" s="215">
        <v>10</v>
      </c>
      <c r="G461" s="90">
        <v>2</v>
      </c>
      <c r="H461" s="90">
        <v>7</v>
      </c>
      <c r="I461" s="158">
        <v>17</v>
      </c>
    </row>
    <row r="462" spans="1:9" x14ac:dyDescent="0.3">
      <c r="A462" s="169" t="s">
        <v>538</v>
      </c>
      <c r="B462" s="90" t="s">
        <v>403</v>
      </c>
      <c r="C462" s="215" t="s">
        <v>1853</v>
      </c>
      <c r="D462" s="91">
        <v>1</v>
      </c>
      <c r="E462" s="91">
        <v>1</v>
      </c>
      <c r="F462" s="215">
        <v>7.9</v>
      </c>
      <c r="G462" s="90">
        <v>1</v>
      </c>
      <c r="H462" s="90">
        <v>7</v>
      </c>
      <c r="I462" s="158">
        <v>17</v>
      </c>
    </row>
    <row r="463" spans="1:9" x14ac:dyDescent="0.3">
      <c r="A463" s="169" t="s">
        <v>538</v>
      </c>
      <c r="B463" s="90" t="s">
        <v>403</v>
      </c>
      <c r="C463" s="215" t="s">
        <v>1854</v>
      </c>
      <c r="D463" s="91">
        <v>1</v>
      </c>
      <c r="E463" s="91">
        <v>2</v>
      </c>
      <c r="F463" s="215">
        <v>12</v>
      </c>
      <c r="G463" s="90">
        <v>2</v>
      </c>
      <c r="H463" s="91">
        <v>7</v>
      </c>
      <c r="I463" s="91">
        <v>17</v>
      </c>
    </row>
    <row r="464" spans="1:9" x14ac:dyDescent="0.3">
      <c r="A464" s="169" t="s">
        <v>538</v>
      </c>
      <c r="B464" s="90" t="s">
        <v>403</v>
      </c>
      <c r="C464" s="215" t="s">
        <v>1854</v>
      </c>
      <c r="D464" s="91">
        <v>3</v>
      </c>
      <c r="E464" s="91">
        <v>999</v>
      </c>
      <c r="F464" s="215">
        <v>12</v>
      </c>
      <c r="G464" s="90">
        <v>2</v>
      </c>
      <c r="H464" s="91">
        <v>7</v>
      </c>
      <c r="I464" s="91">
        <v>17</v>
      </c>
    </row>
    <row r="465" spans="1:9" x14ac:dyDescent="0.3">
      <c r="A465" s="169" t="s">
        <v>538</v>
      </c>
      <c r="B465" s="90" t="s">
        <v>403</v>
      </c>
      <c r="C465" s="215" t="s">
        <v>1855</v>
      </c>
      <c r="D465" s="91">
        <v>1</v>
      </c>
      <c r="E465" s="91">
        <v>2</v>
      </c>
      <c r="F465" s="215">
        <v>12</v>
      </c>
      <c r="G465" s="90">
        <v>2</v>
      </c>
      <c r="H465" s="91">
        <v>7</v>
      </c>
      <c r="I465" s="91">
        <v>17</v>
      </c>
    </row>
    <row r="466" spans="1:9" x14ac:dyDescent="0.3">
      <c r="A466" s="169" t="s">
        <v>538</v>
      </c>
      <c r="B466" s="90" t="s">
        <v>403</v>
      </c>
      <c r="C466" s="215" t="s">
        <v>1855</v>
      </c>
      <c r="D466" s="91">
        <v>3</v>
      </c>
      <c r="E466" s="91">
        <v>999</v>
      </c>
      <c r="F466" s="215">
        <v>12</v>
      </c>
      <c r="G466" s="90">
        <v>2</v>
      </c>
      <c r="H466" s="91">
        <v>7</v>
      </c>
      <c r="I466" s="91">
        <v>17</v>
      </c>
    </row>
    <row r="467" spans="1:9" x14ac:dyDescent="0.3">
      <c r="A467" s="169" t="s">
        <v>538</v>
      </c>
      <c r="B467" s="90" t="s">
        <v>403</v>
      </c>
      <c r="C467" s="215" t="s">
        <v>1856</v>
      </c>
      <c r="D467" s="91">
        <v>1</v>
      </c>
      <c r="E467" s="91">
        <v>2</v>
      </c>
      <c r="F467" s="216">
        <v>10.6</v>
      </c>
      <c r="G467" s="90">
        <v>2</v>
      </c>
      <c r="H467" s="91">
        <v>7</v>
      </c>
      <c r="I467" s="91">
        <v>17</v>
      </c>
    </row>
    <row r="468" spans="1:9" x14ac:dyDescent="0.3">
      <c r="A468" s="169" t="s">
        <v>538</v>
      </c>
      <c r="B468" s="90" t="s">
        <v>403</v>
      </c>
      <c r="C468" s="215" t="s">
        <v>1856</v>
      </c>
      <c r="D468" s="91">
        <v>3</v>
      </c>
      <c r="E468" s="91">
        <v>999</v>
      </c>
      <c r="F468" s="216">
        <v>10.6</v>
      </c>
      <c r="G468" s="90">
        <v>2</v>
      </c>
      <c r="H468" s="91">
        <v>7</v>
      </c>
      <c r="I468" s="91">
        <v>17</v>
      </c>
    </row>
    <row r="469" spans="1:9" x14ac:dyDescent="0.3">
      <c r="A469" s="169" t="s">
        <v>538</v>
      </c>
      <c r="B469" s="90" t="s">
        <v>403</v>
      </c>
      <c r="C469" s="215" t="s">
        <v>1713</v>
      </c>
      <c r="D469" s="91">
        <v>1</v>
      </c>
      <c r="E469" s="91">
        <v>1</v>
      </c>
      <c r="F469" s="215">
        <v>18.100000000000001</v>
      </c>
      <c r="G469" s="90">
        <v>3</v>
      </c>
      <c r="H469" s="90">
        <v>8</v>
      </c>
      <c r="I469" s="158">
        <v>18</v>
      </c>
    </row>
    <row r="470" spans="1:9" x14ac:dyDescent="0.3">
      <c r="A470" s="169" t="s">
        <v>538</v>
      </c>
      <c r="B470" s="90" t="s">
        <v>403</v>
      </c>
      <c r="C470" s="215" t="s">
        <v>1857</v>
      </c>
      <c r="D470" s="91">
        <v>1</v>
      </c>
      <c r="E470" s="91">
        <v>1</v>
      </c>
      <c r="F470" s="215">
        <v>15.5</v>
      </c>
      <c r="G470" s="90">
        <v>2</v>
      </c>
      <c r="H470" s="90">
        <v>8</v>
      </c>
      <c r="I470" s="158">
        <v>18</v>
      </c>
    </row>
    <row r="471" spans="1:9" x14ac:dyDescent="0.3">
      <c r="A471" s="169" t="s">
        <v>538</v>
      </c>
      <c r="B471" s="90" t="s">
        <v>403</v>
      </c>
      <c r="C471" s="215" t="s">
        <v>1858</v>
      </c>
      <c r="D471" s="91">
        <v>1</v>
      </c>
      <c r="E471" s="91">
        <v>1</v>
      </c>
      <c r="F471" s="215">
        <v>5.9</v>
      </c>
      <c r="G471" s="90">
        <v>1</v>
      </c>
      <c r="H471" s="90">
        <v>7</v>
      </c>
      <c r="I471" s="158">
        <v>17</v>
      </c>
    </row>
    <row r="472" spans="1:9" x14ac:dyDescent="0.3">
      <c r="A472" s="169" t="s">
        <v>538</v>
      </c>
      <c r="B472" s="90" t="s">
        <v>403</v>
      </c>
      <c r="C472" s="215" t="s">
        <v>1859</v>
      </c>
      <c r="D472" s="91">
        <v>1</v>
      </c>
      <c r="E472" s="91">
        <v>1</v>
      </c>
      <c r="F472" s="215">
        <v>5.9</v>
      </c>
      <c r="G472" s="90">
        <v>1</v>
      </c>
      <c r="H472" s="90">
        <v>7</v>
      </c>
      <c r="I472" s="158">
        <v>17</v>
      </c>
    </row>
    <row r="473" spans="1:9" x14ac:dyDescent="0.3">
      <c r="A473" s="169" t="s">
        <v>538</v>
      </c>
      <c r="B473" s="90" t="s">
        <v>403</v>
      </c>
      <c r="C473" s="215" t="s">
        <v>1860</v>
      </c>
      <c r="D473" s="91">
        <v>1</v>
      </c>
      <c r="E473" s="91">
        <v>1</v>
      </c>
      <c r="F473" s="215">
        <v>5.9</v>
      </c>
      <c r="G473" s="90">
        <v>1</v>
      </c>
      <c r="H473" s="90">
        <v>7</v>
      </c>
      <c r="I473" s="158">
        <v>17</v>
      </c>
    </row>
    <row r="474" spans="1:9" x14ac:dyDescent="0.3">
      <c r="A474" s="169" t="s">
        <v>538</v>
      </c>
      <c r="B474" s="90" t="s">
        <v>403</v>
      </c>
      <c r="C474" s="215" t="s">
        <v>1861</v>
      </c>
      <c r="D474" s="91">
        <v>1</v>
      </c>
      <c r="E474" s="91">
        <v>1</v>
      </c>
      <c r="F474" s="215">
        <v>5.9</v>
      </c>
      <c r="G474" s="90">
        <v>1</v>
      </c>
      <c r="H474" s="90">
        <v>7</v>
      </c>
      <c r="I474" s="158">
        <v>17</v>
      </c>
    </row>
    <row r="475" spans="1:9" x14ac:dyDescent="0.3">
      <c r="A475" s="169" t="s">
        <v>538</v>
      </c>
      <c r="B475" s="90" t="s">
        <v>403</v>
      </c>
      <c r="C475" s="215" t="s">
        <v>1862</v>
      </c>
      <c r="D475" s="91">
        <v>1</v>
      </c>
      <c r="E475" s="91">
        <v>1</v>
      </c>
      <c r="F475" s="215">
        <v>5.9</v>
      </c>
      <c r="G475" s="90">
        <v>1</v>
      </c>
      <c r="H475" s="90">
        <v>7</v>
      </c>
      <c r="I475" s="158">
        <v>17</v>
      </c>
    </row>
    <row r="476" spans="1:9" x14ac:dyDescent="0.3">
      <c r="A476" s="169" t="s">
        <v>538</v>
      </c>
      <c r="B476" s="90" t="s">
        <v>403</v>
      </c>
      <c r="C476" s="215" t="s">
        <v>1863</v>
      </c>
      <c r="D476" s="91">
        <v>1</v>
      </c>
      <c r="E476" s="91">
        <v>1</v>
      </c>
      <c r="F476" s="215">
        <v>5.9</v>
      </c>
      <c r="G476" s="90">
        <v>1</v>
      </c>
      <c r="H476" s="90">
        <v>7</v>
      </c>
      <c r="I476" s="158">
        <v>17</v>
      </c>
    </row>
    <row r="477" spans="1:9" x14ac:dyDescent="0.3">
      <c r="A477" s="169" t="s">
        <v>538</v>
      </c>
      <c r="B477" s="90" t="s">
        <v>403</v>
      </c>
      <c r="C477" s="215" t="s">
        <v>1864</v>
      </c>
      <c r="D477" s="91">
        <v>1</v>
      </c>
      <c r="E477" s="91">
        <v>1</v>
      </c>
      <c r="F477" s="215">
        <v>5.9</v>
      </c>
      <c r="G477" s="90">
        <v>1</v>
      </c>
      <c r="H477" s="90">
        <v>7</v>
      </c>
      <c r="I477" s="158">
        <v>17</v>
      </c>
    </row>
    <row r="478" spans="1:9" x14ac:dyDescent="0.3">
      <c r="A478" s="169" t="s">
        <v>538</v>
      </c>
      <c r="B478" s="90" t="s">
        <v>403</v>
      </c>
      <c r="C478" s="215" t="s">
        <v>1865</v>
      </c>
      <c r="D478" s="91">
        <v>1</v>
      </c>
      <c r="E478" s="91">
        <v>1</v>
      </c>
      <c r="F478" s="215">
        <v>5.9</v>
      </c>
      <c r="G478" s="90">
        <v>1</v>
      </c>
      <c r="H478" s="90">
        <v>7</v>
      </c>
      <c r="I478" s="158">
        <v>17</v>
      </c>
    </row>
    <row r="479" spans="1:9" x14ac:dyDescent="0.3">
      <c r="A479" s="169" t="s">
        <v>538</v>
      </c>
      <c r="B479" s="90" t="s">
        <v>403</v>
      </c>
      <c r="C479" s="215" t="s">
        <v>1866</v>
      </c>
      <c r="D479" s="91">
        <v>1</v>
      </c>
      <c r="E479" s="91">
        <v>1</v>
      </c>
      <c r="F479" s="215">
        <v>5.9</v>
      </c>
      <c r="G479" s="90">
        <v>1</v>
      </c>
      <c r="H479" s="90">
        <v>7</v>
      </c>
      <c r="I479" s="158">
        <v>17</v>
      </c>
    </row>
    <row r="480" spans="1:9" x14ac:dyDescent="0.3">
      <c r="A480" s="169" t="s">
        <v>538</v>
      </c>
      <c r="B480" s="90" t="s">
        <v>403</v>
      </c>
      <c r="C480" s="215" t="s">
        <v>1867</v>
      </c>
      <c r="D480" s="91">
        <v>1</v>
      </c>
      <c r="E480" s="91">
        <v>1</v>
      </c>
      <c r="F480" s="215">
        <v>5.9</v>
      </c>
      <c r="G480" s="90">
        <v>1</v>
      </c>
      <c r="H480" s="90">
        <v>7</v>
      </c>
      <c r="I480" s="158">
        <v>17</v>
      </c>
    </row>
    <row r="481" spans="1:9" x14ac:dyDescent="0.3">
      <c r="A481" s="169" t="s">
        <v>538</v>
      </c>
      <c r="B481" s="90" t="s">
        <v>403</v>
      </c>
      <c r="C481" s="215" t="s">
        <v>1868</v>
      </c>
      <c r="D481" s="91">
        <v>1</v>
      </c>
      <c r="E481" s="91">
        <v>1</v>
      </c>
      <c r="F481" s="215">
        <v>5.9</v>
      </c>
      <c r="G481" s="90">
        <v>1</v>
      </c>
      <c r="H481" s="90">
        <v>7</v>
      </c>
      <c r="I481" s="158">
        <v>17</v>
      </c>
    </row>
    <row r="482" spans="1:9" x14ac:dyDescent="0.3">
      <c r="A482" s="169" t="s">
        <v>538</v>
      </c>
      <c r="B482" s="90" t="s">
        <v>403</v>
      </c>
      <c r="C482" s="215" t="s">
        <v>1869</v>
      </c>
      <c r="D482" s="91">
        <v>1</v>
      </c>
      <c r="E482" s="91">
        <v>1</v>
      </c>
      <c r="F482" s="216">
        <v>7.4</v>
      </c>
      <c r="G482" s="90">
        <v>1</v>
      </c>
      <c r="H482" s="90">
        <v>7</v>
      </c>
      <c r="I482" s="158">
        <v>17</v>
      </c>
    </row>
    <row r="483" spans="1:9" x14ac:dyDescent="0.3">
      <c r="A483" s="169" t="s">
        <v>538</v>
      </c>
      <c r="B483" s="90" t="s">
        <v>403</v>
      </c>
      <c r="C483" s="215" t="s">
        <v>1870</v>
      </c>
      <c r="D483" s="91">
        <v>1</v>
      </c>
      <c r="E483" s="91">
        <v>1</v>
      </c>
      <c r="F483" s="216">
        <v>7.4</v>
      </c>
      <c r="G483" s="90">
        <v>1</v>
      </c>
      <c r="H483" s="90">
        <v>7</v>
      </c>
      <c r="I483" s="158">
        <v>17</v>
      </c>
    </row>
    <row r="484" spans="1:9" x14ac:dyDescent="0.3">
      <c r="A484" s="169" t="s">
        <v>538</v>
      </c>
      <c r="B484" s="90" t="s">
        <v>403</v>
      </c>
      <c r="C484" s="215" t="s">
        <v>1871</v>
      </c>
      <c r="D484" s="91">
        <v>1</v>
      </c>
      <c r="E484" s="91">
        <v>1</v>
      </c>
      <c r="F484" s="216">
        <v>7.4</v>
      </c>
      <c r="G484" s="90">
        <v>1</v>
      </c>
      <c r="H484" s="90">
        <v>7</v>
      </c>
      <c r="I484" s="158">
        <v>17</v>
      </c>
    </row>
    <row r="485" spans="1:9" x14ac:dyDescent="0.3">
      <c r="A485" s="169" t="s">
        <v>538</v>
      </c>
      <c r="B485" s="90" t="s">
        <v>403</v>
      </c>
      <c r="C485" s="215" t="s">
        <v>1872</v>
      </c>
      <c r="D485" s="91">
        <v>1</v>
      </c>
      <c r="E485" s="91">
        <v>1</v>
      </c>
      <c r="F485" s="216">
        <v>7.4</v>
      </c>
      <c r="G485" s="90">
        <v>1</v>
      </c>
      <c r="H485" s="90">
        <v>7</v>
      </c>
      <c r="I485" s="158">
        <v>17</v>
      </c>
    </row>
    <row r="486" spans="1:9" x14ac:dyDescent="0.3">
      <c r="A486" s="169" t="s">
        <v>538</v>
      </c>
      <c r="B486" s="90" t="s">
        <v>403</v>
      </c>
      <c r="C486" s="215" t="s">
        <v>1873</v>
      </c>
      <c r="D486" s="91">
        <v>1</v>
      </c>
      <c r="E486" s="91">
        <v>1</v>
      </c>
      <c r="F486" s="216">
        <v>7.4</v>
      </c>
      <c r="G486" s="90">
        <v>1</v>
      </c>
      <c r="H486" s="90">
        <v>7</v>
      </c>
      <c r="I486" s="158">
        <v>17</v>
      </c>
    </row>
    <row r="487" spans="1:9" x14ac:dyDescent="0.3">
      <c r="A487" s="169" t="s">
        <v>538</v>
      </c>
      <c r="B487" s="90" t="s">
        <v>403</v>
      </c>
      <c r="C487" s="215" t="s">
        <v>1874</v>
      </c>
      <c r="D487" s="91">
        <v>1</v>
      </c>
      <c r="E487" s="91">
        <v>1</v>
      </c>
      <c r="F487" s="216">
        <v>7.4</v>
      </c>
      <c r="G487" s="90">
        <v>1</v>
      </c>
      <c r="H487" s="90">
        <v>7</v>
      </c>
      <c r="I487" s="158">
        <v>17</v>
      </c>
    </row>
    <row r="488" spans="1:9" x14ac:dyDescent="0.3">
      <c r="A488" s="169" t="s">
        <v>538</v>
      </c>
      <c r="B488" s="90" t="s">
        <v>403</v>
      </c>
      <c r="C488" s="215" t="s">
        <v>1875</v>
      </c>
      <c r="D488" s="91">
        <v>1</v>
      </c>
      <c r="E488" s="91">
        <v>1</v>
      </c>
      <c r="F488" s="216">
        <v>7.4</v>
      </c>
      <c r="G488" s="90">
        <v>1</v>
      </c>
      <c r="H488" s="90">
        <v>7</v>
      </c>
      <c r="I488" s="158">
        <v>17</v>
      </c>
    </row>
    <row r="489" spans="1:9" x14ac:dyDescent="0.3">
      <c r="A489" s="169" t="s">
        <v>538</v>
      </c>
      <c r="B489" s="90" t="s">
        <v>403</v>
      </c>
      <c r="C489" s="215" t="s">
        <v>1876</v>
      </c>
      <c r="D489" s="91">
        <v>1</v>
      </c>
      <c r="E489" s="91">
        <v>1</v>
      </c>
      <c r="F489" s="216">
        <v>7.4</v>
      </c>
      <c r="G489" s="90">
        <v>1</v>
      </c>
      <c r="H489" s="90">
        <v>7</v>
      </c>
      <c r="I489" s="158">
        <v>17</v>
      </c>
    </row>
    <row r="490" spans="1:9" x14ac:dyDescent="0.3">
      <c r="A490" s="169" t="s">
        <v>538</v>
      </c>
      <c r="B490" s="90" t="s">
        <v>403</v>
      </c>
      <c r="C490" s="215" t="s">
        <v>1877</v>
      </c>
      <c r="D490" s="91">
        <v>1</v>
      </c>
      <c r="E490" s="91">
        <v>1</v>
      </c>
      <c r="F490" s="216">
        <v>7.4</v>
      </c>
      <c r="G490" s="90">
        <v>1</v>
      </c>
      <c r="H490" s="90">
        <v>7</v>
      </c>
      <c r="I490" s="158">
        <v>17</v>
      </c>
    </row>
    <row r="491" spans="1:9" x14ac:dyDescent="0.3">
      <c r="A491" s="169" t="s">
        <v>538</v>
      </c>
      <c r="B491" s="90" t="s">
        <v>403</v>
      </c>
      <c r="C491" s="215" t="s">
        <v>1878</v>
      </c>
      <c r="D491" s="91">
        <v>1</v>
      </c>
      <c r="E491" s="91">
        <v>1</v>
      </c>
      <c r="F491" s="216">
        <v>7.4</v>
      </c>
      <c r="G491" s="90">
        <v>1</v>
      </c>
      <c r="H491" s="90">
        <v>7</v>
      </c>
      <c r="I491" s="158">
        <v>17</v>
      </c>
    </row>
    <row r="492" spans="1:9" x14ac:dyDescent="0.3">
      <c r="A492" s="169" t="s">
        <v>538</v>
      </c>
      <c r="B492" s="90" t="s">
        <v>403</v>
      </c>
      <c r="C492" s="215" t="s">
        <v>1879</v>
      </c>
      <c r="D492" s="91">
        <v>1</v>
      </c>
      <c r="E492" s="91">
        <v>1</v>
      </c>
      <c r="F492" s="216">
        <v>7.4</v>
      </c>
      <c r="G492" s="90">
        <v>1</v>
      </c>
      <c r="H492" s="90">
        <v>7</v>
      </c>
      <c r="I492" s="158">
        <v>17</v>
      </c>
    </row>
    <row r="493" spans="1:9" x14ac:dyDescent="0.3">
      <c r="A493" s="169" t="s">
        <v>538</v>
      </c>
      <c r="B493" s="90" t="s">
        <v>403</v>
      </c>
      <c r="C493" s="216" t="s">
        <v>1880</v>
      </c>
      <c r="D493" s="91">
        <v>1</v>
      </c>
      <c r="E493" s="91">
        <v>1</v>
      </c>
      <c r="F493" s="216">
        <v>2.1</v>
      </c>
      <c r="G493" s="90">
        <v>1</v>
      </c>
      <c r="H493" s="90">
        <v>6</v>
      </c>
      <c r="I493" s="158">
        <v>17</v>
      </c>
    </row>
    <row r="494" spans="1:9" x14ac:dyDescent="0.3">
      <c r="A494" s="169" t="s">
        <v>538</v>
      </c>
      <c r="B494" s="90" t="s">
        <v>403</v>
      </c>
      <c r="C494" s="215" t="s">
        <v>1881</v>
      </c>
      <c r="D494" s="91">
        <v>1</v>
      </c>
      <c r="E494" s="91">
        <v>1</v>
      </c>
      <c r="F494" s="216">
        <v>13.3</v>
      </c>
      <c r="G494" s="90">
        <v>2</v>
      </c>
      <c r="H494" s="90">
        <v>7</v>
      </c>
      <c r="I494" s="158">
        <v>17</v>
      </c>
    </row>
    <row r="495" spans="1:9" x14ac:dyDescent="0.3">
      <c r="A495" s="169" t="s">
        <v>538</v>
      </c>
      <c r="B495" s="90" t="s">
        <v>403</v>
      </c>
      <c r="C495" s="215" t="s">
        <v>1882</v>
      </c>
      <c r="D495" s="91">
        <v>1</v>
      </c>
      <c r="E495" s="91">
        <v>1</v>
      </c>
      <c r="F495" s="216">
        <v>13.3</v>
      </c>
      <c r="G495" s="90">
        <v>2</v>
      </c>
      <c r="H495" s="90">
        <v>7</v>
      </c>
      <c r="I495" s="158">
        <v>17</v>
      </c>
    </row>
    <row r="496" spans="1:9" x14ac:dyDescent="0.3">
      <c r="A496" s="169" t="s">
        <v>538</v>
      </c>
      <c r="B496" s="90" t="s">
        <v>403</v>
      </c>
      <c r="C496" s="215" t="s">
        <v>1883</v>
      </c>
      <c r="D496" s="91">
        <v>1</v>
      </c>
      <c r="E496" s="91">
        <v>1</v>
      </c>
      <c r="F496" s="216">
        <v>13.3</v>
      </c>
      <c r="G496" s="90">
        <v>2</v>
      </c>
      <c r="H496" s="90">
        <v>7</v>
      </c>
      <c r="I496" s="158">
        <v>17</v>
      </c>
    </row>
    <row r="497" spans="1:9" x14ac:dyDescent="0.3">
      <c r="A497" s="169" t="s">
        <v>538</v>
      </c>
      <c r="B497" s="90" t="s">
        <v>403</v>
      </c>
      <c r="C497" s="215" t="s">
        <v>1884</v>
      </c>
      <c r="D497" s="91">
        <v>1</v>
      </c>
      <c r="E497" s="91">
        <v>1</v>
      </c>
      <c r="F497" s="216">
        <v>13.3</v>
      </c>
      <c r="G497" s="90">
        <v>2</v>
      </c>
      <c r="H497" s="90">
        <v>7</v>
      </c>
      <c r="I497" s="158">
        <v>17</v>
      </c>
    </row>
    <row r="498" spans="1:9" x14ac:dyDescent="0.3">
      <c r="A498" s="169" t="s">
        <v>538</v>
      </c>
      <c r="B498" s="90" t="s">
        <v>403</v>
      </c>
      <c r="C498" s="215" t="s">
        <v>1885</v>
      </c>
      <c r="D498" s="91">
        <v>1</v>
      </c>
      <c r="E498" s="91">
        <v>1</v>
      </c>
      <c r="F498" s="216">
        <v>13.3</v>
      </c>
      <c r="G498" s="90">
        <v>2</v>
      </c>
      <c r="H498" s="90">
        <v>7</v>
      </c>
      <c r="I498" s="158">
        <v>17</v>
      </c>
    </row>
    <row r="499" spans="1:9" x14ac:dyDescent="0.3">
      <c r="A499" s="169" t="s">
        <v>538</v>
      </c>
      <c r="B499" s="90" t="s">
        <v>403</v>
      </c>
      <c r="C499" s="215" t="s">
        <v>1886</v>
      </c>
      <c r="D499" s="91">
        <v>1</v>
      </c>
      <c r="E499" s="91">
        <v>1</v>
      </c>
      <c r="F499" s="216">
        <v>13.3</v>
      </c>
      <c r="G499" s="90">
        <v>2</v>
      </c>
      <c r="H499" s="90">
        <v>7</v>
      </c>
      <c r="I499" s="158">
        <v>17</v>
      </c>
    </row>
    <row r="500" spans="1:9" x14ac:dyDescent="0.3">
      <c r="A500" s="169" t="s">
        <v>538</v>
      </c>
      <c r="B500" s="90" t="s">
        <v>403</v>
      </c>
      <c r="C500" s="215" t="s">
        <v>1887</v>
      </c>
      <c r="D500" s="91">
        <v>1</v>
      </c>
      <c r="E500" s="91">
        <v>1</v>
      </c>
      <c r="F500" s="216">
        <v>13.3</v>
      </c>
      <c r="G500" s="90">
        <v>2</v>
      </c>
      <c r="H500" s="90">
        <v>7</v>
      </c>
      <c r="I500" s="158">
        <v>17</v>
      </c>
    </row>
    <row r="501" spans="1:9" x14ac:dyDescent="0.3">
      <c r="A501" s="169" t="s">
        <v>538</v>
      </c>
      <c r="B501" s="90" t="s">
        <v>403</v>
      </c>
      <c r="C501" s="215" t="s">
        <v>1888</v>
      </c>
      <c r="D501" s="91">
        <v>1</v>
      </c>
      <c r="E501" s="91">
        <v>1</v>
      </c>
      <c r="F501" s="216">
        <v>13.3</v>
      </c>
      <c r="G501" s="90">
        <v>2</v>
      </c>
      <c r="H501" s="90">
        <v>7</v>
      </c>
      <c r="I501" s="158">
        <v>17</v>
      </c>
    </row>
    <row r="502" spans="1:9" x14ac:dyDescent="0.3">
      <c r="A502" s="169" t="s">
        <v>538</v>
      </c>
      <c r="B502" s="90" t="s">
        <v>403</v>
      </c>
      <c r="C502" s="215" t="s">
        <v>1889</v>
      </c>
      <c r="D502" s="91">
        <v>1</v>
      </c>
      <c r="E502" s="91">
        <v>1</v>
      </c>
      <c r="F502" s="216">
        <v>13.3</v>
      </c>
      <c r="G502" s="90">
        <v>2</v>
      </c>
      <c r="H502" s="90">
        <v>7</v>
      </c>
      <c r="I502" s="158">
        <v>17</v>
      </c>
    </row>
    <row r="503" spans="1:9" x14ac:dyDescent="0.3">
      <c r="A503" s="169" t="s">
        <v>538</v>
      </c>
      <c r="B503" s="90" t="s">
        <v>403</v>
      </c>
      <c r="C503" s="215" t="s">
        <v>1890</v>
      </c>
      <c r="D503" s="91">
        <v>1</v>
      </c>
      <c r="E503" s="91">
        <v>1</v>
      </c>
      <c r="F503" s="216">
        <v>13.3</v>
      </c>
      <c r="G503" s="90">
        <v>2</v>
      </c>
      <c r="H503" s="90">
        <v>7</v>
      </c>
      <c r="I503" s="158">
        <v>17</v>
      </c>
    </row>
    <row r="504" spans="1:9" x14ac:dyDescent="0.3">
      <c r="A504" s="169" t="s">
        <v>538</v>
      </c>
      <c r="B504" s="90" t="s">
        <v>403</v>
      </c>
      <c r="C504" s="215" t="s">
        <v>1891</v>
      </c>
      <c r="D504" s="91">
        <v>1</v>
      </c>
      <c r="E504" s="91">
        <v>1</v>
      </c>
      <c r="F504" s="216">
        <v>13.3</v>
      </c>
      <c r="G504" s="90">
        <v>2</v>
      </c>
      <c r="H504" s="90">
        <v>7</v>
      </c>
      <c r="I504" s="158">
        <v>17</v>
      </c>
    </row>
    <row r="505" spans="1:9" x14ac:dyDescent="0.3">
      <c r="A505" s="169" t="s">
        <v>538</v>
      </c>
      <c r="B505" s="90" t="s">
        <v>403</v>
      </c>
      <c r="C505" s="215" t="s">
        <v>1892</v>
      </c>
      <c r="D505" s="91">
        <v>1</v>
      </c>
      <c r="E505" s="91">
        <v>1</v>
      </c>
      <c r="F505" s="216">
        <v>6.8</v>
      </c>
      <c r="G505" s="90">
        <v>1</v>
      </c>
      <c r="H505" s="90">
        <v>7</v>
      </c>
      <c r="I505" s="158">
        <v>17</v>
      </c>
    </row>
    <row r="506" spans="1:9" x14ac:dyDescent="0.3">
      <c r="A506" s="169" t="s">
        <v>538</v>
      </c>
      <c r="B506" s="90" t="s">
        <v>403</v>
      </c>
      <c r="C506" s="215" t="s">
        <v>1893</v>
      </c>
      <c r="D506" s="91">
        <v>1</v>
      </c>
      <c r="E506" s="91">
        <v>1</v>
      </c>
      <c r="F506" s="216">
        <v>6.8</v>
      </c>
      <c r="G506" s="90">
        <v>1</v>
      </c>
      <c r="H506" s="90">
        <v>7</v>
      </c>
      <c r="I506" s="158">
        <v>17</v>
      </c>
    </row>
    <row r="507" spans="1:9" x14ac:dyDescent="0.3">
      <c r="A507" s="169" t="s">
        <v>538</v>
      </c>
      <c r="B507" s="90" t="s">
        <v>403</v>
      </c>
      <c r="C507" s="215" t="s">
        <v>1894</v>
      </c>
      <c r="D507" s="91">
        <v>1</v>
      </c>
      <c r="E507" s="91">
        <v>1</v>
      </c>
      <c r="F507" s="216">
        <v>6.8</v>
      </c>
      <c r="G507" s="90">
        <v>1</v>
      </c>
      <c r="H507" s="90">
        <v>7</v>
      </c>
      <c r="I507" s="158">
        <v>17</v>
      </c>
    </row>
    <row r="508" spans="1:9" x14ac:dyDescent="0.3">
      <c r="A508" s="169" t="s">
        <v>538</v>
      </c>
      <c r="B508" s="90" t="s">
        <v>403</v>
      </c>
      <c r="C508" s="215" t="s">
        <v>1895</v>
      </c>
      <c r="D508" s="91">
        <v>1</v>
      </c>
      <c r="E508" s="91">
        <v>1</v>
      </c>
      <c r="F508" s="216">
        <v>6.8</v>
      </c>
      <c r="G508" s="90">
        <v>1</v>
      </c>
      <c r="H508" s="90">
        <v>7</v>
      </c>
      <c r="I508" s="158">
        <v>17</v>
      </c>
    </row>
    <row r="509" spans="1:9" x14ac:dyDescent="0.3">
      <c r="A509" s="169" t="s">
        <v>538</v>
      </c>
      <c r="B509" s="90" t="s">
        <v>403</v>
      </c>
      <c r="C509" s="215" t="s">
        <v>1896</v>
      </c>
      <c r="D509" s="91">
        <v>1</v>
      </c>
      <c r="E509" s="91">
        <v>1</v>
      </c>
      <c r="F509" s="216">
        <v>6.8</v>
      </c>
      <c r="G509" s="90">
        <v>1</v>
      </c>
      <c r="H509" s="90">
        <v>7</v>
      </c>
      <c r="I509" s="158">
        <v>17</v>
      </c>
    </row>
    <row r="510" spans="1:9" x14ac:dyDescent="0.3">
      <c r="A510" s="169" t="s">
        <v>538</v>
      </c>
      <c r="B510" s="90" t="s">
        <v>403</v>
      </c>
      <c r="C510" s="215" t="s">
        <v>1897</v>
      </c>
      <c r="D510" s="91">
        <v>1</v>
      </c>
      <c r="E510" s="91">
        <v>1</v>
      </c>
      <c r="F510" s="216">
        <v>6.8</v>
      </c>
      <c r="G510" s="90">
        <v>1</v>
      </c>
      <c r="H510" s="90">
        <v>7</v>
      </c>
      <c r="I510" s="158">
        <v>17</v>
      </c>
    </row>
    <row r="511" spans="1:9" x14ac:dyDescent="0.3">
      <c r="A511" s="169" t="s">
        <v>538</v>
      </c>
      <c r="B511" s="90" t="s">
        <v>403</v>
      </c>
      <c r="C511" s="215" t="s">
        <v>1898</v>
      </c>
      <c r="D511" s="91">
        <v>1</v>
      </c>
      <c r="E511" s="91">
        <v>1</v>
      </c>
      <c r="F511" s="216">
        <v>6.8</v>
      </c>
      <c r="G511" s="90">
        <v>1</v>
      </c>
      <c r="H511" s="90">
        <v>7</v>
      </c>
      <c r="I511" s="158">
        <v>17</v>
      </c>
    </row>
    <row r="512" spans="1:9" x14ac:dyDescent="0.3">
      <c r="A512" s="169" t="s">
        <v>538</v>
      </c>
      <c r="B512" s="90" t="s">
        <v>403</v>
      </c>
      <c r="C512" s="215" t="s">
        <v>1899</v>
      </c>
      <c r="D512" s="91">
        <v>1</v>
      </c>
      <c r="E512" s="91">
        <v>1</v>
      </c>
      <c r="F512" s="216">
        <v>6.8</v>
      </c>
      <c r="G512" s="90">
        <v>1</v>
      </c>
      <c r="H512" s="90">
        <v>7</v>
      </c>
      <c r="I512" s="158">
        <v>17</v>
      </c>
    </row>
    <row r="513" spans="1:9" x14ac:dyDescent="0.3">
      <c r="A513" s="169" t="s">
        <v>538</v>
      </c>
      <c r="B513" s="90" t="s">
        <v>403</v>
      </c>
      <c r="C513" s="215" t="s">
        <v>1900</v>
      </c>
      <c r="D513" s="91">
        <v>1</v>
      </c>
      <c r="E513" s="91">
        <v>1</v>
      </c>
      <c r="F513" s="216">
        <v>6.8</v>
      </c>
      <c r="G513" s="90">
        <v>1</v>
      </c>
      <c r="H513" s="90">
        <v>7</v>
      </c>
      <c r="I513" s="158">
        <v>17</v>
      </c>
    </row>
    <row r="514" spans="1:9" x14ac:dyDescent="0.3">
      <c r="A514" s="169" t="s">
        <v>538</v>
      </c>
      <c r="B514" s="90" t="s">
        <v>403</v>
      </c>
      <c r="C514" s="215" t="s">
        <v>1901</v>
      </c>
      <c r="D514" s="91">
        <v>1</v>
      </c>
      <c r="E514" s="91">
        <v>1</v>
      </c>
      <c r="F514" s="216">
        <v>6.8</v>
      </c>
      <c r="G514" s="90">
        <v>1</v>
      </c>
      <c r="H514" s="90">
        <v>7</v>
      </c>
      <c r="I514" s="158">
        <v>17</v>
      </c>
    </row>
    <row r="515" spans="1:9" x14ac:dyDescent="0.3">
      <c r="A515" s="169" t="s">
        <v>538</v>
      </c>
      <c r="B515" s="90" t="s">
        <v>403</v>
      </c>
      <c r="C515" s="215" t="s">
        <v>1903</v>
      </c>
      <c r="D515" s="91">
        <v>1</v>
      </c>
      <c r="E515" s="91">
        <v>1</v>
      </c>
      <c r="F515" s="216">
        <v>6.8</v>
      </c>
      <c r="G515" s="90">
        <v>1</v>
      </c>
      <c r="H515" s="90">
        <v>7</v>
      </c>
      <c r="I515" s="158">
        <v>17</v>
      </c>
    </row>
    <row r="516" spans="1:9" x14ac:dyDescent="0.3">
      <c r="A516" s="169" t="s">
        <v>538</v>
      </c>
      <c r="B516" s="90" t="s">
        <v>403</v>
      </c>
      <c r="C516" s="215" t="s">
        <v>1902</v>
      </c>
      <c r="D516" s="91">
        <v>1</v>
      </c>
      <c r="E516" s="91">
        <v>1</v>
      </c>
      <c r="F516" s="216">
        <v>6.8</v>
      </c>
      <c r="G516" s="90">
        <v>1</v>
      </c>
      <c r="H516" s="90">
        <v>7</v>
      </c>
      <c r="I516" s="158">
        <v>17</v>
      </c>
    </row>
    <row r="517" spans="1:9" x14ac:dyDescent="0.3">
      <c r="A517" s="169" t="s">
        <v>538</v>
      </c>
      <c r="B517" s="90" t="s">
        <v>403</v>
      </c>
      <c r="C517" s="215" t="s">
        <v>1904</v>
      </c>
      <c r="D517" s="91">
        <v>1</v>
      </c>
      <c r="E517" s="91">
        <v>1</v>
      </c>
      <c r="F517" s="216">
        <v>6.8</v>
      </c>
      <c r="G517" s="90">
        <v>1</v>
      </c>
      <c r="H517" s="90">
        <v>7</v>
      </c>
      <c r="I517" s="158">
        <v>17</v>
      </c>
    </row>
    <row r="518" spans="1:9" x14ac:dyDescent="0.3">
      <c r="A518" s="169" t="s">
        <v>538</v>
      </c>
      <c r="B518" s="90" t="s">
        <v>403</v>
      </c>
      <c r="C518" s="215" t="s">
        <v>1905</v>
      </c>
      <c r="D518" s="91">
        <v>1</v>
      </c>
      <c r="E518" s="91">
        <v>1</v>
      </c>
      <c r="F518" s="216">
        <v>6.8</v>
      </c>
      <c r="G518" s="90">
        <v>1</v>
      </c>
      <c r="H518" s="90">
        <v>7</v>
      </c>
      <c r="I518" s="158">
        <v>17</v>
      </c>
    </row>
    <row r="519" spans="1:9" x14ac:dyDescent="0.3">
      <c r="A519" s="169" t="s">
        <v>538</v>
      </c>
      <c r="B519" s="90" t="s">
        <v>403</v>
      </c>
      <c r="C519" s="215" t="s">
        <v>1906</v>
      </c>
      <c r="D519" s="91">
        <v>1</v>
      </c>
      <c r="E519" s="91">
        <v>1</v>
      </c>
      <c r="F519" s="216">
        <v>6.8</v>
      </c>
      <c r="G519" s="90">
        <v>1</v>
      </c>
      <c r="H519" s="90">
        <v>7</v>
      </c>
      <c r="I519" s="158">
        <v>17</v>
      </c>
    </row>
    <row r="520" spans="1:9" x14ac:dyDescent="0.3">
      <c r="A520" s="169" t="s">
        <v>538</v>
      </c>
      <c r="B520" s="90" t="s">
        <v>403</v>
      </c>
      <c r="C520" s="215" t="s">
        <v>1907</v>
      </c>
      <c r="D520" s="91">
        <v>1</v>
      </c>
      <c r="E520" s="91">
        <v>1</v>
      </c>
      <c r="F520" s="216">
        <v>6.8</v>
      </c>
      <c r="G520" s="90">
        <v>1</v>
      </c>
      <c r="H520" s="90">
        <v>7</v>
      </c>
      <c r="I520" s="158">
        <v>17</v>
      </c>
    </row>
    <row r="521" spans="1:9" x14ac:dyDescent="0.3">
      <c r="A521" s="169" t="s">
        <v>538</v>
      </c>
      <c r="B521" s="90" t="s">
        <v>403</v>
      </c>
      <c r="C521" s="215" t="s">
        <v>1908</v>
      </c>
      <c r="D521" s="91">
        <v>1</v>
      </c>
      <c r="E521" s="91">
        <v>1</v>
      </c>
      <c r="F521" s="216">
        <v>6.8</v>
      </c>
      <c r="G521" s="90">
        <v>1</v>
      </c>
      <c r="H521" s="90">
        <v>7</v>
      </c>
      <c r="I521" s="158">
        <v>17</v>
      </c>
    </row>
    <row r="522" spans="1:9" x14ac:dyDescent="0.3">
      <c r="A522" s="169" t="s">
        <v>538</v>
      </c>
      <c r="B522" s="90" t="s">
        <v>403</v>
      </c>
      <c r="C522" s="215" t="s">
        <v>1909</v>
      </c>
      <c r="D522" s="91">
        <v>1</v>
      </c>
      <c r="E522" s="91">
        <v>1</v>
      </c>
      <c r="F522" s="216">
        <v>6.8</v>
      </c>
      <c r="G522" s="90">
        <v>1</v>
      </c>
      <c r="H522" s="90">
        <v>7</v>
      </c>
      <c r="I522" s="158">
        <v>17</v>
      </c>
    </row>
    <row r="523" spans="1:9" x14ac:dyDescent="0.3">
      <c r="A523" s="169" t="s">
        <v>538</v>
      </c>
      <c r="B523" s="90" t="s">
        <v>403</v>
      </c>
      <c r="C523" s="215" t="s">
        <v>1910</v>
      </c>
      <c r="D523" s="91">
        <v>1</v>
      </c>
      <c r="E523" s="91">
        <v>1</v>
      </c>
      <c r="F523" s="216">
        <v>6.8</v>
      </c>
      <c r="G523" s="90">
        <v>1</v>
      </c>
      <c r="H523" s="90">
        <v>7</v>
      </c>
      <c r="I523" s="158">
        <v>17</v>
      </c>
    </row>
    <row r="524" spans="1:9" x14ac:dyDescent="0.3">
      <c r="A524" s="169" t="s">
        <v>538</v>
      </c>
      <c r="B524" s="90" t="s">
        <v>403</v>
      </c>
      <c r="C524" s="215" t="s">
        <v>1911</v>
      </c>
      <c r="D524" s="91">
        <v>1</v>
      </c>
      <c r="E524" s="91">
        <v>1</v>
      </c>
      <c r="F524" s="216">
        <v>6.8</v>
      </c>
      <c r="G524" s="90">
        <v>1</v>
      </c>
      <c r="H524" s="90">
        <v>7</v>
      </c>
      <c r="I524" s="158">
        <v>17</v>
      </c>
    </row>
    <row r="525" spans="1:9" x14ac:dyDescent="0.3">
      <c r="A525" s="169" t="s">
        <v>538</v>
      </c>
      <c r="B525" s="90" t="s">
        <v>403</v>
      </c>
      <c r="C525" s="215" t="s">
        <v>1912</v>
      </c>
      <c r="D525" s="91">
        <v>1</v>
      </c>
      <c r="E525" s="91">
        <v>1</v>
      </c>
      <c r="F525" s="216">
        <v>6.8</v>
      </c>
      <c r="G525" s="90">
        <v>1</v>
      </c>
      <c r="H525" s="90">
        <v>7</v>
      </c>
      <c r="I525" s="158">
        <v>17</v>
      </c>
    </row>
    <row r="526" spans="1:9" x14ac:dyDescent="0.3">
      <c r="A526" s="169" t="s">
        <v>538</v>
      </c>
      <c r="B526" s="90" t="s">
        <v>403</v>
      </c>
      <c r="C526" s="215" t="s">
        <v>1913</v>
      </c>
      <c r="D526" s="91">
        <v>1</v>
      </c>
      <c r="E526" s="91">
        <v>1</v>
      </c>
      <c r="F526" s="216">
        <v>6.8</v>
      </c>
      <c r="G526" s="90">
        <v>1</v>
      </c>
      <c r="H526" s="90">
        <v>7</v>
      </c>
      <c r="I526" s="158">
        <v>17</v>
      </c>
    </row>
    <row r="527" spans="1:9" x14ac:dyDescent="0.3">
      <c r="A527" s="169" t="s">
        <v>538</v>
      </c>
      <c r="B527" s="90" t="s">
        <v>403</v>
      </c>
      <c r="C527" s="215" t="s">
        <v>1714</v>
      </c>
      <c r="D527" s="91">
        <v>1</v>
      </c>
      <c r="E527" s="91">
        <v>1</v>
      </c>
      <c r="F527" s="216">
        <v>7.3</v>
      </c>
      <c r="G527" s="90">
        <v>1</v>
      </c>
      <c r="H527" s="90">
        <v>9</v>
      </c>
      <c r="I527" s="90">
        <v>9</v>
      </c>
    </row>
    <row r="528" spans="1:9" x14ac:dyDescent="0.3">
      <c r="A528" s="169" t="s">
        <v>538</v>
      </c>
      <c r="B528" s="90" t="s">
        <v>403</v>
      </c>
      <c r="C528" s="230" t="s">
        <v>1914</v>
      </c>
      <c r="D528" s="91">
        <v>1</v>
      </c>
      <c r="E528" s="91">
        <v>1</v>
      </c>
      <c r="F528" s="216">
        <v>13.1</v>
      </c>
      <c r="G528" s="90">
        <v>2</v>
      </c>
      <c r="H528" s="90">
        <v>7</v>
      </c>
      <c r="I528" s="90">
        <v>17</v>
      </c>
    </row>
    <row r="529" spans="1:9" x14ac:dyDescent="0.3">
      <c r="A529" s="169" t="s">
        <v>538</v>
      </c>
      <c r="B529" s="90" t="s">
        <v>403</v>
      </c>
      <c r="C529" s="230" t="s">
        <v>1915</v>
      </c>
      <c r="D529" s="91">
        <v>1</v>
      </c>
      <c r="E529" s="91">
        <v>1</v>
      </c>
      <c r="F529" s="216">
        <v>13.1</v>
      </c>
      <c r="G529" s="90">
        <v>2</v>
      </c>
      <c r="H529" s="90">
        <v>7</v>
      </c>
      <c r="I529" s="90">
        <v>17</v>
      </c>
    </row>
    <row r="530" spans="1:9" x14ac:dyDescent="0.3">
      <c r="A530" s="169" t="s">
        <v>538</v>
      </c>
      <c r="B530" s="90" t="s">
        <v>403</v>
      </c>
      <c r="C530" s="230" t="s">
        <v>1916</v>
      </c>
      <c r="D530" s="91">
        <v>1</v>
      </c>
      <c r="E530" s="91">
        <v>1</v>
      </c>
      <c r="F530" s="216">
        <v>13.1</v>
      </c>
      <c r="G530" s="90">
        <v>2</v>
      </c>
      <c r="H530" s="90">
        <v>7</v>
      </c>
      <c r="I530" s="90">
        <v>17</v>
      </c>
    </row>
    <row r="531" spans="1:9" x14ac:dyDescent="0.3">
      <c r="A531" s="169" t="s">
        <v>538</v>
      </c>
      <c r="B531" s="90" t="s">
        <v>403</v>
      </c>
      <c r="C531" s="230" t="s">
        <v>1917</v>
      </c>
      <c r="D531" s="91">
        <v>1</v>
      </c>
      <c r="E531" s="91">
        <v>1</v>
      </c>
      <c r="F531" s="216">
        <v>13.1</v>
      </c>
      <c r="G531" s="90">
        <v>2</v>
      </c>
      <c r="H531" s="90">
        <v>7</v>
      </c>
      <c r="I531" s="90">
        <v>17</v>
      </c>
    </row>
    <row r="532" spans="1:9" x14ac:dyDescent="0.3">
      <c r="A532" s="169" t="s">
        <v>538</v>
      </c>
      <c r="B532" s="90" t="s">
        <v>403</v>
      </c>
      <c r="C532" s="230" t="s">
        <v>1918</v>
      </c>
      <c r="D532" s="91">
        <v>1</v>
      </c>
      <c r="E532" s="91">
        <v>1</v>
      </c>
      <c r="F532" s="216">
        <v>13.1</v>
      </c>
      <c r="G532" s="90">
        <v>2</v>
      </c>
      <c r="H532" s="90">
        <v>7</v>
      </c>
      <c r="I532" s="90">
        <v>17</v>
      </c>
    </row>
    <row r="533" spans="1:9" x14ac:dyDescent="0.3">
      <c r="A533" s="169" t="s">
        <v>538</v>
      </c>
      <c r="B533" s="90" t="s">
        <v>403</v>
      </c>
      <c r="C533" s="230" t="s">
        <v>1919</v>
      </c>
      <c r="D533" s="91">
        <v>1</v>
      </c>
      <c r="E533" s="91">
        <v>1</v>
      </c>
      <c r="F533" s="216">
        <v>13.1</v>
      </c>
      <c r="G533" s="90">
        <v>2</v>
      </c>
      <c r="H533" s="90">
        <v>7</v>
      </c>
      <c r="I533" s="90">
        <v>17</v>
      </c>
    </row>
    <row r="534" spans="1:9" x14ac:dyDescent="0.3">
      <c r="A534" s="169" t="s">
        <v>538</v>
      </c>
      <c r="B534" s="90" t="s">
        <v>403</v>
      </c>
      <c r="C534" s="230" t="s">
        <v>1920</v>
      </c>
      <c r="D534" s="91">
        <v>1</v>
      </c>
      <c r="E534" s="91">
        <v>1</v>
      </c>
      <c r="F534" s="216">
        <v>13.1</v>
      </c>
      <c r="G534" s="90">
        <v>2</v>
      </c>
      <c r="H534" s="90">
        <v>7</v>
      </c>
      <c r="I534" s="90">
        <v>17</v>
      </c>
    </row>
    <row r="535" spans="1:9" x14ac:dyDescent="0.3">
      <c r="A535" s="169" t="s">
        <v>538</v>
      </c>
      <c r="B535" s="90" t="s">
        <v>403</v>
      </c>
      <c r="C535" s="230" t="s">
        <v>1921</v>
      </c>
      <c r="D535" s="91">
        <v>1</v>
      </c>
      <c r="E535" s="91">
        <v>1</v>
      </c>
      <c r="F535" s="216">
        <v>13.1</v>
      </c>
      <c r="G535" s="90">
        <v>2</v>
      </c>
      <c r="H535" s="90">
        <v>7</v>
      </c>
      <c r="I535" s="90">
        <v>17</v>
      </c>
    </row>
    <row r="536" spans="1:9" x14ac:dyDescent="0.3">
      <c r="A536" s="169" t="s">
        <v>538</v>
      </c>
      <c r="B536" s="90" t="s">
        <v>403</v>
      </c>
      <c r="C536" s="230" t="s">
        <v>1922</v>
      </c>
      <c r="D536" s="91">
        <v>1</v>
      </c>
      <c r="E536" s="91">
        <v>1</v>
      </c>
      <c r="F536" s="216">
        <v>13.1</v>
      </c>
      <c r="G536" s="90">
        <v>2</v>
      </c>
      <c r="H536" s="90">
        <v>7</v>
      </c>
      <c r="I536" s="90">
        <v>17</v>
      </c>
    </row>
    <row r="537" spans="1:9" x14ac:dyDescent="0.3">
      <c r="A537" s="169" t="s">
        <v>538</v>
      </c>
      <c r="B537" s="90" t="s">
        <v>403</v>
      </c>
      <c r="C537" s="230" t="s">
        <v>1923</v>
      </c>
      <c r="D537" s="91">
        <v>1</v>
      </c>
      <c r="E537" s="91">
        <v>1</v>
      </c>
      <c r="F537" s="216">
        <v>13.1</v>
      </c>
      <c r="G537" s="90">
        <v>2</v>
      </c>
      <c r="H537" s="90">
        <v>7</v>
      </c>
      <c r="I537" s="90">
        <v>17</v>
      </c>
    </row>
    <row r="538" spans="1:9" x14ac:dyDescent="0.3">
      <c r="A538" s="169" t="s">
        <v>538</v>
      </c>
      <c r="B538" s="90" t="s">
        <v>403</v>
      </c>
      <c r="C538" s="230" t="s">
        <v>1924</v>
      </c>
      <c r="D538" s="91">
        <v>1</v>
      </c>
      <c r="E538" s="91">
        <v>1</v>
      </c>
      <c r="F538" s="216">
        <v>13.1</v>
      </c>
      <c r="G538" s="90">
        <v>2</v>
      </c>
      <c r="H538" s="90">
        <v>7</v>
      </c>
      <c r="I538" s="90">
        <v>17</v>
      </c>
    </row>
    <row r="539" spans="1:9" x14ac:dyDescent="0.3">
      <c r="A539" s="169" t="s">
        <v>538</v>
      </c>
      <c r="B539" s="90" t="s">
        <v>403</v>
      </c>
      <c r="C539" s="215" t="s">
        <v>1925</v>
      </c>
      <c r="D539" s="91">
        <v>1</v>
      </c>
      <c r="E539" s="91">
        <v>1</v>
      </c>
      <c r="F539" s="216">
        <v>10.5</v>
      </c>
      <c r="G539" s="90">
        <v>2</v>
      </c>
      <c r="H539" s="90">
        <v>7</v>
      </c>
      <c r="I539" s="158">
        <v>17</v>
      </c>
    </row>
    <row r="540" spans="1:9" x14ac:dyDescent="0.3">
      <c r="A540" s="169" t="s">
        <v>538</v>
      </c>
      <c r="B540" s="90" t="s">
        <v>403</v>
      </c>
      <c r="C540" s="215" t="s">
        <v>1926</v>
      </c>
      <c r="D540" s="91">
        <v>1</v>
      </c>
      <c r="E540" s="91">
        <v>1</v>
      </c>
      <c r="F540" s="216">
        <v>10.5</v>
      </c>
      <c r="G540" s="90">
        <v>2</v>
      </c>
      <c r="H540" s="90">
        <v>7</v>
      </c>
      <c r="I540" s="158">
        <v>17</v>
      </c>
    </row>
    <row r="541" spans="1:9" x14ac:dyDescent="0.3">
      <c r="A541" s="169" t="s">
        <v>538</v>
      </c>
      <c r="B541" s="90" t="s">
        <v>403</v>
      </c>
      <c r="C541" s="215" t="s">
        <v>1927</v>
      </c>
      <c r="D541" s="91">
        <v>1</v>
      </c>
      <c r="E541" s="91">
        <v>1</v>
      </c>
      <c r="F541" s="216">
        <v>10.5</v>
      </c>
      <c r="G541" s="90">
        <v>2</v>
      </c>
      <c r="H541" s="90">
        <v>7</v>
      </c>
      <c r="I541" s="158">
        <v>17</v>
      </c>
    </row>
    <row r="542" spans="1:9" x14ac:dyDescent="0.3">
      <c r="A542" s="169" t="s">
        <v>538</v>
      </c>
      <c r="B542" s="90" t="s">
        <v>403</v>
      </c>
      <c r="C542" s="215" t="s">
        <v>1928</v>
      </c>
      <c r="D542" s="91">
        <v>1</v>
      </c>
      <c r="E542" s="91">
        <v>1</v>
      </c>
      <c r="F542" s="216">
        <v>10.5</v>
      </c>
      <c r="G542" s="90">
        <v>2</v>
      </c>
      <c r="H542" s="90">
        <v>7</v>
      </c>
      <c r="I542" s="158">
        <v>17</v>
      </c>
    </row>
    <row r="543" spans="1:9" x14ac:dyDescent="0.3">
      <c r="A543" s="169" t="s">
        <v>538</v>
      </c>
      <c r="B543" s="90" t="s">
        <v>403</v>
      </c>
      <c r="C543" s="215" t="s">
        <v>1929</v>
      </c>
      <c r="D543" s="91">
        <v>1</v>
      </c>
      <c r="E543" s="91">
        <v>1</v>
      </c>
      <c r="F543" s="216">
        <v>10.5</v>
      </c>
      <c r="G543" s="90">
        <v>2</v>
      </c>
      <c r="H543" s="90">
        <v>7</v>
      </c>
      <c r="I543" s="158">
        <v>17</v>
      </c>
    </row>
    <row r="544" spans="1:9" x14ac:dyDescent="0.3">
      <c r="A544" s="169" t="s">
        <v>538</v>
      </c>
      <c r="B544" s="90" t="s">
        <v>403</v>
      </c>
      <c r="C544" s="215" t="s">
        <v>1930</v>
      </c>
      <c r="D544" s="91">
        <v>1</v>
      </c>
      <c r="E544" s="91">
        <v>1</v>
      </c>
      <c r="F544" s="216">
        <v>10.5</v>
      </c>
      <c r="G544" s="90">
        <v>2</v>
      </c>
      <c r="H544" s="90">
        <v>7</v>
      </c>
      <c r="I544" s="158">
        <v>17</v>
      </c>
    </row>
    <row r="545" spans="1:9" x14ac:dyDescent="0.3">
      <c r="A545" s="169" t="s">
        <v>538</v>
      </c>
      <c r="B545" s="90" t="s">
        <v>403</v>
      </c>
      <c r="C545" s="215" t="s">
        <v>1931</v>
      </c>
      <c r="D545" s="91">
        <v>1</v>
      </c>
      <c r="E545" s="91">
        <v>1</v>
      </c>
      <c r="F545" s="216">
        <v>10.5</v>
      </c>
      <c r="G545" s="90">
        <v>2</v>
      </c>
      <c r="H545" s="90">
        <v>7</v>
      </c>
      <c r="I545" s="158">
        <v>17</v>
      </c>
    </row>
    <row r="546" spans="1:9" x14ac:dyDescent="0.3">
      <c r="A546" s="169" t="s">
        <v>538</v>
      </c>
      <c r="B546" s="90" t="s">
        <v>403</v>
      </c>
      <c r="C546" s="215" t="s">
        <v>1932</v>
      </c>
      <c r="D546" s="91">
        <v>1</v>
      </c>
      <c r="E546" s="91">
        <v>1</v>
      </c>
      <c r="F546" s="216">
        <v>10.5</v>
      </c>
      <c r="G546" s="90">
        <v>2</v>
      </c>
      <c r="H546" s="90">
        <v>7</v>
      </c>
      <c r="I546" s="158">
        <v>17</v>
      </c>
    </row>
    <row r="547" spans="1:9" x14ac:dyDescent="0.3">
      <c r="A547" s="169" t="s">
        <v>538</v>
      </c>
      <c r="B547" s="90" t="s">
        <v>403</v>
      </c>
      <c r="C547" s="215" t="s">
        <v>1933</v>
      </c>
      <c r="D547" s="91">
        <v>1</v>
      </c>
      <c r="E547" s="91">
        <v>1</v>
      </c>
      <c r="F547" s="216">
        <v>10.5</v>
      </c>
      <c r="G547" s="90">
        <v>2</v>
      </c>
      <c r="H547" s="90">
        <v>7</v>
      </c>
      <c r="I547" s="158">
        <v>17</v>
      </c>
    </row>
    <row r="548" spans="1:9" x14ac:dyDescent="0.3">
      <c r="A548" s="169" t="s">
        <v>538</v>
      </c>
      <c r="B548" s="90" t="s">
        <v>403</v>
      </c>
      <c r="C548" s="215" t="s">
        <v>1934</v>
      </c>
      <c r="D548" s="91">
        <v>1</v>
      </c>
      <c r="E548" s="91">
        <v>1</v>
      </c>
      <c r="F548" s="216">
        <v>10.5</v>
      </c>
      <c r="G548" s="90">
        <v>2</v>
      </c>
      <c r="H548" s="90">
        <v>7</v>
      </c>
      <c r="I548" s="158">
        <v>17</v>
      </c>
    </row>
    <row r="549" spans="1:9" x14ac:dyDescent="0.3">
      <c r="A549" s="169" t="s">
        <v>538</v>
      </c>
      <c r="B549" s="90" t="s">
        <v>403</v>
      </c>
      <c r="C549" s="215" t="s">
        <v>1935</v>
      </c>
      <c r="D549" s="91">
        <v>1</v>
      </c>
      <c r="E549" s="91">
        <v>1</v>
      </c>
      <c r="F549" s="216">
        <v>10.5</v>
      </c>
      <c r="G549" s="90">
        <v>2</v>
      </c>
      <c r="H549" s="90">
        <v>7</v>
      </c>
      <c r="I549" s="158">
        <v>17</v>
      </c>
    </row>
    <row r="550" spans="1:9" x14ac:dyDescent="0.3">
      <c r="A550" s="169" t="s">
        <v>538</v>
      </c>
      <c r="B550" s="90" t="s">
        <v>403</v>
      </c>
      <c r="C550" s="215" t="s">
        <v>396</v>
      </c>
      <c r="D550" s="91">
        <v>1</v>
      </c>
      <c r="E550" s="91">
        <v>1</v>
      </c>
      <c r="F550" s="216">
        <v>17.2</v>
      </c>
      <c r="G550" s="90">
        <v>2</v>
      </c>
      <c r="H550" s="91">
        <v>9</v>
      </c>
      <c r="I550" s="91">
        <v>14</v>
      </c>
    </row>
    <row r="551" spans="1:9" x14ac:dyDescent="0.3">
      <c r="A551" s="169" t="s">
        <v>538</v>
      </c>
      <c r="B551" s="90" t="s">
        <v>403</v>
      </c>
      <c r="C551" s="215" t="s">
        <v>1936</v>
      </c>
      <c r="D551" s="91">
        <v>1</v>
      </c>
      <c r="E551" s="91">
        <v>1</v>
      </c>
      <c r="F551" s="216">
        <v>15.7</v>
      </c>
      <c r="G551" s="90">
        <v>2</v>
      </c>
      <c r="H551" s="90">
        <v>7</v>
      </c>
      <c r="I551" s="158">
        <v>13</v>
      </c>
    </row>
    <row r="552" spans="1:9" x14ac:dyDescent="0.3">
      <c r="A552" s="169" t="s">
        <v>538</v>
      </c>
      <c r="B552" s="90" t="s">
        <v>403</v>
      </c>
      <c r="C552" s="215" t="s">
        <v>1937</v>
      </c>
      <c r="D552" s="91">
        <v>1</v>
      </c>
      <c r="E552" s="91">
        <v>1</v>
      </c>
      <c r="F552" s="216">
        <v>4.2</v>
      </c>
      <c r="G552" s="90">
        <v>1</v>
      </c>
      <c r="H552" s="90">
        <v>6</v>
      </c>
      <c r="I552" s="158">
        <v>9</v>
      </c>
    </row>
    <row r="553" spans="1:9" x14ac:dyDescent="0.3">
      <c r="A553" s="169" t="s">
        <v>538</v>
      </c>
      <c r="B553" s="90" t="s">
        <v>403</v>
      </c>
      <c r="C553" s="215" t="s">
        <v>1938</v>
      </c>
      <c r="D553" s="91">
        <v>1</v>
      </c>
      <c r="E553" s="91">
        <v>4</v>
      </c>
      <c r="F553" s="216">
        <v>5</v>
      </c>
      <c r="G553" s="90">
        <v>1</v>
      </c>
      <c r="H553" s="91">
        <v>6</v>
      </c>
      <c r="I553" s="91">
        <v>9</v>
      </c>
    </row>
    <row r="554" spans="1:9" x14ac:dyDescent="0.3">
      <c r="A554" s="169" t="s">
        <v>538</v>
      </c>
      <c r="B554" s="90" t="s">
        <v>403</v>
      </c>
      <c r="C554" s="215" t="s">
        <v>1938</v>
      </c>
      <c r="D554" s="91">
        <v>5</v>
      </c>
      <c r="E554" s="91">
        <v>999</v>
      </c>
      <c r="F554" s="216">
        <v>5</v>
      </c>
      <c r="G554" s="90">
        <v>1</v>
      </c>
      <c r="H554" s="91">
        <v>6</v>
      </c>
      <c r="I554" s="91">
        <v>9</v>
      </c>
    </row>
    <row r="555" spans="1:9" x14ac:dyDescent="0.3">
      <c r="A555" s="169" t="s">
        <v>538</v>
      </c>
      <c r="B555" s="90" t="s">
        <v>403</v>
      </c>
      <c r="C555" s="215" t="s">
        <v>1939</v>
      </c>
      <c r="D555" s="91">
        <v>1</v>
      </c>
      <c r="E555" s="91">
        <v>4</v>
      </c>
      <c r="F555" s="216">
        <v>5</v>
      </c>
      <c r="G555" s="90">
        <v>1</v>
      </c>
      <c r="H555" s="91">
        <v>6</v>
      </c>
      <c r="I555" s="91">
        <v>9</v>
      </c>
    </row>
    <row r="556" spans="1:9" x14ac:dyDescent="0.3">
      <c r="A556" s="169" t="s">
        <v>538</v>
      </c>
      <c r="B556" s="90" t="s">
        <v>403</v>
      </c>
      <c r="C556" s="215" t="s">
        <v>1939</v>
      </c>
      <c r="D556" s="91">
        <v>5</v>
      </c>
      <c r="E556" s="91">
        <v>999</v>
      </c>
      <c r="F556" s="216">
        <v>5</v>
      </c>
      <c r="G556" s="90">
        <v>1</v>
      </c>
      <c r="H556" s="91">
        <v>6</v>
      </c>
      <c r="I556" s="91">
        <v>9</v>
      </c>
    </row>
    <row r="557" spans="1:9" x14ac:dyDescent="0.3">
      <c r="A557" s="169" t="s">
        <v>538</v>
      </c>
      <c r="B557" s="90" t="s">
        <v>403</v>
      </c>
      <c r="C557" s="215" t="s">
        <v>1940</v>
      </c>
      <c r="D557" s="91">
        <v>1</v>
      </c>
      <c r="E557" s="91">
        <v>1</v>
      </c>
      <c r="F557" s="215">
        <v>2.4</v>
      </c>
      <c r="G557" s="90">
        <v>1</v>
      </c>
      <c r="H557" s="90">
        <v>6</v>
      </c>
      <c r="I557" s="158">
        <v>17</v>
      </c>
    </row>
    <row r="558" spans="1:9" x14ac:dyDescent="0.3">
      <c r="A558" s="169" t="s">
        <v>538</v>
      </c>
      <c r="B558" s="90" t="s">
        <v>403</v>
      </c>
      <c r="C558" s="215" t="s">
        <v>1941</v>
      </c>
      <c r="D558" s="91">
        <v>1</v>
      </c>
      <c r="E558" s="91">
        <v>1</v>
      </c>
      <c r="F558" s="215">
        <v>7.8</v>
      </c>
      <c r="G558" s="90">
        <v>1</v>
      </c>
      <c r="H558" s="90">
        <v>7</v>
      </c>
      <c r="I558" s="158">
        <v>17</v>
      </c>
    </row>
    <row r="559" spans="1:9" x14ac:dyDescent="0.3">
      <c r="A559" s="169" t="s">
        <v>538</v>
      </c>
      <c r="B559" s="90" t="s">
        <v>403</v>
      </c>
      <c r="C559" s="215" t="s">
        <v>1942</v>
      </c>
      <c r="D559" s="91">
        <v>1</v>
      </c>
      <c r="E559" s="91">
        <v>1</v>
      </c>
      <c r="F559" s="215">
        <v>13</v>
      </c>
      <c r="G559" s="90">
        <v>2</v>
      </c>
      <c r="H559" s="90">
        <v>7</v>
      </c>
      <c r="I559" s="158">
        <v>18</v>
      </c>
    </row>
    <row r="560" spans="1:9" x14ac:dyDescent="0.3">
      <c r="A560" s="169" t="s">
        <v>538</v>
      </c>
      <c r="B560" s="90" t="s">
        <v>403</v>
      </c>
      <c r="C560" s="215" t="s">
        <v>1943</v>
      </c>
      <c r="D560" s="91">
        <v>1</v>
      </c>
      <c r="E560" s="91">
        <v>1</v>
      </c>
      <c r="F560" s="215">
        <v>18</v>
      </c>
      <c r="G560" s="90">
        <v>3</v>
      </c>
      <c r="H560" s="90">
        <v>8</v>
      </c>
      <c r="I560" s="158">
        <v>18</v>
      </c>
    </row>
    <row r="561" spans="1:9" x14ac:dyDescent="0.3">
      <c r="A561" s="169" t="s">
        <v>538</v>
      </c>
      <c r="B561" s="90" t="s">
        <v>403</v>
      </c>
      <c r="C561" s="215" t="s">
        <v>1944</v>
      </c>
      <c r="D561" s="91">
        <v>1</v>
      </c>
      <c r="E561" s="91">
        <v>1</v>
      </c>
      <c r="F561" s="215">
        <v>16.3</v>
      </c>
      <c r="G561" s="90">
        <v>2</v>
      </c>
      <c r="H561" s="90">
        <v>8</v>
      </c>
      <c r="I561" s="158">
        <v>18</v>
      </c>
    </row>
    <row r="562" spans="1:9" x14ac:dyDescent="0.3">
      <c r="A562" s="169" t="s">
        <v>538</v>
      </c>
      <c r="B562" s="90" t="s">
        <v>403</v>
      </c>
      <c r="C562" s="215" t="s">
        <v>1945</v>
      </c>
      <c r="D562" s="91">
        <v>1</v>
      </c>
      <c r="E562" s="91">
        <v>1</v>
      </c>
      <c r="F562" s="215">
        <v>8</v>
      </c>
      <c r="G562" s="90">
        <v>1</v>
      </c>
      <c r="H562" s="90">
        <v>7</v>
      </c>
      <c r="I562" s="158">
        <v>18</v>
      </c>
    </row>
    <row r="563" spans="1:9" x14ac:dyDescent="0.3">
      <c r="A563" s="169" t="s">
        <v>538</v>
      </c>
      <c r="B563" s="90" t="s">
        <v>403</v>
      </c>
      <c r="C563" s="215" t="s">
        <v>1946</v>
      </c>
      <c r="D563" s="91">
        <v>1</v>
      </c>
      <c r="E563" s="91">
        <v>1</v>
      </c>
      <c r="F563" s="215">
        <v>9.5</v>
      </c>
      <c r="G563" s="90">
        <v>2</v>
      </c>
      <c r="H563" s="90">
        <v>7</v>
      </c>
      <c r="I563" s="158">
        <v>17</v>
      </c>
    </row>
    <row r="564" spans="1:9" x14ac:dyDescent="0.3">
      <c r="A564" s="169" t="s">
        <v>538</v>
      </c>
      <c r="B564" s="90" t="s">
        <v>403</v>
      </c>
      <c r="C564" s="215" t="s">
        <v>1947</v>
      </c>
      <c r="D564" s="91">
        <v>1</v>
      </c>
      <c r="E564" s="91">
        <v>1</v>
      </c>
      <c r="F564" s="215">
        <v>7.6</v>
      </c>
      <c r="G564" s="90">
        <v>1</v>
      </c>
      <c r="H564" s="90">
        <v>7</v>
      </c>
      <c r="I564" s="158">
        <v>17</v>
      </c>
    </row>
    <row r="565" spans="1:9" x14ac:dyDescent="0.3">
      <c r="A565" s="169" t="s">
        <v>538</v>
      </c>
      <c r="B565" s="90" t="s">
        <v>403</v>
      </c>
      <c r="C565" s="215" t="s">
        <v>1948</v>
      </c>
      <c r="D565" s="91">
        <v>1</v>
      </c>
      <c r="E565" s="91">
        <v>1</v>
      </c>
      <c r="F565" s="215">
        <v>26.8</v>
      </c>
      <c r="G565" s="90">
        <v>4</v>
      </c>
      <c r="H565" s="90">
        <v>8</v>
      </c>
      <c r="I565" s="158">
        <v>15</v>
      </c>
    </row>
    <row r="566" spans="1:9" x14ac:dyDescent="0.3">
      <c r="A566" s="169" t="s">
        <v>538</v>
      </c>
      <c r="B566" s="90" t="s">
        <v>403</v>
      </c>
      <c r="C566" s="215" t="s">
        <v>1949</v>
      </c>
      <c r="D566" s="91">
        <v>1</v>
      </c>
      <c r="E566" s="91">
        <v>1</v>
      </c>
      <c r="F566" s="215">
        <v>6.7</v>
      </c>
      <c r="G566" s="90">
        <v>1</v>
      </c>
      <c r="H566" s="90">
        <v>7</v>
      </c>
      <c r="I566" s="158">
        <v>17</v>
      </c>
    </row>
    <row r="567" spans="1:9" x14ac:dyDescent="0.3">
      <c r="A567" s="169" t="s">
        <v>538</v>
      </c>
      <c r="B567" s="90" t="s">
        <v>403</v>
      </c>
      <c r="C567" s="215" t="s">
        <v>1950</v>
      </c>
      <c r="D567" s="91">
        <v>1</v>
      </c>
      <c r="E567" s="91">
        <v>1</v>
      </c>
      <c r="F567" s="215">
        <v>9.9</v>
      </c>
      <c r="G567" s="90">
        <v>2</v>
      </c>
      <c r="H567" s="90">
        <v>7</v>
      </c>
      <c r="I567" s="158">
        <v>17</v>
      </c>
    </row>
    <row r="568" spans="1:9" x14ac:dyDescent="0.3">
      <c r="A568" s="169" t="s">
        <v>538</v>
      </c>
      <c r="B568" s="90" t="s">
        <v>403</v>
      </c>
      <c r="C568" s="215" t="s">
        <v>1951</v>
      </c>
      <c r="D568" s="91">
        <v>1</v>
      </c>
      <c r="E568" s="91">
        <v>1</v>
      </c>
      <c r="F568" s="215">
        <v>12.4</v>
      </c>
      <c r="G568" s="90">
        <v>2</v>
      </c>
      <c r="H568" s="90">
        <v>7</v>
      </c>
      <c r="I568" s="158">
        <v>18</v>
      </c>
    </row>
    <row r="569" spans="1:9" x14ac:dyDescent="0.3">
      <c r="A569" s="169" t="s">
        <v>538</v>
      </c>
      <c r="B569" s="90" t="s">
        <v>403</v>
      </c>
      <c r="C569" s="215" t="s">
        <v>1952</v>
      </c>
      <c r="D569" s="91">
        <v>1</v>
      </c>
      <c r="E569" s="91">
        <v>1</v>
      </c>
      <c r="F569" s="216">
        <v>11.5</v>
      </c>
      <c r="G569" s="90">
        <v>2</v>
      </c>
      <c r="H569" s="90">
        <v>7</v>
      </c>
      <c r="I569" s="158">
        <v>17</v>
      </c>
    </row>
    <row r="570" spans="1:9" x14ac:dyDescent="0.3">
      <c r="A570" s="169" t="s">
        <v>538</v>
      </c>
      <c r="B570" s="90" t="s">
        <v>403</v>
      </c>
      <c r="C570" s="215" t="s">
        <v>1952</v>
      </c>
      <c r="D570" s="91">
        <v>2</v>
      </c>
      <c r="E570" s="91">
        <v>999</v>
      </c>
      <c r="F570" s="216">
        <v>11.5</v>
      </c>
      <c r="G570" s="90">
        <v>2</v>
      </c>
      <c r="H570" s="90">
        <v>7</v>
      </c>
      <c r="I570" s="158">
        <v>17</v>
      </c>
    </row>
    <row r="571" spans="1:9" x14ac:dyDescent="0.3">
      <c r="A571" s="169" t="s">
        <v>538</v>
      </c>
      <c r="B571" s="90" t="s">
        <v>403</v>
      </c>
      <c r="C571" s="215" t="s">
        <v>1953</v>
      </c>
      <c r="D571" s="91">
        <v>1</v>
      </c>
      <c r="E571" s="91">
        <v>1</v>
      </c>
      <c r="F571" s="216">
        <v>18.399999999999999</v>
      </c>
      <c r="G571" s="90">
        <v>3</v>
      </c>
      <c r="H571" s="90">
        <v>8</v>
      </c>
      <c r="I571" s="158">
        <v>15</v>
      </c>
    </row>
    <row r="572" spans="1:9" x14ac:dyDescent="0.3">
      <c r="A572" s="169" t="s">
        <v>538</v>
      </c>
      <c r="B572" s="90" t="s">
        <v>403</v>
      </c>
      <c r="C572" s="215" t="s">
        <v>1953</v>
      </c>
      <c r="D572" s="91">
        <v>2</v>
      </c>
      <c r="E572" s="91">
        <v>999</v>
      </c>
      <c r="F572" s="216">
        <v>18.399999999999999</v>
      </c>
      <c r="G572" s="90">
        <v>3</v>
      </c>
      <c r="H572" s="90">
        <v>8</v>
      </c>
      <c r="I572" s="158">
        <v>15</v>
      </c>
    </row>
    <row r="573" spans="1:9" ht="14.4" customHeight="1" x14ac:dyDescent="0.3">
      <c r="A573" s="169" t="s">
        <v>538</v>
      </c>
      <c r="B573" s="90" t="s">
        <v>403</v>
      </c>
      <c r="C573" s="215" t="s">
        <v>1954</v>
      </c>
      <c r="D573" s="91">
        <v>1</v>
      </c>
      <c r="E573" s="91">
        <v>1</v>
      </c>
      <c r="F573" s="215">
        <v>8</v>
      </c>
      <c r="G573" s="90">
        <v>1</v>
      </c>
      <c r="H573" s="90">
        <v>7</v>
      </c>
      <c r="I573" s="158">
        <v>13</v>
      </c>
    </row>
    <row r="574" spans="1:9" x14ac:dyDescent="0.3">
      <c r="A574" s="169" t="s">
        <v>538</v>
      </c>
      <c r="B574" s="90" t="s">
        <v>403</v>
      </c>
      <c r="C574" s="215" t="s">
        <v>1715</v>
      </c>
      <c r="D574" s="91">
        <v>1</v>
      </c>
      <c r="E574" s="91">
        <v>1</v>
      </c>
      <c r="F574" s="220">
        <v>13.9</v>
      </c>
      <c r="G574" s="90">
        <v>2</v>
      </c>
      <c r="H574" s="90">
        <v>7</v>
      </c>
      <c r="I574" s="158">
        <v>13</v>
      </c>
    </row>
    <row r="575" spans="1:9" ht="14.4" customHeight="1" x14ac:dyDescent="0.3">
      <c r="A575" s="169" t="s">
        <v>538</v>
      </c>
      <c r="B575" s="90" t="s">
        <v>403</v>
      </c>
      <c r="C575" s="215" t="s">
        <v>1955</v>
      </c>
      <c r="D575" s="91">
        <v>1</v>
      </c>
      <c r="E575" s="91">
        <v>1</v>
      </c>
      <c r="F575" s="215">
        <v>11.3</v>
      </c>
      <c r="G575" s="90">
        <v>2</v>
      </c>
      <c r="H575" s="90">
        <v>7</v>
      </c>
      <c r="I575" s="158">
        <v>14</v>
      </c>
    </row>
    <row r="576" spans="1:9" ht="14.4" customHeight="1" x14ac:dyDescent="0.3">
      <c r="A576" s="169" t="s">
        <v>538</v>
      </c>
      <c r="B576" s="90" t="s">
        <v>403</v>
      </c>
      <c r="C576" s="215" t="s">
        <v>1956</v>
      </c>
      <c r="D576" s="91">
        <v>1</v>
      </c>
      <c r="E576" s="91">
        <v>1</v>
      </c>
      <c r="F576" s="215">
        <v>13.3</v>
      </c>
      <c r="G576" s="90">
        <v>2</v>
      </c>
      <c r="H576" s="90">
        <v>7</v>
      </c>
      <c r="I576" s="158">
        <v>14</v>
      </c>
    </row>
    <row r="577" spans="1:9" ht="28.8" x14ac:dyDescent="0.3">
      <c r="A577" s="169" t="s">
        <v>538</v>
      </c>
      <c r="B577" s="90" t="s">
        <v>403</v>
      </c>
      <c r="C577" s="215" t="s">
        <v>1957</v>
      </c>
      <c r="D577" s="91">
        <v>1</v>
      </c>
      <c r="E577" s="91">
        <v>1</v>
      </c>
      <c r="F577" s="215">
        <v>12.9</v>
      </c>
      <c r="G577" s="90">
        <v>2</v>
      </c>
      <c r="H577" s="90">
        <v>7</v>
      </c>
      <c r="I577" s="158">
        <v>14</v>
      </c>
    </row>
    <row r="578" spans="1:9" x14ac:dyDescent="0.3">
      <c r="A578" s="169" t="s">
        <v>538</v>
      </c>
      <c r="B578" s="90" t="s">
        <v>403</v>
      </c>
      <c r="C578" s="215" t="s">
        <v>1958</v>
      </c>
      <c r="D578" s="91">
        <v>1</v>
      </c>
      <c r="E578" s="91">
        <v>1</v>
      </c>
      <c r="F578" s="215">
        <v>11.4</v>
      </c>
      <c r="G578" s="90">
        <v>2</v>
      </c>
      <c r="H578" s="90">
        <v>7</v>
      </c>
      <c r="I578" s="158">
        <v>18</v>
      </c>
    </row>
    <row r="579" spans="1:9" x14ac:dyDescent="0.3">
      <c r="A579" s="169" t="s">
        <v>538</v>
      </c>
      <c r="B579" s="90" t="s">
        <v>403</v>
      </c>
      <c r="C579" s="215" t="s">
        <v>1959</v>
      </c>
      <c r="D579" s="91">
        <v>1</v>
      </c>
      <c r="E579" s="91">
        <v>1</v>
      </c>
      <c r="F579" s="215">
        <v>11</v>
      </c>
      <c r="G579" s="90">
        <v>2</v>
      </c>
      <c r="H579" s="90">
        <v>7</v>
      </c>
      <c r="I579" s="158">
        <v>18</v>
      </c>
    </row>
    <row r="580" spans="1:9" x14ac:dyDescent="0.3">
      <c r="A580" s="169" t="s">
        <v>538</v>
      </c>
      <c r="B580" s="90" t="s">
        <v>403</v>
      </c>
      <c r="C580" s="215" t="s">
        <v>1960</v>
      </c>
      <c r="D580" s="91">
        <v>1</v>
      </c>
      <c r="E580" s="91">
        <v>1</v>
      </c>
      <c r="F580" s="215">
        <v>10.199999999999999</v>
      </c>
      <c r="G580" s="90">
        <v>2</v>
      </c>
      <c r="H580" s="90">
        <v>7</v>
      </c>
      <c r="I580" s="158">
        <v>17</v>
      </c>
    </row>
    <row r="581" spans="1:9" x14ac:dyDescent="0.3">
      <c r="A581" s="169" t="s">
        <v>538</v>
      </c>
      <c r="B581" s="90" t="s">
        <v>403</v>
      </c>
      <c r="C581" s="216" t="s">
        <v>1961</v>
      </c>
      <c r="D581" s="91">
        <v>1</v>
      </c>
      <c r="E581" s="91">
        <v>1</v>
      </c>
      <c r="F581" s="215">
        <v>6.9</v>
      </c>
      <c r="G581" s="90">
        <v>1</v>
      </c>
      <c r="H581" s="90">
        <v>6</v>
      </c>
      <c r="I581" s="158">
        <v>17</v>
      </c>
    </row>
    <row r="582" spans="1:9" x14ac:dyDescent="0.3">
      <c r="A582" s="169" t="s">
        <v>538</v>
      </c>
      <c r="B582" s="90" t="s">
        <v>403</v>
      </c>
      <c r="C582" s="215" t="s">
        <v>1962</v>
      </c>
      <c r="D582" s="91">
        <v>1</v>
      </c>
      <c r="E582" s="91">
        <v>1</v>
      </c>
      <c r="F582" s="215">
        <v>16.5</v>
      </c>
      <c r="G582" s="90">
        <v>2</v>
      </c>
      <c r="H582" s="90">
        <v>8</v>
      </c>
      <c r="I582" s="158">
        <v>18</v>
      </c>
    </row>
    <row r="583" spans="1:9" x14ac:dyDescent="0.3">
      <c r="A583" s="169" t="s">
        <v>538</v>
      </c>
      <c r="B583" s="90" t="s">
        <v>403</v>
      </c>
      <c r="C583" s="215" t="s">
        <v>1963</v>
      </c>
      <c r="D583" s="91">
        <v>1</v>
      </c>
      <c r="E583" s="91">
        <v>1</v>
      </c>
      <c r="F583" s="215">
        <v>7.7</v>
      </c>
      <c r="G583" s="90">
        <v>1</v>
      </c>
      <c r="H583" s="90">
        <v>7</v>
      </c>
      <c r="I583" s="158">
        <v>17</v>
      </c>
    </row>
    <row r="584" spans="1:9" x14ac:dyDescent="0.3">
      <c r="A584" s="169" t="s">
        <v>538</v>
      </c>
      <c r="B584" s="90" t="s">
        <v>403</v>
      </c>
      <c r="C584" s="215" t="s">
        <v>1964</v>
      </c>
      <c r="D584" s="91">
        <v>1</v>
      </c>
      <c r="E584" s="91">
        <v>1</v>
      </c>
      <c r="F584" s="215">
        <v>11.9</v>
      </c>
      <c r="G584" s="90">
        <v>2</v>
      </c>
      <c r="H584" s="90">
        <v>7</v>
      </c>
      <c r="I584" s="158">
        <v>18</v>
      </c>
    </row>
    <row r="585" spans="1:9" x14ac:dyDescent="0.3">
      <c r="A585" s="169" t="s">
        <v>538</v>
      </c>
      <c r="B585" s="90" t="s">
        <v>403</v>
      </c>
      <c r="C585" s="216" t="s">
        <v>1965</v>
      </c>
      <c r="D585" s="91">
        <v>1</v>
      </c>
      <c r="E585" s="91">
        <v>1</v>
      </c>
      <c r="F585" s="216">
        <v>23.8</v>
      </c>
      <c r="G585" s="90">
        <v>3</v>
      </c>
      <c r="H585" s="90">
        <v>8</v>
      </c>
      <c r="I585" s="158">
        <v>19</v>
      </c>
    </row>
    <row r="586" spans="1:9" ht="28.8" x14ac:dyDescent="0.3">
      <c r="A586" s="169" t="s">
        <v>538</v>
      </c>
      <c r="B586" s="90" t="s">
        <v>403</v>
      </c>
      <c r="C586" s="215" t="s">
        <v>1966</v>
      </c>
      <c r="D586" s="91">
        <v>1</v>
      </c>
      <c r="E586" s="91">
        <v>1</v>
      </c>
      <c r="F586" s="216">
        <v>25.9</v>
      </c>
      <c r="G586" s="90">
        <v>3</v>
      </c>
      <c r="H586" s="90">
        <v>8</v>
      </c>
      <c r="I586" s="158">
        <v>19</v>
      </c>
    </row>
    <row r="587" spans="1:9" x14ac:dyDescent="0.3">
      <c r="A587" s="169" t="s">
        <v>538</v>
      </c>
      <c r="B587" s="90" t="s">
        <v>403</v>
      </c>
      <c r="C587" s="215" t="s">
        <v>1967</v>
      </c>
      <c r="D587" s="90">
        <v>1</v>
      </c>
      <c r="E587" s="90">
        <v>1</v>
      </c>
      <c r="F587" s="215">
        <v>39.700000000000003</v>
      </c>
      <c r="G587" s="90">
        <v>5</v>
      </c>
      <c r="H587" s="90">
        <v>19</v>
      </c>
      <c r="I587" s="158">
        <v>15</v>
      </c>
    </row>
    <row r="588" spans="1:9" x14ac:dyDescent="0.3">
      <c r="A588" s="169" t="s">
        <v>538</v>
      </c>
      <c r="B588" s="90" t="s">
        <v>403</v>
      </c>
      <c r="C588" s="215" t="s">
        <v>1968</v>
      </c>
      <c r="D588" s="90">
        <v>1</v>
      </c>
      <c r="E588" s="90">
        <v>1</v>
      </c>
      <c r="F588" s="215">
        <v>25.9</v>
      </c>
      <c r="G588" s="90">
        <v>4</v>
      </c>
      <c r="H588" s="90">
        <v>19</v>
      </c>
      <c r="I588" s="158">
        <v>15</v>
      </c>
    </row>
    <row r="589" spans="1:9" x14ac:dyDescent="0.3">
      <c r="A589" s="169" t="s">
        <v>538</v>
      </c>
      <c r="B589" s="90" t="s">
        <v>403</v>
      </c>
      <c r="C589" s="215" t="s">
        <v>1969</v>
      </c>
      <c r="D589" s="90">
        <v>1</v>
      </c>
      <c r="E589" s="90">
        <v>1</v>
      </c>
      <c r="F589" s="215">
        <v>19.399999999999999</v>
      </c>
      <c r="G589" s="90">
        <v>3</v>
      </c>
      <c r="H589" s="90">
        <v>8</v>
      </c>
      <c r="I589" s="158">
        <v>14</v>
      </c>
    </row>
    <row r="590" spans="1:9" x14ac:dyDescent="0.3">
      <c r="A590" s="169" t="s">
        <v>538</v>
      </c>
      <c r="B590" s="90" t="s">
        <v>403</v>
      </c>
      <c r="C590" s="216" t="s">
        <v>1970</v>
      </c>
      <c r="D590" s="90">
        <v>1</v>
      </c>
      <c r="E590" s="90">
        <v>1</v>
      </c>
      <c r="F590" s="215">
        <v>13</v>
      </c>
      <c r="G590" s="90">
        <v>2</v>
      </c>
      <c r="H590" s="90">
        <v>7</v>
      </c>
      <c r="I590" s="158">
        <v>14</v>
      </c>
    </row>
    <row r="591" spans="1:9" x14ac:dyDescent="0.3">
      <c r="A591" s="169" t="s">
        <v>538</v>
      </c>
      <c r="B591" s="90" t="s">
        <v>403</v>
      </c>
      <c r="C591" s="215" t="s">
        <v>1971</v>
      </c>
      <c r="D591" s="90">
        <v>1</v>
      </c>
      <c r="E591" s="90">
        <v>1</v>
      </c>
      <c r="F591" s="215">
        <v>3.9</v>
      </c>
      <c r="G591" s="90">
        <v>1</v>
      </c>
      <c r="H591" s="90">
        <v>7</v>
      </c>
      <c r="I591" s="158">
        <v>17</v>
      </c>
    </row>
    <row r="592" spans="1:9" x14ac:dyDescent="0.3">
      <c r="A592" s="169" t="s">
        <v>538</v>
      </c>
      <c r="B592" s="90" t="s">
        <v>403</v>
      </c>
      <c r="C592" s="215" t="s">
        <v>1972</v>
      </c>
      <c r="D592" s="90">
        <v>1</v>
      </c>
      <c r="E592" s="90">
        <v>1</v>
      </c>
      <c r="F592" s="215">
        <v>5.7</v>
      </c>
      <c r="G592" s="90">
        <v>1</v>
      </c>
      <c r="H592" s="90">
        <v>7</v>
      </c>
      <c r="I592" s="158">
        <v>17</v>
      </c>
    </row>
    <row r="593" spans="1:9" x14ac:dyDescent="0.3">
      <c r="A593" s="169" t="s">
        <v>538</v>
      </c>
      <c r="B593" s="90" t="s">
        <v>403</v>
      </c>
      <c r="C593" s="215" t="s">
        <v>1973</v>
      </c>
      <c r="D593" s="90">
        <v>1</v>
      </c>
      <c r="E593" s="90">
        <v>1</v>
      </c>
      <c r="F593" s="215">
        <v>8.6999999999999993</v>
      </c>
      <c r="G593" s="90">
        <v>2</v>
      </c>
      <c r="H593" s="90">
        <v>7</v>
      </c>
      <c r="I593" s="158">
        <v>17</v>
      </c>
    </row>
    <row r="594" spans="1:9" x14ac:dyDescent="0.3">
      <c r="A594" s="169" t="s">
        <v>538</v>
      </c>
      <c r="B594" s="90" t="s">
        <v>403</v>
      </c>
      <c r="C594" s="215" t="s">
        <v>1974</v>
      </c>
      <c r="D594" s="91">
        <v>1</v>
      </c>
      <c r="E594" s="91">
        <v>1</v>
      </c>
      <c r="F594" s="215">
        <v>6.2</v>
      </c>
      <c r="G594" s="90">
        <v>1</v>
      </c>
      <c r="H594" s="90">
        <v>7</v>
      </c>
      <c r="I594" s="158">
        <v>17</v>
      </c>
    </row>
    <row r="595" spans="1:9" x14ac:dyDescent="0.3">
      <c r="A595" s="169" t="s">
        <v>538</v>
      </c>
      <c r="B595" s="90" t="s">
        <v>403</v>
      </c>
      <c r="C595" s="215" t="s">
        <v>1975</v>
      </c>
      <c r="D595" s="91">
        <v>1</v>
      </c>
      <c r="E595" s="91">
        <v>1</v>
      </c>
      <c r="F595" s="215">
        <v>10.199999999999999</v>
      </c>
      <c r="G595" s="90">
        <v>2</v>
      </c>
      <c r="H595" s="90">
        <v>7</v>
      </c>
      <c r="I595" s="158">
        <v>17</v>
      </c>
    </row>
    <row r="596" spans="1:9" x14ac:dyDescent="0.3">
      <c r="A596" s="169" t="s">
        <v>538</v>
      </c>
      <c r="B596" s="90" t="s">
        <v>403</v>
      </c>
      <c r="C596" s="215" t="s">
        <v>404</v>
      </c>
      <c r="D596" s="190">
        <v>1</v>
      </c>
      <c r="E596" s="190">
        <v>1</v>
      </c>
      <c r="F596" s="86">
        <v>0</v>
      </c>
      <c r="G596" s="90" t="s">
        <v>986</v>
      </c>
      <c r="H596" s="90" t="s">
        <v>986</v>
      </c>
      <c r="I596" s="90" t="s">
        <v>986</v>
      </c>
    </row>
    <row r="597" spans="1:9" x14ac:dyDescent="0.3">
      <c r="A597" s="169" t="s">
        <v>541</v>
      </c>
      <c r="B597" s="214" t="s">
        <v>1684</v>
      </c>
      <c r="C597" s="90" t="s">
        <v>590</v>
      </c>
      <c r="D597" s="90">
        <v>1</v>
      </c>
      <c r="E597" s="90">
        <v>1</v>
      </c>
      <c r="F597" s="215">
        <v>7.6</v>
      </c>
      <c r="G597" s="90">
        <v>1</v>
      </c>
      <c r="H597" s="90">
        <v>7</v>
      </c>
      <c r="I597" s="158">
        <v>9</v>
      </c>
    </row>
    <row r="598" spans="1:9" x14ac:dyDescent="0.3">
      <c r="A598" s="169" t="s">
        <v>541</v>
      </c>
      <c r="B598" s="214" t="s">
        <v>373</v>
      </c>
      <c r="C598" s="90" t="s">
        <v>590</v>
      </c>
      <c r="D598" s="91">
        <v>1</v>
      </c>
      <c r="E598" s="91">
        <v>1</v>
      </c>
      <c r="F598" s="215">
        <v>8.1999999999999993</v>
      </c>
      <c r="G598" s="90">
        <v>1</v>
      </c>
      <c r="H598" s="90">
        <v>7</v>
      </c>
      <c r="I598" s="158">
        <v>10</v>
      </c>
    </row>
    <row r="599" spans="1:9" x14ac:dyDescent="0.3">
      <c r="A599" s="169" t="s">
        <v>541</v>
      </c>
      <c r="B599" s="214" t="s">
        <v>374</v>
      </c>
      <c r="C599" s="90" t="s">
        <v>590</v>
      </c>
      <c r="D599" s="91">
        <v>1</v>
      </c>
      <c r="E599" s="91">
        <v>1</v>
      </c>
      <c r="F599" s="215">
        <v>9.6999999999999993</v>
      </c>
      <c r="G599" s="158">
        <v>2</v>
      </c>
      <c r="H599" s="158">
        <v>9</v>
      </c>
      <c r="I599" s="158">
        <v>10</v>
      </c>
    </row>
    <row r="600" spans="1:9" ht="14.4" customHeight="1" x14ac:dyDescent="0.3">
      <c r="A600" s="169" t="s">
        <v>541</v>
      </c>
      <c r="B600" s="214" t="s">
        <v>436</v>
      </c>
      <c r="C600" s="90" t="s">
        <v>590</v>
      </c>
      <c r="D600" s="91">
        <v>1</v>
      </c>
      <c r="E600" s="91">
        <v>1</v>
      </c>
      <c r="F600" s="215">
        <v>9.6999999999999993</v>
      </c>
      <c r="G600" s="158">
        <v>2</v>
      </c>
      <c r="H600" s="158">
        <v>7</v>
      </c>
      <c r="I600" s="158">
        <v>17</v>
      </c>
    </row>
    <row r="601" spans="1:9" ht="14.4" customHeight="1" x14ac:dyDescent="0.3">
      <c r="A601" s="169" t="s">
        <v>541</v>
      </c>
      <c r="B601" s="214" t="s">
        <v>1701</v>
      </c>
      <c r="C601" s="90" t="s">
        <v>590</v>
      </c>
      <c r="D601" s="91">
        <v>1</v>
      </c>
      <c r="E601" s="91">
        <v>1</v>
      </c>
      <c r="F601" s="215">
        <v>8.5</v>
      </c>
      <c r="G601" s="158">
        <v>1</v>
      </c>
      <c r="H601" s="158">
        <v>7</v>
      </c>
      <c r="I601" s="158">
        <v>17</v>
      </c>
    </row>
    <row r="602" spans="1:9" ht="14.4" customHeight="1" x14ac:dyDescent="0.3">
      <c r="A602" s="169" t="s">
        <v>541</v>
      </c>
      <c r="B602" s="214" t="s">
        <v>593</v>
      </c>
      <c r="C602" s="90" t="s">
        <v>590</v>
      </c>
      <c r="D602" s="91">
        <v>1</v>
      </c>
      <c r="E602" s="91">
        <v>1</v>
      </c>
      <c r="F602" s="215">
        <v>8.4</v>
      </c>
      <c r="G602" s="158">
        <v>1</v>
      </c>
      <c r="H602" s="158">
        <v>7</v>
      </c>
      <c r="I602" s="158">
        <v>17</v>
      </c>
    </row>
    <row r="603" spans="1:9" x14ac:dyDescent="0.3">
      <c r="A603" s="169" t="s">
        <v>541</v>
      </c>
      <c r="B603" s="91" t="s">
        <v>375</v>
      </c>
      <c r="C603" s="91" t="s">
        <v>590</v>
      </c>
      <c r="D603" s="91">
        <v>1</v>
      </c>
      <c r="E603" s="91">
        <v>4</v>
      </c>
      <c r="F603" s="215">
        <v>6.6</v>
      </c>
      <c r="G603" s="158">
        <v>1</v>
      </c>
      <c r="H603" s="158">
        <v>7</v>
      </c>
      <c r="I603" s="158">
        <v>17</v>
      </c>
    </row>
    <row r="604" spans="1:9" x14ac:dyDescent="0.3">
      <c r="A604" s="169" t="s">
        <v>541</v>
      </c>
      <c r="B604" s="91" t="s">
        <v>375</v>
      </c>
      <c r="C604" s="91" t="s">
        <v>590</v>
      </c>
      <c r="D604" s="91">
        <v>5</v>
      </c>
      <c r="E604" s="91">
        <v>999</v>
      </c>
      <c r="F604" s="216">
        <v>6.6</v>
      </c>
      <c r="G604" s="158">
        <v>1</v>
      </c>
      <c r="H604" s="158">
        <v>6</v>
      </c>
      <c r="I604" s="158">
        <v>9</v>
      </c>
    </row>
    <row r="605" spans="1:9" x14ac:dyDescent="0.3">
      <c r="A605" s="169" t="s">
        <v>541</v>
      </c>
      <c r="B605" s="214" t="s">
        <v>1685</v>
      </c>
      <c r="C605" s="90" t="s">
        <v>590</v>
      </c>
      <c r="D605" s="91">
        <v>1</v>
      </c>
      <c r="E605" s="91">
        <v>1</v>
      </c>
      <c r="F605" s="215">
        <v>7</v>
      </c>
      <c r="G605" s="158">
        <v>1</v>
      </c>
      <c r="H605" s="158">
        <v>9</v>
      </c>
      <c r="I605" s="158">
        <v>9</v>
      </c>
    </row>
    <row r="606" spans="1:9" x14ac:dyDescent="0.3">
      <c r="A606" s="169" t="s">
        <v>541</v>
      </c>
      <c r="B606" s="214" t="s">
        <v>1686</v>
      </c>
      <c r="C606" s="90" t="s">
        <v>590</v>
      </c>
      <c r="D606" s="91">
        <v>1</v>
      </c>
      <c r="E606" s="91">
        <v>1</v>
      </c>
      <c r="F606" s="215">
        <v>5.7</v>
      </c>
      <c r="G606" s="158">
        <v>1</v>
      </c>
      <c r="H606" s="158">
        <v>9</v>
      </c>
      <c r="I606" s="158">
        <v>9</v>
      </c>
    </row>
    <row r="607" spans="1:9" x14ac:dyDescent="0.3">
      <c r="A607" s="169" t="s">
        <v>541</v>
      </c>
      <c r="B607" s="214" t="s">
        <v>378</v>
      </c>
      <c r="C607" s="90" t="s">
        <v>590</v>
      </c>
      <c r="D607" s="91">
        <v>1</v>
      </c>
      <c r="E607" s="91">
        <v>1</v>
      </c>
      <c r="F607" s="215">
        <v>7.3</v>
      </c>
      <c r="G607" s="158">
        <v>1</v>
      </c>
      <c r="H607" s="158">
        <v>9</v>
      </c>
      <c r="I607" s="158">
        <v>9</v>
      </c>
    </row>
    <row r="608" spans="1:9" x14ac:dyDescent="0.3">
      <c r="A608" s="169" t="s">
        <v>541</v>
      </c>
      <c r="B608" s="214" t="s">
        <v>1687</v>
      </c>
      <c r="C608" s="90" t="s">
        <v>590</v>
      </c>
      <c r="D608" s="91">
        <v>1</v>
      </c>
      <c r="E608" s="91">
        <v>2</v>
      </c>
      <c r="F608" s="215">
        <v>8.8000000000000007</v>
      </c>
      <c r="G608" s="158">
        <v>1</v>
      </c>
      <c r="H608" s="158">
        <v>7</v>
      </c>
      <c r="I608" s="158">
        <v>9</v>
      </c>
    </row>
    <row r="609" spans="1:9" x14ac:dyDescent="0.3">
      <c r="A609" s="169" t="s">
        <v>541</v>
      </c>
      <c r="B609" s="214" t="s">
        <v>1687</v>
      </c>
      <c r="C609" s="90" t="s">
        <v>590</v>
      </c>
      <c r="D609" s="91">
        <v>3</v>
      </c>
      <c r="E609" s="91">
        <v>999</v>
      </c>
      <c r="F609" s="216">
        <v>8.8000000000000007</v>
      </c>
      <c r="G609" s="158">
        <v>1</v>
      </c>
      <c r="H609" s="158">
        <v>7</v>
      </c>
      <c r="I609" s="158">
        <v>9</v>
      </c>
    </row>
    <row r="610" spans="1:9" x14ac:dyDescent="0.3">
      <c r="A610" s="169" t="s">
        <v>541</v>
      </c>
      <c r="B610" s="214" t="s">
        <v>379</v>
      </c>
      <c r="C610" s="90" t="s">
        <v>590</v>
      </c>
      <c r="D610" s="91">
        <v>1</v>
      </c>
      <c r="E610" s="91">
        <v>1</v>
      </c>
      <c r="F610" s="216">
        <v>11.3</v>
      </c>
      <c r="G610" s="158">
        <v>2</v>
      </c>
      <c r="H610" s="158">
        <v>7</v>
      </c>
      <c r="I610" s="158">
        <v>10</v>
      </c>
    </row>
    <row r="611" spans="1:9" x14ac:dyDescent="0.3">
      <c r="A611" s="169" t="s">
        <v>541</v>
      </c>
      <c r="B611" s="214" t="s">
        <v>1688</v>
      </c>
      <c r="C611" s="90" t="s">
        <v>590</v>
      </c>
      <c r="D611" s="91">
        <v>1</v>
      </c>
      <c r="E611" s="91">
        <v>4</v>
      </c>
      <c r="F611" s="216">
        <v>8.1</v>
      </c>
      <c r="G611" s="158">
        <v>1</v>
      </c>
      <c r="H611" s="158">
        <v>7</v>
      </c>
      <c r="I611" s="158">
        <v>9</v>
      </c>
    </row>
    <row r="612" spans="1:9" x14ac:dyDescent="0.3">
      <c r="A612" s="169" t="s">
        <v>541</v>
      </c>
      <c r="B612" s="214" t="s">
        <v>1688</v>
      </c>
      <c r="C612" s="90" t="s">
        <v>590</v>
      </c>
      <c r="D612" s="91">
        <v>5</v>
      </c>
      <c r="E612" s="91">
        <v>999</v>
      </c>
      <c r="F612" s="216">
        <v>8.1</v>
      </c>
      <c r="G612" s="158">
        <v>1</v>
      </c>
      <c r="H612" s="158">
        <v>7</v>
      </c>
      <c r="I612" s="158">
        <v>9</v>
      </c>
    </row>
    <row r="613" spans="1:9" x14ac:dyDescent="0.3">
      <c r="A613" s="169" t="s">
        <v>541</v>
      </c>
      <c r="B613" s="214" t="s">
        <v>381</v>
      </c>
      <c r="C613" s="90" t="s">
        <v>590</v>
      </c>
      <c r="D613" s="91">
        <v>1</v>
      </c>
      <c r="E613" s="91">
        <v>2</v>
      </c>
      <c r="F613" s="216">
        <v>8.4</v>
      </c>
      <c r="G613" s="90">
        <v>1</v>
      </c>
      <c r="H613" s="91">
        <v>7</v>
      </c>
      <c r="I613" s="91">
        <v>18</v>
      </c>
    </row>
    <row r="614" spans="1:9" x14ac:dyDescent="0.3">
      <c r="A614" s="169" t="s">
        <v>541</v>
      </c>
      <c r="B614" s="214" t="s">
        <v>381</v>
      </c>
      <c r="C614" s="90" t="s">
        <v>590</v>
      </c>
      <c r="D614" s="91">
        <v>3</v>
      </c>
      <c r="E614" s="91">
        <v>999</v>
      </c>
      <c r="F614" s="216">
        <v>8.4</v>
      </c>
      <c r="G614" s="90">
        <v>1</v>
      </c>
      <c r="H614" s="91">
        <v>7</v>
      </c>
      <c r="I614" s="91">
        <v>18</v>
      </c>
    </row>
    <row r="615" spans="1:9" x14ac:dyDescent="0.3">
      <c r="A615" s="169" t="s">
        <v>541</v>
      </c>
      <c r="B615" s="214" t="s">
        <v>1702</v>
      </c>
      <c r="C615" s="90" t="s">
        <v>590</v>
      </c>
      <c r="D615" s="91">
        <v>1</v>
      </c>
      <c r="E615" s="91">
        <v>4</v>
      </c>
      <c r="F615" s="216">
        <v>5.5</v>
      </c>
      <c r="G615" s="158">
        <v>1</v>
      </c>
      <c r="H615" s="158">
        <v>6</v>
      </c>
      <c r="I615" s="158">
        <v>9</v>
      </c>
    </row>
    <row r="616" spans="1:9" x14ac:dyDescent="0.3">
      <c r="A616" s="169" t="s">
        <v>541</v>
      </c>
      <c r="B616" s="214" t="s">
        <v>1702</v>
      </c>
      <c r="C616" s="90" t="s">
        <v>590</v>
      </c>
      <c r="D616" s="91">
        <v>5</v>
      </c>
      <c r="E616" s="91">
        <v>999</v>
      </c>
      <c r="F616" s="216">
        <v>5.5</v>
      </c>
      <c r="G616" s="158">
        <v>1</v>
      </c>
      <c r="H616" s="158">
        <v>6</v>
      </c>
      <c r="I616" s="158">
        <v>9</v>
      </c>
    </row>
    <row r="617" spans="1:9" x14ac:dyDescent="0.3">
      <c r="A617" s="169" t="s">
        <v>541</v>
      </c>
      <c r="B617" s="214" t="s">
        <v>1703</v>
      </c>
      <c r="C617" s="90" t="s">
        <v>590</v>
      </c>
      <c r="D617" s="91">
        <v>1</v>
      </c>
      <c r="E617" s="91">
        <v>4</v>
      </c>
      <c r="F617" s="216">
        <v>5.5</v>
      </c>
      <c r="G617" s="158">
        <v>1</v>
      </c>
      <c r="H617" s="158">
        <v>6</v>
      </c>
      <c r="I617" s="158">
        <v>9</v>
      </c>
    </row>
    <row r="618" spans="1:9" x14ac:dyDescent="0.3">
      <c r="A618" s="169" t="s">
        <v>541</v>
      </c>
      <c r="B618" s="214" t="s">
        <v>1703</v>
      </c>
      <c r="C618" s="90" t="s">
        <v>590</v>
      </c>
      <c r="D618" s="91">
        <v>5</v>
      </c>
      <c r="E618" s="91">
        <v>999</v>
      </c>
      <c r="F618" s="216">
        <v>5.5</v>
      </c>
      <c r="G618" s="158">
        <v>1</v>
      </c>
      <c r="H618" s="158">
        <v>6</v>
      </c>
      <c r="I618" s="158">
        <v>9</v>
      </c>
    </row>
    <row r="619" spans="1:9" x14ac:dyDescent="0.3">
      <c r="A619" s="169" t="s">
        <v>541</v>
      </c>
      <c r="B619" s="214" t="s">
        <v>1689</v>
      </c>
      <c r="C619" s="90" t="s">
        <v>590</v>
      </c>
      <c r="D619" s="91">
        <v>1</v>
      </c>
      <c r="E619" s="91">
        <v>1</v>
      </c>
      <c r="F619" s="216">
        <v>9.6999999999999993</v>
      </c>
      <c r="G619" s="158">
        <v>2</v>
      </c>
      <c r="H619" s="158">
        <v>9</v>
      </c>
      <c r="I619" s="158">
        <v>13</v>
      </c>
    </row>
    <row r="620" spans="1:9" x14ac:dyDescent="0.3">
      <c r="A620" s="169" t="s">
        <v>541</v>
      </c>
      <c r="B620" s="214" t="s">
        <v>1690</v>
      </c>
      <c r="C620" s="90" t="s">
        <v>590</v>
      </c>
      <c r="D620" s="91">
        <v>1</v>
      </c>
      <c r="E620" s="91">
        <v>1</v>
      </c>
      <c r="F620" s="216">
        <v>8.9</v>
      </c>
      <c r="G620" s="158">
        <v>2</v>
      </c>
      <c r="H620" s="158">
        <v>7</v>
      </c>
      <c r="I620" s="158">
        <v>17</v>
      </c>
    </row>
    <row r="621" spans="1:9" x14ac:dyDescent="0.3">
      <c r="A621" s="169" t="s">
        <v>541</v>
      </c>
      <c r="B621" s="214" t="s">
        <v>1691</v>
      </c>
      <c r="C621" s="90" t="s">
        <v>590</v>
      </c>
      <c r="D621" s="91">
        <v>1</v>
      </c>
      <c r="E621" s="91">
        <v>4</v>
      </c>
      <c r="F621" s="216">
        <v>7.3</v>
      </c>
      <c r="G621" s="158">
        <v>1</v>
      </c>
      <c r="H621" s="158">
        <v>6</v>
      </c>
      <c r="I621" s="158">
        <v>9</v>
      </c>
    </row>
    <row r="622" spans="1:9" x14ac:dyDescent="0.3">
      <c r="A622" s="169" t="s">
        <v>541</v>
      </c>
      <c r="B622" s="214" t="s">
        <v>1691</v>
      </c>
      <c r="C622" s="90" t="s">
        <v>590</v>
      </c>
      <c r="D622" s="91">
        <v>5</v>
      </c>
      <c r="E622" s="91">
        <v>999</v>
      </c>
      <c r="F622" s="216">
        <v>7.3</v>
      </c>
      <c r="G622" s="158">
        <v>1</v>
      </c>
      <c r="H622" s="158">
        <v>6</v>
      </c>
      <c r="I622" s="158">
        <v>9</v>
      </c>
    </row>
    <row r="623" spans="1:9" x14ac:dyDescent="0.3">
      <c r="A623" s="169" t="s">
        <v>541</v>
      </c>
      <c r="B623" s="214" t="s">
        <v>385</v>
      </c>
      <c r="C623" s="90" t="s">
        <v>590</v>
      </c>
      <c r="D623" s="91">
        <v>1</v>
      </c>
      <c r="E623" s="91">
        <v>2</v>
      </c>
      <c r="F623" s="216">
        <v>11.4</v>
      </c>
      <c r="G623" s="158">
        <v>2</v>
      </c>
      <c r="H623" s="158">
        <v>17</v>
      </c>
      <c r="I623" s="158">
        <v>17</v>
      </c>
    </row>
    <row r="624" spans="1:9" x14ac:dyDescent="0.3">
      <c r="A624" s="169" t="s">
        <v>541</v>
      </c>
      <c r="B624" s="214" t="s">
        <v>385</v>
      </c>
      <c r="C624" s="90" t="s">
        <v>590</v>
      </c>
      <c r="D624" s="91">
        <v>3</v>
      </c>
      <c r="E624" s="91">
        <v>99</v>
      </c>
      <c r="F624" s="216">
        <v>11.4</v>
      </c>
      <c r="G624" s="158">
        <v>2</v>
      </c>
      <c r="H624" s="158">
        <v>17</v>
      </c>
      <c r="I624" s="158">
        <v>17</v>
      </c>
    </row>
    <row r="625" spans="1:9" x14ac:dyDescent="0.3">
      <c r="A625" s="169" t="s">
        <v>541</v>
      </c>
      <c r="B625" s="214" t="s">
        <v>386</v>
      </c>
      <c r="C625" s="90" t="s">
        <v>590</v>
      </c>
      <c r="D625" s="91">
        <v>1</v>
      </c>
      <c r="E625" s="91">
        <v>2</v>
      </c>
      <c r="F625" s="216">
        <v>8.5</v>
      </c>
      <c r="G625" s="158">
        <v>1</v>
      </c>
      <c r="H625" s="158">
        <v>7</v>
      </c>
      <c r="I625" s="158">
        <v>9</v>
      </c>
    </row>
    <row r="626" spans="1:9" x14ac:dyDescent="0.3">
      <c r="A626" s="169" t="s">
        <v>541</v>
      </c>
      <c r="B626" s="214" t="s">
        <v>386</v>
      </c>
      <c r="C626" s="90" t="s">
        <v>590</v>
      </c>
      <c r="D626" s="91">
        <v>3</v>
      </c>
      <c r="E626" s="91">
        <v>999</v>
      </c>
      <c r="F626" s="216">
        <v>8.5</v>
      </c>
      <c r="G626" s="158">
        <v>1</v>
      </c>
      <c r="H626" s="158">
        <v>7</v>
      </c>
      <c r="I626" s="158">
        <v>9</v>
      </c>
    </row>
    <row r="627" spans="1:9" x14ac:dyDescent="0.3">
      <c r="A627" s="169" t="s">
        <v>541</v>
      </c>
      <c r="B627" s="214" t="s">
        <v>596</v>
      </c>
      <c r="C627" s="90" t="s">
        <v>590</v>
      </c>
      <c r="D627" s="91">
        <v>1</v>
      </c>
      <c r="E627" s="91">
        <v>1</v>
      </c>
      <c r="F627" s="215">
        <v>8.1</v>
      </c>
      <c r="G627" s="158">
        <v>1</v>
      </c>
      <c r="H627" s="158">
        <v>7</v>
      </c>
      <c r="I627" s="158">
        <v>9</v>
      </c>
    </row>
    <row r="628" spans="1:9" x14ac:dyDescent="0.3">
      <c r="A628" s="169" t="s">
        <v>541</v>
      </c>
      <c r="B628" s="214" t="s">
        <v>597</v>
      </c>
      <c r="C628" s="90" t="s">
        <v>590</v>
      </c>
      <c r="D628" s="91">
        <v>1</v>
      </c>
      <c r="E628" s="91">
        <v>1</v>
      </c>
      <c r="F628" s="215">
        <v>12.7</v>
      </c>
      <c r="G628" s="158">
        <v>2</v>
      </c>
      <c r="H628" s="158">
        <v>7</v>
      </c>
      <c r="I628" s="158">
        <v>14</v>
      </c>
    </row>
    <row r="629" spans="1:9" x14ac:dyDescent="0.3">
      <c r="A629" s="169" t="s">
        <v>541</v>
      </c>
      <c r="B629" s="214" t="s">
        <v>1692</v>
      </c>
      <c r="C629" s="90" t="s">
        <v>590</v>
      </c>
      <c r="D629" s="91">
        <v>1</v>
      </c>
      <c r="E629" s="91">
        <v>1</v>
      </c>
      <c r="F629" s="215">
        <v>8.6</v>
      </c>
      <c r="G629" s="158">
        <v>1</v>
      </c>
      <c r="H629" s="158">
        <v>9</v>
      </c>
      <c r="I629" s="158">
        <v>9</v>
      </c>
    </row>
    <row r="630" spans="1:9" x14ac:dyDescent="0.3">
      <c r="A630" s="169" t="s">
        <v>541</v>
      </c>
      <c r="B630" s="214" t="s">
        <v>1693</v>
      </c>
      <c r="C630" s="90" t="s">
        <v>590</v>
      </c>
      <c r="D630" s="91">
        <v>1</v>
      </c>
      <c r="E630" s="91">
        <v>2</v>
      </c>
      <c r="F630" s="215">
        <v>7.2</v>
      </c>
      <c r="G630" s="158">
        <v>1</v>
      </c>
      <c r="H630" s="158">
        <v>7</v>
      </c>
      <c r="I630" s="158">
        <v>9</v>
      </c>
    </row>
    <row r="631" spans="1:9" x14ac:dyDescent="0.3">
      <c r="A631" s="169" t="s">
        <v>541</v>
      </c>
      <c r="B631" s="214" t="s">
        <v>1693</v>
      </c>
      <c r="C631" s="90" t="s">
        <v>590</v>
      </c>
      <c r="D631" s="91">
        <v>3</v>
      </c>
      <c r="E631" s="91">
        <v>999</v>
      </c>
      <c r="F631" s="216">
        <v>7.2</v>
      </c>
      <c r="G631" s="158">
        <v>1</v>
      </c>
      <c r="H631" s="158">
        <v>7</v>
      </c>
      <c r="I631" s="158">
        <v>9</v>
      </c>
    </row>
    <row r="632" spans="1:9" x14ac:dyDescent="0.3">
      <c r="A632" s="169" t="s">
        <v>541</v>
      </c>
      <c r="B632" s="214" t="s">
        <v>1694</v>
      </c>
      <c r="C632" s="90" t="s">
        <v>590</v>
      </c>
      <c r="D632" s="91">
        <v>1</v>
      </c>
      <c r="E632" s="91">
        <v>1</v>
      </c>
      <c r="F632" s="216">
        <v>10.1</v>
      </c>
      <c r="G632" s="158">
        <v>2</v>
      </c>
      <c r="H632" s="158">
        <v>7</v>
      </c>
      <c r="I632" s="158">
        <v>17</v>
      </c>
    </row>
    <row r="633" spans="1:9" x14ac:dyDescent="0.3">
      <c r="A633" s="169" t="s">
        <v>541</v>
      </c>
      <c r="B633" s="214" t="s">
        <v>1695</v>
      </c>
      <c r="C633" s="90" t="s">
        <v>590</v>
      </c>
      <c r="D633" s="91">
        <v>1</v>
      </c>
      <c r="E633" s="91">
        <v>2</v>
      </c>
      <c r="F633" s="216">
        <v>11.4</v>
      </c>
      <c r="G633" s="158">
        <v>2</v>
      </c>
      <c r="H633" s="158">
        <v>7</v>
      </c>
      <c r="I633" s="158">
        <v>18</v>
      </c>
    </row>
    <row r="634" spans="1:9" x14ac:dyDescent="0.3">
      <c r="A634" s="169" t="s">
        <v>541</v>
      </c>
      <c r="B634" s="214" t="s">
        <v>1695</v>
      </c>
      <c r="C634" s="90" t="s">
        <v>590</v>
      </c>
      <c r="D634" s="91">
        <v>3</v>
      </c>
      <c r="E634" s="91">
        <v>999</v>
      </c>
      <c r="F634" s="216">
        <v>11.4</v>
      </c>
      <c r="G634" s="158">
        <v>2</v>
      </c>
      <c r="H634" s="158">
        <v>7</v>
      </c>
      <c r="I634" s="158">
        <v>18</v>
      </c>
    </row>
    <row r="635" spans="1:9" x14ac:dyDescent="0.3">
      <c r="A635" s="169" t="s">
        <v>541</v>
      </c>
      <c r="B635" s="214" t="s">
        <v>1696</v>
      </c>
      <c r="C635" s="90" t="s">
        <v>590</v>
      </c>
      <c r="D635" s="91">
        <v>1</v>
      </c>
      <c r="E635" s="91">
        <v>4</v>
      </c>
      <c r="F635" s="216">
        <v>8.6999999999999993</v>
      </c>
      <c r="G635" s="158">
        <v>2</v>
      </c>
      <c r="H635" s="158">
        <v>7</v>
      </c>
      <c r="I635" s="158">
        <v>17</v>
      </c>
    </row>
    <row r="636" spans="1:9" x14ac:dyDescent="0.3">
      <c r="A636" s="169" t="s">
        <v>541</v>
      </c>
      <c r="B636" s="214" t="s">
        <v>1696</v>
      </c>
      <c r="C636" s="90" t="s">
        <v>590</v>
      </c>
      <c r="D636" s="91">
        <v>5</v>
      </c>
      <c r="E636" s="91">
        <v>999</v>
      </c>
      <c r="F636" s="216">
        <v>8.6999999999999993</v>
      </c>
      <c r="G636" s="158">
        <v>2</v>
      </c>
      <c r="H636" s="158">
        <v>7</v>
      </c>
      <c r="I636" s="158">
        <v>17</v>
      </c>
    </row>
    <row r="637" spans="1:9" x14ac:dyDescent="0.3">
      <c r="A637" s="169" t="s">
        <v>541</v>
      </c>
      <c r="B637" s="214" t="s">
        <v>1697</v>
      </c>
      <c r="C637" s="90" t="s">
        <v>590</v>
      </c>
      <c r="D637" s="91">
        <v>1</v>
      </c>
      <c r="E637" s="91">
        <v>1</v>
      </c>
      <c r="F637" s="216">
        <v>9.4</v>
      </c>
      <c r="G637" s="158">
        <v>2</v>
      </c>
      <c r="H637" s="158">
        <v>7</v>
      </c>
      <c r="I637" s="158">
        <v>9</v>
      </c>
    </row>
    <row r="638" spans="1:9" x14ac:dyDescent="0.3">
      <c r="A638" s="169" t="s">
        <v>541</v>
      </c>
      <c r="B638" s="214" t="s">
        <v>1698</v>
      </c>
      <c r="C638" s="90" t="s">
        <v>590</v>
      </c>
      <c r="D638" s="91">
        <v>1</v>
      </c>
      <c r="E638" s="91">
        <v>1</v>
      </c>
      <c r="F638" s="216">
        <v>1.6</v>
      </c>
      <c r="G638" s="90">
        <v>1</v>
      </c>
      <c r="H638" s="90">
        <v>7</v>
      </c>
      <c r="I638" s="158">
        <v>17</v>
      </c>
    </row>
    <row r="639" spans="1:9" x14ac:dyDescent="0.3">
      <c r="A639" s="169" t="s">
        <v>541</v>
      </c>
      <c r="B639" s="214" t="s">
        <v>1699</v>
      </c>
      <c r="C639" s="90" t="s">
        <v>590</v>
      </c>
      <c r="D639" s="91">
        <v>1</v>
      </c>
      <c r="E639" s="91">
        <v>4</v>
      </c>
      <c r="F639" s="216">
        <v>8.6</v>
      </c>
      <c r="G639" s="158">
        <v>1</v>
      </c>
      <c r="H639" s="158">
        <v>7</v>
      </c>
      <c r="I639" s="158">
        <v>17</v>
      </c>
    </row>
    <row r="640" spans="1:9" x14ac:dyDescent="0.3">
      <c r="A640" s="169" t="s">
        <v>541</v>
      </c>
      <c r="B640" s="214" t="s">
        <v>1699</v>
      </c>
      <c r="C640" s="90" t="s">
        <v>590</v>
      </c>
      <c r="D640" s="91">
        <v>5</v>
      </c>
      <c r="E640" s="91">
        <v>999</v>
      </c>
      <c r="F640" s="216">
        <v>8.6</v>
      </c>
      <c r="G640" s="158">
        <v>1</v>
      </c>
      <c r="H640" s="158">
        <v>7</v>
      </c>
      <c r="I640" s="158">
        <v>17</v>
      </c>
    </row>
    <row r="641" spans="1:9" x14ac:dyDescent="0.3">
      <c r="A641" s="169" t="s">
        <v>541</v>
      </c>
      <c r="B641" s="214" t="s">
        <v>1700</v>
      </c>
      <c r="C641" s="90" t="s">
        <v>590</v>
      </c>
      <c r="D641" s="91">
        <v>1</v>
      </c>
      <c r="E641" s="91">
        <v>4</v>
      </c>
      <c r="F641" s="216">
        <v>6.6</v>
      </c>
      <c r="G641" s="158">
        <v>1</v>
      </c>
      <c r="H641" s="158">
        <v>9</v>
      </c>
      <c r="I641" s="158">
        <v>9</v>
      </c>
    </row>
    <row r="642" spans="1:9" x14ac:dyDescent="0.3">
      <c r="A642" s="169" t="s">
        <v>541</v>
      </c>
      <c r="B642" s="214" t="s">
        <v>1700</v>
      </c>
      <c r="C642" s="90" t="s">
        <v>590</v>
      </c>
      <c r="D642" s="91">
        <v>5</v>
      </c>
      <c r="E642" s="91">
        <v>999</v>
      </c>
      <c r="F642" s="216">
        <v>6.6</v>
      </c>
      <c r="G642" s="158">
        <v>1</v>
      </c>
      <c r="H642" s="158">
        <v>9</v>
      </c>
      <c r="I642" s="158">
        <v>9</v>
      </c>
    </row>
    <row r="643" spans="1:9" x14ac:dyDescent="0.3">
      <c r="A643" s="169" t="s">
        <v>541</v>
      </c>
      <c r="B643" s="214" t="s">
        <v>395</v>
      </c>
      <c r="C643" s="90" t="s">
        <v>590</v>
      </c>
      <c r="D643" s="91">
        <v>1</v>
      </c>
      <c r="E643" s="91">
        <v>1</v>
      </c>
      <c r="F643" s="216">
        <v>5.2</v>
      </c>
      <c r="G643" s="158">
        <v>1</v>
      </c>
      <c r="H643" s="158">
        <v>9</v>
      </c>
      <c r="I643" s="158">
        <v>9</v>
      </c>
    </row>
    <row r="644" spans="1:9" x14ac:dyDescent="0.3">
      <c r="A644" s="169" t="s">
        <v>541</v>
      </c>
      <c r="B644" s="214" t="s">
        <v>396</v>
      </c>
      <c r="C644" s="90" t="s">
        <v>590</v>
      </c>
      <c r="D644" s="91">
        <v>1</v>
      </c>
      <c r="E644" s="91">
        <v>1</v>
      </c>
      <c r="F644" s="216">
        <v>9.6999999999999993</v>
      </c>
      <c r="G644" s="158">
        <v>2</v>
      </c>
      <c r="H644" s="158">
        <v>7</v>
      </c>
      <c r="I644" s="158">
        <v>9</v>
      </c>
    </row>
    <row r="645" spans="1:9" x14ac:dyDescent="0.3">
      <c r="A645" s="169" t="s">
        <v>541</v>
      </c>
      <c r="B645" s="90" t="s">
        <v>403</v>
      </c>
      <c r="C645" s="215" t="s">
        <v>1716</v>
      </c>
      <c r="D645" s="91">
        <v>1</v>
      </c>
      <c r="E645" s="91">
        <v>1</v>
      </c>
      <c r="F645" s="216"/>
      <c r="G645" s="158">
        <v>4</v>
      </c>
      <c r="H645" s="158">
        <v>7</v>
      </c>
      <c r="I645" s="158">
        <v>17</v>
      </c>
    </row>
    <row r="646" spans="1:9" x14ac:dyDescent="0.3">
      <c r="A646" s="169" t="s">
        <v>541</v>
      </c>
      <c r="B646" s="90" t="s">
        <v>403</v>
      </c>
      <c r="C646" s="215" t="s">
        <v>1717</v>
      </c>
      <c r="D646" s="91">
        <v>1</v>
      </c>
      <c r="E646" s="91">
        <v>1</v>
      </c>
      <c r="F646" s="216"/>
      <c r="G646" s="158">
        <v>4</v>
      </c>
      <c r="H646" s="158">
        <v>7</v>
      </c>
      <c r="I646" s="158">
        <v>17</v>
      </c>
    </row>
    <row r="647" spans="1:9" x14ac:dyDescent="0.3">
      <c r="A647" s="169" t="s">
        <v>541</v>
      </c>
      <c r="B647" s="90" t="s">
        <v>403</v>
      </c>
      <c r="C647" s="215" t="s">
        <v>1718</v>
      </c>
      <c r="D647" s="91">
        <v>1</v>
      </c>
      <c r="E647" s="91">
        <v>1</v>
      </c>
      <c r="F647" s="216"/>
      <c r="G647" s="158">
        <v>4</v>
      </c>
      <c r="H647" s="158">
        <v>7</v>
      </c>
      <c r="I647" s="158">
        <v>17</v>
      </c>
    </row>
    <row r="648" spans="1:9" x14ac:dyDescent="0.3">
      <c r="A648" s="169" t="s">
        <v>541</v>
      </c>
      <c r="B648" s="90" t="s">
        <v>403</v>
      </c>
      <c r="C648" s="215" t="s">
        <v>1719</v>
      </c>
      <c r="D648" s="91">
        <v>1</v>
      </c>
      <c r="E648" s="91">
        <v>1</v>
      </c>
      <c r="F648" s="216"/>
      <c r="G648" s="158">
        <v>4</v>
      </c>
      <c r="H648" s="158">
        <v>7</v>
      </c>
      <c r="I648" s="158">
        <v>17</v>
      </c>
    </row>
    <row r="649" spans="1:9" x14ac:dyDescent="0.3">
      <c r="A649" s="169" t="s">
        <v>541</v>
      </c>
      <c r="B649" s="90" t="s">
        <v>403</v>
      </c>
      <c r="C649" s="215" t="s">
        <v>1720</v>
      </c>
      <c r="D649" s="91">
        <v>1</v>
      </c>
      <c r="E649" s="91">
        <v>1</v>
      </c>
      <c r="F649" s="216"/>
      <c r="G649" s="158">
        <v>4</v>
      </c>
      <c r="H649" s="158">
        <v>7</v>
      </c>
      <c r="I649" s="158">
        <v>17</v>
      </c>
    </row>
    <row r="650" spans="1:9" x14ac:dyDescent="0.3">
      <c r="A650" s="169" t="s">
        <v>541</v>
      </c>
      <c r="B650" s="90" t="s">
        <v>403</v>
      </c>
      <c r="C650" s="215" t="s">
        <v>1721</v>
      </c>
      <c r="D650" s="91">
        <v>1</v>
      </c>
      <c r="E650" s="91">
        <v>1</v>
      </c>
      <c r="F650" s="216"/>
      <c r="G650" s="158">
        <v>4</v>
      </c>
      <c r="H650" s="158">
        <v>7</v>
      </c>
      <c r="I650" s="158">
        <v>17</v>
      </c>
    </row>
    <row r="651" spans="1:9" x14ac:dyDescent="0.3">
      <c r="A651" s="169" t="s">
        <v>541</v>
      </c>
      <c r="B651" s="90" t="s">
        <v>403</v>
      </c>
      <c r="C651" s="215" t="s">
        <v>1722</v>
      </c>
      <c r="D651" s="91">
        <v>1</v>
      </c>
      <c r="E651" s="91">
        <v>1</v>
      </c>
      <c r="F651" s="216"/>
      <c r="G651" s="158">
        <v>4</v>
      </c>
      <c r="H651" s="158">
        <v>7</v>
      </c>
      <c r="I651" s="158">
        <v>17</v>
      </c>
    </row>
    <row r="652" spans="1:9" x14ac:dyDescent="0.3">
      <c r="A652" s="169" t="s">
        <v>541</v>
      </c>
      <c r="B652" s="90" t="s">
        <v>403</v>
      </c>
      <c r="C652" s="215" t="s">
        <v>1723</v>
      </c>
      <c r="D652" s="91">
        <v>1</v>
      </c>
      <c r="E652" s="91">
        <v>1</v>
      </c>
      <c r="F652" s="216"/>
      <c r="G652" s="158">
        <v>4</v>
      </c>
      <c r="H652" s="158">
        <v>7</v>
      </c>
      <c r="I652" s="158">
        <v>17</v>
      </c>
    </row>
    <row r="653" spans="1:9" x14ac:dyDescent="0.3">
      <c r="A653" s="169" t="s">
        <v>541</v>
      </c>
      <c r="B653" s="90" t="s">
        <v>403</v>
      </c>
      <c r="C653" s="215" t="s">
        <v>1724</v>
      </c>
      <c r="D653" s="91">
        <v>1</v>
      </c>
      <c r="E653" s="91">
        <v>1</v>
      </c>
      <c r="F653" s="216"/>
      <c r="G653" s="158">
        <v>4</v>
      </c>
      <c r="H653" s="158">
        <v>7</v>
      </c>
      <c r="I653" s="158">
        <v>17</v>
      </c>
    </row>
    <row r="654" spans="1:9" x14ac:dyDescent="0.3">
      <c r="A654" s="169" t="s">
        <v>541</v>
      </c>
      <c r="B654" s="90" t="s">
        <v>403</v>
      </c>
      <c r="C654" s="215" t="s">
        <v>1725</v>
      </c>
      <c r="D654" s="91">
        <v>1</v>
      </c>
      <c r="E654" s="91">
        <v>1</v>
      </c>
      <c r="F654" s="216"/>
      <c r="G654" s="158">
        <v>4</v>
      </c>
      <c r="H654" s="158">
        <v>7</v>
      </c>
      <c r="I654" s="158">
        <v>17</v>
      </c>
    </row>
    <row r="655" spans="1:9" x14ac:dyDescent="0.3">
      <c r="A655" s="169" t="s">
        <v>541</v>
      </c>
      <c r="B655" s="90" t="s">
        <v>403</v>
      </c>
      <c r="C655" s="215" t="s">
        <v>1726</v>
      </c>
      <c r="D655" s="91">
        <v>1</v>
      </c>
      <c r="E655" s="91">
        <v>1</v>
      </c>
      <c r="F655" s="216"/>
      <c r="G655" s="158">
        <v>4</v>
      </c>
      <c r="H655" s="158">
        <v>7</v>
      </c>
      <c r="I655" s="158">
        <v>17</v>
      </c>
    </row>
    <row r="656" spans="1:9" x14ac:dyDescent="0.3">
      <c r="A656" s="169" t="s">
        <v>541</v>
      </c>
      <c r="B656" s="90" t="s">
        <v>403</v>
      </c>
      <c r="C656" s="215" t="s">
        <v>1727</v>
      </c>
      <c r="D656" s="91">
        <v>1</v>
      </c>
      <c r="E656" s="91">
        <v>1</v>
      </c>
      <c r="F656" s="216"/>
      <c r="G656" s="158">
        <v>4</v>
      </c>
      <c r="H656" s="158">
        <v>7</v>
      </c>
      <c r="I656" s="158">
        <v>17</v>
      </c>
    </row>
    <row r="657" spans="1:9" x14ac:dyDescent="0.3">
      <c r="A657" s="169" t="s">
        <v>541</v>
      </c>
      <c r="B657" s="90" t="s">
        <v>403</v>
      </c>
      <c r="C657" s="215" t="s">
        <v>1728</v>
      </c>
      <c r="D657" s="91">
        <v>1</v>
      </c>
      <c r="E657" s="91">
        <v>1</v>
      </c>
      <c r="F657" s="216"/>
      <c r="G657" s="158">
        <v>4</v>
      </c>
      <c r="H657" s="158">
        <v>7</v>
      </c>
      <c r="I657" s="158">
        <v>17</v>
      </c>
    </row>
    <row r="658" spans="1:9" x14ac:dyDescent="0.3">
      <c r="A658" s="169" t="s">
        <v>541</v>
      </c>
      <c r="B658" s="90" t="s">
        <v>403</v>
      </c>
      <c r="C658" s="215" t="s">
        <v>1729</v>
      </c>
      <c r="D658" s="91">
        <v>1</v>
      </c>
      <c r="E658" s="91">
        <v>1</v>
      </c>
      <c r="F658" s="216"/>
      <c r="G658" s="158">
        <v>4</v>
      </c>
      <c r="H658" s="158">
        <v>7</v>
      </c>
      <c r="I658" s="158">
        <v>17</v>
      </c>
    </row>
    <row r="659" spans="1:9" x14ac:dyDescent="0.3">
      <c r="A659" s="169" t="s">
        <v>541</v>
      </c>
      <c r="B659" s="90" t="s">
        <v>403</v>
      </c>
      <c r="C659" s="215" t="s">
        <v>1730</v>
      </c>
      <c r="D659" s="91">
        <v>1</v>
      </c>
      <c r="E659" s="91">
        <v>1</v>
      </c>
      <c r="F659" s="216"/>
      <c r="G659" s="158">
        <v>4</v>
      </c>
      <c r="H659" s="158">
        <v>7</v>
      </c>
      <c r="I659" s="158">
        <v>17</v>
      </c>
    </row>
    <row r="660" spans="1:9" x14ac:dyDescent="0.3">
      <c r="A660" s="169" t="s">
        <v>541</v>
      </c>
      <c r="B660" s="90" t="s">
        <v>403</v>
      </c>
      <c r="C660" s="215" t="s">
        <v>1731</v>
      </c>
      <c r="D660" s="91">
        <v>1</v>
      </c>
      <c r="E660" s="91">
        <v>1</v>
      </c>
      <c r="F660" s="216"/>
      <c r="G660" s="158">
        <v>4</v>
      </c>
      <c r="H660" s="158">
        <v>7</v>
      </c>
      <c r="I660" s="158">
        <v>17</v>
      </c>
    </row>
    <row r="661" spans="1:9" x14ac:dyDescent="0.3">
      <c r="A661" s="169" t="s">
        <v>541</v>
      </c>
      <c r="B661" s="90" t="s">
        <v>403</v>
      </c>
      <c r="C661" s="215" t="s">
        <v>1732</v>
      </c>
      <c r="D661" s="91">
        <v>1</v>
      </c>
      <c r="E661" s="91">
        <v>1</v>
      </c>
      <c r="F661" s="216"/>
      <c r="G661" s="158">
        <v>4</v>
      </c>
      <c r="H661" s="158">
        <v>7</v>
      </c>
      <c r="I661" s="158">
        <v>17</v>
      </c>
    </row>
    <row r="662" spans="1:9" x14ac:dyDescent="0.3">
      <c r="A662" s="169" t="s">
        <v>541</v>
      </c>
      <c r="B662" s="90" t="s">
        <v>403</v>
      </c>
      <c r="C662" s="215" t="s">
        <v>1733</v>
      </c>
      <c r="D662" s="91">
        <v>1</v>
      </c>
      <c r="E662" s="91">
        <v>1</v>
      </c>
      <c r="F662" s="216"/>
      <c r="G662" s="158">
        <v>4</v>
      </c>
      <c r="H662" s="158">
        <v>7</v>
      </c>
      <c r="I662" s="158">
        <v>17</v>
      </c>
    </row>
    <row r="663" spans="1:9" x14ac:dyDescent="0.3">
      <c r="A663" s="169" t="s">
        <v>541</v>
      </c>
      <c r="B663" s="90" t="s">
        <v>403</v>
      </c>
      <c r="C663" s="215" t="s">
        <v>1734</v>
      </c>
      <c r="D663" s="91">
        <v>1</v>
      </c>
      <c r="E663" s="91">
        <v>1</v>
      </c>
      <c r="F663" s="216"/>
      <c r="G663" s="158">
        <v>4</v>
      </c>
      <c r="H663" s="158">
        <v>7</v>
      </c>
      <c r="I663" s="158">
        <v>17</v>
      </c>
    </row>
    <row r="664" spans="1:9" x14ac:dyDescent="0.3">
      <c r="A664" s="169" t="s">
        <v>541</v>
      </c>
      <c r="B664" s="90" t="s">
        <v>403</v>
      </c>
      <c r="C664" s="215" t="s">
        <v>1735</v>
      </c>
      <c r="D664" s="91">
        <v>1</v>
      </c>
      <c r="E664" s="91">
        <v>1</v>
      </c>
      <c r="F664" s="216"/>
      <c r="G664" s="158">
        <v>4</v>
      </c>
      <c r="H664" s="158">
        <v>7</v>
      </c>
      <c r="I664" s="158">
        <v>17</v>
      </c>
    </row>
    <row r="665" spans="1:9" x14ac:dyDescent="0.3">
      <c r="A665" s="169" t="s">
        <v>541</v>
      </c>
      <c r="B665" s="90" t="s">
        <v>403</v>
      </c>
      <c r="C665" s="215" t="s">
        <v>1736</v>
      </c>
      <c r="D665" s="91">
        <v>1</v>
      </c>
      <c r="E665" s="91">
        <v>1</v>
      </c>
      <c r="F665" s="216"/>
      <c r="G665" s="158">
        <v>4</v>
      </c>
      <c r="H665" s="158">
        <v>7</v>
      </c>
      <c r="I665" s="158">
        <v>17</v>
      </c>
    </row>
    <row r="666" spans="1:9" x14ac:dyDescent="0.3">
      <c r="A666" s="169" t="s">
        <v>541</v>
      </c>
      <c r="B666" s="90" t="s">
        <v>403</v>
      </c>
      <c r="C666" s="215" t="s">
        <v>1737</v>
      </c>
      <c r="D666" s="91">
        <v>1</v>
      </c>
      <c r="E666" s="91">
        <v>1</v>
      </c>
      <c r="F666" s="216"/>
      <c r="G666" s="158">
        <v>4</v>
      </c>
      <c r="H666" s="158">
        <v>7</v>
      </c>
      <c r="I666" s="158">
        <v>17</v>
      </c>
    </row>
    <row r="667" spans="1:9" x14ac:dyDescent="0.3">
      <c r="A667" s="169" t="s">
        <v>541</v>
      </c>
      <c r="B667" s="90" t="s">
        <v>403</v>
      </c>
      <c r="C667" s="215" t="s">
        <v>1738</v>
      </c>
      <c r="D667" s="91">
        <v>1</v>
      </c>
      <c r="E667" s="91">
        <v>1</v>
      </c>
      <c r="F667" s="216"/>
      <c r="G667" s="158">
        <v>4</v>
      </c>
      <c r="H667" s="158">
        <v>17</v>
      </c>
      <c r="I667" s="90">
        <v>13</v>
      </c>
    </row>
    <row r="668" spans="1:9" x14ac:dyDescent="0.3">
      <c r="A668" s="169" t="s">
        <v>541</v>
      </c>
      <c r="B668" s="90" t="s">
        <v>403</v>
      </c>
      <c r="C668" s="215" t="s">
        <v>1739</v>
      </c>
      <c r="D668" s="91">
        <v>1</v>
      </c>
      <c r="E668" s="91">
        <v>1</v>
      </c>
      <c r="F668" s="216"/>
      <c r="G668" s="158">
        <v>4</v>
      </c>
      <c r="H668" s="158">
        <v>17</v>
      </c>
      <c r="I668" s="90">
        <v>13</v>
      </c>
    </row>
    <row r="669" spans="1:9" x14ac:dyDescent="0.3">
      <c r="A669" s="169" t="s">
        <v>541</v>
      </c>
      <c r="B669" s="90" t="s">
        <v>403</v>
      </c>
      <c r="C669" s="215" t="s">
        <v>1740</v>
      </c>
      <c r="D669" s="91">
        <v>1</v>
      </c>
      <c r="E669" s="91">
        <v>1</v>
      </c>
      <c r="F669" s="216"/>
      <c r="G669" s="158">
        <v>4</v>
      </c>
      <c r="H669" s="158">
        <v>17</v>
      </c>
      <c r="I669" s="90">
        <v>13</v>
      </c>
    </row>
    <row r="670" spans="1:9" x14ac:dyDescent="0.3">
      <c r="A670" s="169" t="s">
        <v>541</v>
      </c>
      <c r="B670" s="90" t="s">
        <v>403</v>
      </c>
      <c r="C670" s="215" t="s">
        <v>1741</v>
      </c>
      <c r="D670" s="91">
        <v>1</v>
      </c>
      <c r="E670" s="91">
        <v>1</v>
      </c>
      <c r="F670" s="216"/>
      <c r="G670" s="158">
        <v>4</v>
      </c>
      <c r="H670" s="158">
        <v>17</v>
      </c>
      <c r="I670" s="90">
        <v>13</v>
      </c>
    </row>
    <row r="671" spans="1:9" x14ac:dyDescent="0.3">
      <c r="A671" s="169" t="s">
        <v>541</v>
      </c>
      <c r="B671" s="90" t="s">
        <v>403</v>
      </c>
      <c r="C671" s="215" t="s">
        <v>1742</v>
      </c>
      <c r="D671" s="91">
        <v>1</v>
      </c>
      <c r="E671" s="91">
        <v>1</v>
      </c>
      <c r="F671" s="216"/>
      <c r="G671" s="158">
        <v>4</v>
      </c>
      <c r="H671" s="158">
        <v>17</v>
      </c>
      <c r="I671" s="90">
        <v>13</v>
      </c>
    </row>
    <row r="672" spans="1:9" x14ac:dyDescent="0.3">
      <c r="A672" s="169" t="s">
        <v>541</v>
      </c>
      <c r="B672" s="90" t="s">
        <v>403</v>
      </c>
      <c r="C672" s="215" t="s">
        <v>1743</v>
      </c>
      <c r="D672" s="91">
        <v>1</v>
      </c>
      <c r="E672" s="91">
        <v>1</v>
      </c>
      <c r="F672" s="216"/>
      <c r="G672" s="158">
        <v>4</v>
      </c>
      <c r="H672" s="158">
        <v>17</v>
      </c>
      <c r="I672" s="90">
        <v>13</v>
      </c>
    </row>
    <row r="673" spans="1:9" x14ac:dyDescent="0.3">
      <c r="A673" s="169" t="s">
        <v>541</v>
      </c>
      <c r="B673" s="90" t="s">
        <v>403</v>
      </c>
      <c r="C673" s="215" t="s">
        <v>1744</v>
      </c>
      <c r="D673" s="91">
        <v>1</v>
      </c>
      <c r="E673" s="91">
        <v>1</v>
      </c>
      <c r="F673" s="216"/>
      <c r="G673" s="158">
        <v>4</v>
      </c>
      <c r="H673" s="158">
        <v>17</v>
      </c>
      <c r="I673" s="90">
        <v>13</v>
      </c>
    </row>
    <row r="674" spans="1:9" x14ac:dyDescent="0.3">
      <c r="A674" s="169" t="s">
        <v>541</v>
      </c>
      <c r="B674" s="90" t="s">
        <v>403</v>
      </c>
      <c r="C674" s="215" t="s">
        <v>1745</v>
      </c>
      <c r="D674" s="91">
        <v>1</v>
      </c>
      <c r="E674" s="91">
        <v>1</v>
      </c>
      <c r="F674" s="216"/>
      <c r="G674" s="158">
        <v>4</v>
      </c>
      <c r="H674" s="158">
        <v>17</v>
      </c>
      <c r="I674" s="90">
        <v>13</v>
      </c>
    </row>
    <row r="675" spans="1:9" x14ac:dyDescent="0.3">
      <c r="A675" s="169" t="s">
        <v>541</v>
      </c>
      <c r="B675" s="90" t="s">
        <v>403</v>
      </c>
      <c r="C675" s="215" t="s">
        <v>1746</v>
      </c>
      <c r="D675" s="91">
        <v>1</v>
      </c>
      <c r="E675" s="91">
        <v>1</v>
      </c>
      <c r="F675" s="216"/>
      <c r="G675" s="158">
        <v>4</v>
      </c>
      <c r="H675" s="158">
        <v>17</v>
      </c>
      <c r="I675" s="90">
        <v>13</v>
      </c>
    </row>
    <row r="676" spans="1:9" x14ac:dyDescent="0.3">
      <c r="A676" s="169" t="s">
        <v>541</v>
      </c>
      <c r="B676" s="90" t="s">
        <v>403</v>
      </c>
      <c r="C676" s="215" t="s">
        <v>1747</v>
      </c>
      <c r="D676" s="91">
        <v>1</v>
      </c>
      <c r="E676" s="91">
        <v>1</v>
      </c>
      <c r="F676" s="216"/>
      <c r="G676" s="158">
        <v>4</v>
      </c>
      <c r="H676" s="158">
        <v>17</v>
      </c>
      <c r="I676" s="90">
        <v>13</v>
      </c>
    </row>
    <row r="677" spans="1:9" x14ac:dyDescent="0.3">
      <c r="A677" s="169" t="s">
        <v>541</v>
      </c>
      <c r="B677" s="90" t="s">
        <v>403</v>
      </c>
      <c r="C677" s="215" t="s">
        <v>1748</v>
      </c>
      <c r="D677" s="91">
        <v>1</v>
      </c>
      <c r="E677" s="91">
        <v>1</v>
      </c>
      <c r="F677" s="216"/>
      <c r="G677" s="158">
        <v>4</v>
      </c>
      <c r="H677" s="158">
        <v>17</v>
      </c>
      <c r="I677" s="90">
        <v>13</v>
      </c>
    </row>
    <row r="678" spans="1:9" x14ac:dyDescent="0.3">
      <c r="A678" s="169" t="s">
        <v>541</v>
      </c>
      <c r="B678" s="90" t="s">
        <v>403</v>
      </c>
      <c r="C678" s="215" t="s">
        <v>1749</v>
      </c>
      <c r="D678" s="91">
        <v>1</v>
      </c>
      <c r="E678" s="91">
        <v>1</v>
      </c>
      <c r="F678" s="216">
        <v>6.8</v>
      </c>
      <c r="G678" s="90">
        <v>1</v>
      </c>
      <c r="H678" s="158">
        <v>7</v>
      </c>
      <c r="I678" s="158">
        <v>9</v>
      </c>
    </row>
    <row r="679" spans="1:9" x14ac:dyDescent="0.3">
      <c r="A679" s="169" t="s">
        <v>541</v>
      </c>
      <c r="B679" s="90" t="s">
        <v>403</v>
      </c>
      <c r="C679" s="215" t="s">
        <v>1749</v>
      </c>
      <c r="D679" s="91">
        <v>2</v>
      </c>
      <c r="E679" s="91">
        <v>999</v>
      </c>
      <c r="F679" s="216">
        <v>6.8</v>
      </c>
      <c r="G679" s="90">
        <v>1</v>
      </c>
      <c r="H679" s="158">
        <v>7</v>
      </c>
      <c r="I679" s="158">
        <v>9</v>
      </c>
    </row>
    <row r="680" spans="1:9" x14ac:dyDescent="0.3">
      <c r="A680" s="169" t="s">
        <v>541</v>
      </c>
      <c r="B680" s="90" t="s">
        <v>403</v>
      </c>
      <c r="C680" s="215" t="s">
        <v>1750</v>
      </c>
      <c r="D680" s="91">
        <v>1</v>
      </c>
      <c r="E680" s="91">
        <v>1</v>
      </c>
      <c r="F680" s="215">
        <v>8.8000000000000007</v>
      </c>
      <c r="G680" s="90">
        <v>2</v>
      </c>
      <c r="H680" s="90">
        <v>7</v>
      </c>
      <c r="I680" s="158">
        <v>13</v>
      </c>
    </row>
    <row r="681" spans="1:9" x14ac:dyDescent="0.3">
      <c r="A681" s="169" t="s">
        <v>541</v>
      </c>
      <c r="B681" s="90" t="s">
        <v>403</v>
      </c>
      <c r="C681" s="215" t="s">
        <v>1751</v>
      </c>
      <c r="D681" s="91">
        <v>1</v>
      </c>
      <c r="E681" s="91">
        <v>1</v>
      </c>
      <c r="F681" s="215">
        <v>7</v>
      </c>
      <c r="G681" s="90">
        <v>1</v>
      </c>
      <c r="H681" s="90">
        <v>7</v>
      </c>
      <c r="I681" s="158">
        <v>13</v>
      </c>
    </row>
    <row r="682" spans="1:9" ht="28.8" x14ac:dyDescent="0.3">
      <c r="A682" s="169" t="s">
        <v>541</v>
      </c>
      <c r="B682" s="90" t="s">
        <v>403</v>
      </c>
      <c r="C682" s="215" t="s">
        <v>1752</v>
      </c>
      <c r="D682" s="91">
        <v>1</v>
      </c>
      <c r="E682" s="91">
        <v>1</v>
      </c>
      <c r="F682" s="215">
        <v>12.3</v>
      </c>
      <c r="G682" s="158">
        <v>2</v>
      </c>
      <c r="H682" s="158">
        <v>7</v>
      </c>
      <c r="I682" s="158">
        <v>14</v>
      </c>
    </row>
    <row r="683" spans="1:9" x14ac:dyDescent="0.3">
      <c r="A683" s="169" t="s">
        <v>541</v>
      </c>
      <c r="B683" s="90" t="s">
        <v>403</v>
      </c>
      <c r="C683" s="215" t="s">
        <v>1753</v>
      </c>
      <c r="D683" s="91">
        <v>1</v>
      </c>
      <c r="E683" s="91">
        <v>1</v>
      </c>
      <c r="F683" s="215">
        <v>3</v>
      </c>
      <c r="G683" s="90">
        <v>1</v>
      </c>
      <c r="H683" s="90">
        <v>6</v>
      </c>
      <c r="I683" s="158">
        <v>9</v>
      </c>
    </row>
    <row r="684" spans="1:9" ht="28.8" x14ac:dyDescent="0.3">
      <c r="A684" s="169" t="s">
        <v>541</v>
      </c>
      <c r="B684" s="90" t="s">
        <v>403</v>
      </c>
      <c r="C684" s="215" t="s">
        <v>1754</v>
      </c>
      <c r="D684" s="91">
        <v>1</v>
      </c>
      <c r="E684" s="91">
        <v>1</v>
      </c>
      <c r="F684" s="215">
        <v>21.8</v>
      </c>
      <c r="G684" s="158">
        <v>3</v>
      </c>
      <c r="H684" s="158">
        <v>8</v>
      </c>
      <c r="I684" s="158">
        <v>15</v>
      </c>
    </row>
    <row r="685" spans="1:9" x14ac:dyDescent="0.3">
      <c r="A685" s="169" t="s">
        <v>541</v>
      </c>
      <c r="B685" s="90" t="s">
        <v>403</v>
      </c>
      <c r="C685" s="215" t="s">
        <v>1755</v>
      </c>
      <c r="D685" s="91">
        <v>1</v>
      </c>
      <c r="E685" s="91">
        <v>1</v>
      </c>
      <c r="F685" s="215">
        <v>16.5</v>
      </c>
      <c r="G685" s="90">
        <v>2</v>
      </c>
      <c r="H685" s="90">
        <v>8</v>
      </c>
      <c r="I685" s="158">
        <v>18</v>
      </c>
    </row>
    <row r="686" spans="1:9" x14ac:dyDescent="0.3">
      <c r="A686" s="169" t="s">
        <v>541</v>
      </c>
      <c r="B686" s="90" t="s">
        <v>403</v>
      </c>
      <c r="C686" s="215" t="s">
        <v>1756</v>
      </c>
      <c r="D686" s="91">
        <v>1</v>
      </c>
      <c r="E686" s="91">
        <v>1</v>
      </c>
      <c r="F686" s="215">
        <v>4.5999999999999996</v>
      </c>
      <c r="G686" s="90">
        <v>1</v>
      </c>
      <c r="H686" s="90">
        <v>6</v>
      </c>
      <c r="I686" s="158">
        <v>17</v>
      </c>
    </row>
    <row r="687" spans="1:9" x14ac:dyDescent="0.3">
      <c r="A687" s="169" t="s">
        <v>541</v>
      </c>
      <c r="B687" s="90" t="s">
        <v>403</v>
      </c>
      <c r="C687" s="215" t="s">
        <v>1757</v>
      </c>
      <c r="D687" s="91">
        <v>1</v>
      </c>
      <c r="E687" s="91">
        <v>1</v>
      </c>
      <c r="F687" s="215">
        <v>4.5999999999999996</v>
      </c>
      <c r="G687" s="90">
        <v>1</v>
      </c>
      <c r="H687" s="90">
        <v>6</v>
      </c>
      <c r="I687" s="158">
        <v>17</v>
      </c>
    </row>
    <row r="688" spans="1:9" x14ac:dyDescent="0.3">
      <c r="A688" s="169" t="s">
        <v>541</v>
      </c>
      <c r="B688" s="90" t="s">
        <v>403</v>
      </c>
      <c r="C688" s="215" t="s">
        <v>1758</v>
      </c>
      <c r="D688" s="91">
        <v>1</v>
      </c>
      <c r="E688" s="91">
        <v>1</v>
      </c>
      <c r="F688" s="215">
        <v>4.5999999999999996</v>
      </c>
      <c r="G688" s="90">
        <v>1</v>
      </c>
      <c r="H688" s="90">
        <v>6</v>
      </c>
      <c r="I688" s="158">
        <v>17</v>
      </c>
    </row>
    <row r="689" spans="1:9" x14ac:dyDescent="0.3">
      <c r="A689" s="169" t="s">
        <v>541</v>
      </c>
      <c r="B689" s="90" t="s">
        <v>403</v>
      </c>
      <c r="C689" s="215" t="s">
        <v>1759</v>
      </c>
      <c r="D689" s="91">
        <v>1</v>
      </c>
      <c r="E689" s="91">
        <v>1</v>
      </c>
      <c r="F689" s="215">
        <v>4.5999999999999996</v>
      </c>
      <c r="G689" s="90">
        <v>1</v>
      </c>
      <c r="H689" s="90">
        <v>6</v>
      </c>
      <c r="I689" s="158">
        <v>17</v>
      </c>
    </row>
    <row r="690" spans="1:9" x14ac:dyDescent="0.3">
      <c r="A690" s="169" t="s">
        <v>541</v>
      </c>
      <c r="B690" s="90" t="s">
        <v>403</v>
      </c>
      <c r="C690" s="215" t="s">
        <v>1760</v>
      </c>
      <c r="D690" s="91">
        <v>1</v>
      </c>
      <c r="E690" s="91">
        <v>1</v>
      </c>
      <c r="F690" s="215">
        <v>4.5999999999999996</v>
      </c>
      <c r="G690" s="90">
        <v>1</v>
      </c>
      <c r="H690" s="90">
        <v>6</v>
      </c>
      <c r="I690" s="158">
        <v>17</v>
      </c>
    </row>
    <row r="691" spans="1:9" x14ac:dyDescent="0.3">
      <c r="A691" s="169" t="s">
        <v>541</v>
      </c>
      <c r="B691" s="90" t="s">
        <v>403</v>
      </c>
      <c r="C691" s="215" t="s">
        <v>1761</v>
      </c>
      <c r="D691" s="91">
        <v>1</v>
      </c>
      <c r="E691" s="91">
        <v>1</v>
      </c>
      <c r="F691" s="215">
        <v>4.5999999999999996</v>
      </c>
      <c r="G691" s="90">
        <v>1</v>
      </c>
      <c r="H691" s="90">
        <v>6</v>
      </c>
      <c r="I691" s="158">
        <v>17</v>
      </c>
    </row>
    <row r="692" spans="1:9" x14ac:dyDescent="0.3">
      <c r="A692" s="169" t="s">
        <v>541</v>
      </c>
      <c r="B692" s="90" t="s">
        <v>403</v>
      </c>
      <c r="C692" s="215" t="s">
        <v>1762</v>
      </c>
      <c r="D692" s="91">
        <v>1</v>
      </c>
      <c r="E692" s="91">
        <v>1</v>
      </c>
      <c r="F692" s="215">
        <v>4.5999999999999996</v>
      </c>
      <c r="G692" s="90">
        <v>1</v>
      </c>
      <c r="H692" s="90">
        <v>6</v>
      </c>
      <c r="I692" s="158">
        <v>17</v>
      </c>
    </row>
    <row r="693" spans="1:9" x14ac:dyDescent="0.3">
      <c r="A693" s="169" t="s">
        <v>541</v>
      </c>
      <c r="B693" s="90" t="s">
        <v>403</v>
      </c>
      <c r="C693" s="215" t="s">
        <v>1763</v>
      </c>
      <c r="D693" s="91">
        <v>1</v>
      </c>
      <c r="E693" s="91">
        <v>1</v>
      </c>
      <c r="F693" s="215">
        <v>4.5999999999999996</v>
      </c>
      <c r="G693" s="90">
        <v>1</v>
      </c>
      <c r="H693" s="90">
        <v>6</v>
      </c>
      <c r="I693" s="158">
        <v>17</v>
      </c>
    </row>
    <row r="694" spans="1:9" x14ac:dyDescent="0.3">
      <c r="A694" s="169" t="s">
        <v>541</v>
      </c>
      <c r="B694" s="90" t="s">
        <v>403</v>
      </c>
      <c r="C694" s="215" t="s">
        <v>1764</v>
      </c>
      <c r="D694" s="91">
        <v>1</v>
      </c>
      <c r="E694" s="91">
        <v>1</v>
      </c>
      <c r="F694" s="215">
        <v>4.5999999999999996</v>
      </c>
      <c r="G694" s="90">
        <v>1</v>
      </c>
      <c r="H694" s="90">
        <v>6</v>
      </c>
      <c r="I694" s="158">
        <v>17</v>
      </c>
    </row>
    <row r="695" spans="1:9" x14ac:dyDescent="0.3">
      <c r="A695" s="169" t="s">
        <v>541</v>
      </c>
      <c r="B695" s="90" t="s">
        <v>403</v>
      </c>
      <c r="C695" s="215" t="s">
        <v>1765</v>
      </c>
      <c r="D695" s="91">
        <v>1</v>
      </c>
      <c r="E695" s="91">
        <v>1</v>
      </c>
      <c r="F695" s="215">
        <v>4.5999999999999996</v>
      </c>
      <c r="G695" s="90">
        <v>1</v>
      </c>
      <c r="H695" s="90">
        <v>6</v>
      </c>
      <c r="I695" s="158">
        <v>17</v>
      </c>
    </row>
    <row r="696" spans="1:9" x14ac:dyDescent="0.3">
      <c r="A696" s="169" t="s">
        <v>541</v>
      </c>
      <c r="B696" s="90" t="s">
        <v>403</v>
      </c>
      <c r="C696" s="215" t="s">
        <v>1766</v>
      </c>
      <c r="D696" s="91">
        <v>1</v>
      </c>
      <c r="E696" s="91">
        <v>1</v>
      </c>
      <c r="F696" s="215">
        <v>4.5999999999999996</v>
      </c>
      <c r="G696" s="90">
        <v>1</v>
      </c>
      <c r="H696" s="90">
        <v>6</v>
      </c>
      <c r="I696" s="158">
        <v>17</v>
      </c>
    </row>
    <row r="697" spans="1:9" x14ac:dyDescent="0.3">
      <c r="A697" s="169" t="s">
        <v>541</v>
      </c>
      <c r="B697" s="90" t="s">
        <v>403</v>
      </c>
      <c r="C697" s="215" t="s">
        <v>1767</v>
      </c>
      <c r="D697" s="91">
        <v>1</v>
      </c>
      <c r="E697" s="91">
        <v>1</v>
      </c>
      <c r="F697" s="215">
        <v>4.5999999999999996</v>
      </c>
      <c r="G697" s="90">
        <v>1</v>
      </c>
      <c r="H697" s="90">
        <v>6</v>
      </c>
      <c r="I697" s="158">
        <v>17</v>
      </c>
    </row>
    <row r="698" spans="1:9" x14ac:dyDescent="0.3">
      <c r="A698" s="169" t="s">
        <v>541</v>
      </c>
      <c r="B698" s="90" t="s">
        <v>403</v>
      </c>
      <c r="C698" s="217" t="s">
        <v>1704</v>
      </c>
      <c r="D698" s="91">
        <v>1</v>
      </c>
      <c r="E698" s="91">
        <v>1</v>
      </c>
      <c r="F698" s="216">
        <v>9.3000000000000007</v>
      </c>
      <c r="G698" s="90">
        <v>2</v>
      </c>
      <c r="H698" s="90">
        <v>7</v>
      </c>
      <c r="I698" s="158">
        <v>18</v>
      </c>
    </row>
    <row r="699" spans="1:9" x14ac:dyDescent="0.3">
      <c r="A699" s="169" t="s">
        <v>541</v>
      </c>
      <c r="B699" s="90" t="s">
        <v>403</v>
      </c>
      <c r="C699" s="215" t="s">
        <v>1768</v>
      </c>
      <c r="D699" s="91">
        <v>1</v>
      </c>
      <c r="E699" s="91">
        <v>1</v>
      </c>
      <c r="F699" s="216">
        <v>14.4</v>
      </c>
      <c r="G699" s="90">
        <v>2</v>
      </c>
      <c r="H699" s="90">
        <v>7</v>
      </c>
      <c r="I699" s="158">
        <v>18</v>
      </c>
    </row>
    <row r="700" spans="1:9" x14ac:dyDescent="0.3">
      <c r="A700" s="169" t="s">
        <v>541</v>
      </c>
      <c r="B700" s="90" t="s">
        <v>403</v>
      </c>
      <c r="C700" s="215" t="s">
        <v>1769</v>
      </c>
      <c r="D700" s="91">
        <v>1</v>
      </c>
      <c r="E700" s="91">
        <v>1</v>
      </c>
      <c r="F700" s="216">
        <v>10.3</v>
      </c>
      <c r="G700" s="90">
        <v>2</v>
      </c>
      <c r="H700" s="90">
        <v>7</v>
      </c>
      <c r="I700" s="158">
        <v>18</v>
      </c>
    </row>
    <row r="701" spans="1:9" x14ac:dyDescent="0.3">
      <c r="A701" s="169" t="s">
        <v>541</v>
      </c>
      <c r="B701" s="90" t="s">
        <v>403</v>
      </c>
      <c r="C701" s="215" t="s">
        <v>1769</v>
      </c>
      <c r="D701" s="91">
        <v>2</v>
      </c>
      <c r="E701" s="91">
        <v>999</v>
      </c>
      <c r="F701" s="216">
        <v>10.3</v>
      </c>
      <c r="G701" s="90">
        <v>2</v>
      </c>
      <c r="H701" s="90">
        <v>7</v>
      </c>
      <c r="I701" s="158">
        <v>18</v>
      </c>
    </row>
    <row r="702" spans="1:9" x14ac:dyDescent="0.3">
      <c r="A702" s="169" t="s">
        <v>541</v>
      </c>
      <c r="B702" s="90" t="s">
        <v>403</v>
      </c>
      <c r="C702" s="215" t="s">
        <v>1770</v>
      </c>
      <c r="D702" s="91">
        <v>1</v>
      </c>
      <c r="E702" s="91">
        <v>999</v>
      </c>
      <c r="F702" s="216">
        <v>14.3</v>
      </c>
      <c r="G702" s="90">
        <v>2</v>
      </c>
      <c r="H702" s="91">
        <v>7</v>
      </c>
      <c r="I702" s="91">
        <v>17</v>
      </c>
    </row>
    <row r="703" spans="1:9" x14ac:dyDescent="0.3">
      <c r="A703" s="169" t="s">
        <v>541</v>
      </c>
      <c r="B703" s="90" t="s">
        <v>403</v>
      </c>
      <c r="C703" s="215" t="s">
        <v>1771</v>
      </c>
      <c r="D703" s="91">
        <v>1</v>
      </c>
      <c r="E703" s="91">
        <v>999</v>
      </c>
      <c r="F703" s="216">
        <v>14.3</v>
      </c>
      <c r="G703" s="90">
        <v>2</v>
      </c>
      <c r="H703" s="91">
        <v>7</v>
      </c>
      <c r="I703" s="91">
        <v>17</v>
      </c>
    </row>
    <row r="704" spans="1:9" x14ac:dyDescent="0.3">
      <c r="A704" s="169" t="s">
        <v>541</v>
      </c>
      <c r="B704" s="90" t="s">
        <v>403</v>
      </c>
      <c r="C704" s="215" t="s">
        <v>1772</v>
      </c>
      <c r="D704" s="91">
        <v>1</v>
      </c>
      <c r="E704" s="91">
        <v>999</v>
      </c>
      <c r="F704" s="216">
        <v>14.3</v>
      </c>
      <c r="G704" s="90">
        <v>2</v>
      </c>
      <c r="H704" s="91">
        <v>7</v>
      </c>
      <c r="I704" s="91">
        <v>17</v>
      </c>
    </row>
    <row r="705" spans="1:9" x14ac:dyDescent="0.3">
      <c r="A705" s="169" t="s">
        <v>541</v>
      </c>
      <c r="B705" s="90" t="s">
        <v>403</v>
      </c>
      <c r="C705" s="215" t="s">
        <v>1773</v>
      </c>
      <c r="D705" s="91">
        <v>1</v>
      </c>
      <c r="E705" s="91">
        <v>999</v>
      </c>
      <c r="F705" s="216">
        <v>14.3</v>
      </c>
      <c r="G705" s="90">
        <v>2</v>
      </c>
      <c r="H705" s="91">
        <v>7</v>
      </c>
      <c r="I705" s="91">
        <v>17</v>
      </c>
    </row>
    <row r="706" spans="1:9" x14ac:dyDescent="0.3">
      <c r="A706" s="169" t="s">
        <v>541</v>
      </c>
      <c r="B706" s="90" t="s">
        <v>403</v>
      </c>
      <c r="C706" s="215" t="s">
        <v>1774</v>
      </c>
      <c r="D706" s="91">
        <v>1</v>
      </c>
      <c r="E706" s="91">
        <v>999</v>
      </c>
      <c r="F706" s="216">
        <v>14.3</v>
      </c>
      <c r="G706" s="90">
        <v>2</v>
      </c>
      <c r="H706" s="91">
        <v>7</v>
      </c>
      <c r="I706" s="91">
        <v>17</v>
      </c>
    </row>
    <row r="707" spans="1:9" x14ac:dyDescent="0.3">
      <c r="A707" s="169" t="s">
        <v>541</v>
      </c>
      <c r="B707" s="90" t="s">
        <v>403</v>
      </c>
      <c r="C707" s="215" t="s">
        <v>1775</v>
      </c>
      <c r="D707" s="91">
        <v>1</v>
      </c>
      <c r="E707" s="91">
        <v>999</v>
      </c>
      <c r="F707" s="216">
        <v>14.3</v>
      </c>
      <c r="G707" s="90">
        <v>2</v>
      </c>
      <c r="H707" s="91">
        <v>7</v>
      </c>
      <c r="I707" s="91">
        <v>17</v>
      </c>
    </row>
    <row r="708" spans="1:9" x14ac:dyDescent="0.3">
      <c r="A708" s="169" t="s">
        <v>541</v>
      </c>
      <c r="B708" s="90" t="s">
        <v>403</v>
      </c>
      <c r="C708" s="215" t="s">
        <v>1776</v>
      </c>
      <c r="D708" s="91">
        <v>1</v>
      </c>
      <c r="E708" s="91">
        <v>999</v>
      </c>
      <c r="F708" s="216">
        <v>14.3</v>
      </c>
      <c r="G708" s="90">
        <v>2</v>
      </c>
      <c r="H708" s="91">
        <v>7</v>
      </c>
      <c r="I708" s="91">
        <v>17</v>
      </c>
    </row>
    <row r="709" spans="1:9" x14ac:dyDescent="0.3">
      <c r="A709" s="169" t="s">
        <v>541</v>
      </c>
      <c r="B709" s="90" t="s">
        <v>403</v>
      </c>
      <c r="C709" s="215" t="s">
        <v>1777</v>
      </c>
      <c r="D709" s="91">
        <v>1</v>
      </c>
      <c r="E709" s="91">
        <v>999</v>
      </c>
      <c r="F709" s="216">
        <v>14.3</v>
      </c>
      <c r="G709" s="90">
        <v>2</v>
      </c>
      <c r="H709" s="91">
        <v>7</v>
      </c>
      <c r="I709" s="91">
        <v>17</v>
      </c>
    </row>
    <row r="710" spans="1:9" x14ac:dyDescent="0.3">
      <c r="A710" s="169" t="s">
        <v>541</v>
      </c>
      <c r="B710" s="90" t="s">
        <v>403</v>
      </c>
      <c r="C710" s="215" t="s">
        <v>1778</v>
      </c>
      <c r="D710" s="91">
        <v>1</v>
      </c>
      <c r="E710" s="91">
        <v>999</v>
      </c>
      <c r="F710" s="216">
        <v>14.3</v>
      </c>
      <c r="G710" s="90">
        <v>2</v>
      </c>
      <c r="H710" s="91">
        <v>7</v>
      </c>
      <c r="I710" s="91">
        <v>17</v>
      </c>
    </row>
    <row r="711" spans="1:9" x14ac:dyDescent="0.3">
      <c r="A711" s="169" t="s">
        <v>541</v>
      </c>
      <c r="B711" s="90" t="s">
        <v>403</v>
      </c>
      <c r="C711" s="215" t="s">
        <v>1779</v>
      </c>
      <c r="D711" s="91">
        <v>1</v>
      </c>
      <c r="E711" s="91">
        <v>999</v>
      </c>
      <c r="F711" s="216">
        <v>14.3</v>
      </c>
      <c r="G711" s="90">
        <v>2</v>
      </c>
      <c r="H711" s="91">
        <v>7</v>
      </c>
      <c r="I711" s="91">
        <v>17</v>
      </c>
    </row>
    <row r="712" spans="1:9" x14ac:dyDescent="0.3">
      <c r="A712" s="169" t="s">
        <v>541</v>
      </c>
      <c r="B712" s="90" t="s">
        <v>403</v>
      </c>
      <c r="C712" s="215" t="s">
        <v>1780</v>
      </c>
      <c r="D712" s="91">
        <v>1</v>
      </c>
      <c r="E712" s="91">
        <v>999</v>
      </c>
      <c r="F712" s="216">
        <v>14.3</v>
      </c>
      <c r="G712" s="90">
        <v>2</v>
      </c>
      <c r="H712" s="91">
        <v>7</v>
      </c>
      <c r="I712" s="91">
        <v>17</v>
      </c>
    </row>
    <row r="713" spans="1:9" ht="16.2" customHeight="1" x14ac:dyDescent="0.3">
      <c r="A713" s="169" t="s">
        <v>541</v>
      </c>
      <c r="B713" s="90" t="s">
        <v>403</v>
      </c>
      <c r="C713" s="215" t="s">
        <v>1705</v>
      </c>
      <c r="D713" s="91">
        <v>1</v>
      </c>
      <c r="E713" s="91">
        <v>1</v>
      </c>
      <c r="F713" s="216">
        <v>11.5</v>
      </c>
      <c r="G713" s="90">
        <v>2</v>
      </c>
      <c r="H713" s="90">
        <v>7</v>
      </c>
      <c r="I713" s="158">
        <v>14</v>
      </c>
    </row>
    <row r="714" spans="1:9" ht="16.2" customHeight="1" x14ac:dyDescent="0.3">
      <c r="A714" s="169" t="s">
        <v>541</v>
      </c>
      <c r="B714" s="90" t="s">
        <v>403</v>
      </c>
      <c r="C714" s="215" t="s">
        <v>1705</v>
      </c>
      <c r="D714" s="91">
        <v>2</v>
      </c>
      <c r="E714" s="91">
        <v>999</v>
      </c>
      <c r="F714" s="216">
        <v>11.5</v>
      </c>
      <c r="G714" s="90">
        <v>2</v>
      </c>
      <c r="H714" s="90">
        <v>7</v>
      </c>
      <c r="I714" s="158">
        <v>14</v>
      </c>
    </row>
    <row r="715" spans="1:9" x14ac:dyDescent="0.3">
      <c r="A715" s="169" t="s">
        <v>541</v>
      </c>
      <c r="B715" s="90" t="s">
        <v>403</v>
      </c>
      <c r="C715" s="215" t="s">
        <v>1706</v>
      </c>
      <c r="D715" s="91">
        <v>1</v>
      </c>
      <c r="E715" s="91">
        <v>1</v>
      </c>
      <c r="F715" s="216">
        <v>8.6999999999999993</v>
      </c>
      <c r="G715" s="90">
        <v>2</v>
      </c>
      <c r="H715" s="90">
        <v>7</v>
      </c>
      <c r="I715" s="158">
        <v>18</v>
      </c>
    </row>
    <row r="716" spans="1:9" x14ac:dyDescent="0.3">
      <c r="A716" s="169" t="s">
        <v>541</v>
      </c>
      <c r="B716" s="90" t="s">
        <v>403</v>
      </c>
      <c r="C716" s="215" t="s">
        <v>1707</v>
      </c>
      <c r="D716" s="91">
        <v>1</v>
      </c>
      <c r="E716" s="91">
        <v>999</v>
      </c>
      <c r="F716" s="216">
        <v>6</v>
      </c>
      <c r="G716" s="90">
        <v>1</v>
      </c>
      <c r="H716" s="91">
        <v>7</v>
      </c>
      <c r="I716" s="91">
        <v>17</v>
      </c>
    </row>
    <row r="717" spans="1:9" x14ac:dyDescent="0.3">
      <c r="A717" s="169" t="s">
        <v>541</v>
      </c>
      <c r="B717" s="90" t="s">
        <v>403</v>
      </c>
      <c r="C717" s="215" t="s">
        <v>1781</v>
      </c>
      <c r="D717" s="91">
        <v>1</v>
      </c>
      <c r="E717" s="91">
        <v>1</v>
      </c>
      <c r="F717" s="216">
        <v>9.9</v>
      </c>
      <c r="G717" s="90">
        <v>2</v>
      </c>
      <c r="H717" s="90">
        <v>7</v>
      </c>
      <c r="I717" s="158">
        <v>17</v>
      </c>
    </row>
    <row r="718" spans="1:9" x14ac:dyDescent="0.3">
      <c r="A718" s="169" t="s">
        <v>541</v>
      </c>
      <c r="B718" s="90" t="s">
        <v>403</v>
      </c>
      <c r="C718" s="215" t="s">
        <v>1782</v>
      </c>
      <c r="D718" s="91">
        <v>1</v>
      </c>
      <c r="E718" s="91">
        <v>1</v>
      </c>
      <c r="F718" s="216">
        <v>9.9</v>
      </c>
      <c r="G718" s="90">
        <v>2</v>
      </c>
      <c r="H718" s="90">
        <v>7</v>
      </c>
      <c r="I718" s="158">
        <v>17</v>
      </c>
    </row>
    <row r="719" spans="1:9" x14ac:dyDescent="0.3">
      <c r="A719" s="169" t="s">
        <v>541</v>
      </c>
      <c r="B719" s="90" t="s">
        <v>403</v>
      </c>
      <c r="C719" s="215" t="s">
        <v>1783</v>
      </c>
      <c r="D719" s="91">
        <v>1</v>
      </c>
      <c r="E719" s="91">
        <v>1</v>
      </c>
      <c r="F719" s="216">
        <v>9.9</v>
      </c>
      <c r="G719" s="90">
        <v>2</v>
      </c>
      <c r="H719" s="90">
        <v>7</v>
      </c>
      <c r="I719" s="158">
        <v>17</v>
      </c>
    </row>
    <row r="720" spans="1:9" x14ac:dyDescent="0.3">
      <c r="A720" s="169" t="s">
        <v>541</v>
      </c>
      <c r="B720" s="90" t="s">
        <v>403</v>
      </c>
      <c r="C720" s="215" t="s">
        <v>1784</v>
      </c>
      <c r="D720" s="91">
        <v>1</v>
      </c>
      <c r="E720" s="91">
        <v>1</v>
      </c>
      <c r="F720" s="216">
        <v>9.9</v>
      </c>
      <c r="G720" s="90">
        <v>2</v>
      </c>
      <c r="H720" s="90">
        <v>7</v>
      </c>
      <c r="I720" s="158">
        <v>17</v>
      </c>
    </row>
    <row r="721" spans="1:9" x14ac:dyDescent="0.3">
      <c r="A721" s="169" t="s">
        <v>541</v>
      </c>
      <c r="B721" s="90" t="s">
        <v>403</v>
      </c>
      <c r="C721" s="215" t="s">
        <v>1785</v>
      </c>
      <c r="D721" s="91">
        <v>1</v>
      </c>
      <c r="E721" s="91">
        <v>1</v>
      </c>
      <c r="F721" s="216">
        <v>9.9</v>
      </c>
      <c r="G721" s="90">
        <v>2</v>
      </c>
      <c r="H721" s="90">
        <v>7</v>
      </c>
      <c r="I721" s="158">
        <v>17</v>
      </c>
    </row>
    <row r="722" spans="1:9" x14ac:dyDescent="0.3">
      <c r="A722" s="169" t="s">
        <v>541</v>
      </c>
      <c r="B722" s="90" t="s">
        <v>403</v>
      </c>
      <c r="C722" s="215" t="s">
        <v>1786</v>
      </c>
      <c r="D722" s="91">
        <v>1</v>
      </c>
      <c r="E722" s="91">
        <v>1</v>
      </c>
      <c r="F722" s="216">
        <v>9.9</v>
      </c>
      <c r="G722" s="90">
        <v>2</v>
      </c>
      <c r="H722" s="90">
        <v>7</v>
      </c>
      <c r="I722" s="158">
        <v>17</v>
      </c>
    </row>
    <row r="723" spans="1:9" x14ac:dyDescent="0.3">
      <c r="A723" s="169" t="s">
        <v>541</v>
      </c>
      <c r="B723" s="90" t="s">
        <v>403</v>
      </c>
      <c r="C723" s="215" t="s">
        <v>1787</v>
      </c>
      <c r="D723" s="91">
        <v>1</v>
      </c>
      <c r="E723" s="91">
        <v>1</v>
      </c>
      <c r="F723" s="216">
        <v>9.9</v>
      </c>
      <c r="G723" s="90">
        <v>2</v>
      </c>
      <c r="H723" s="90">
        <v>7</v>
      </c>
      <c r="I723" s="158">
        <v>17</v>
      </c>
    </row>
    <row r="724" spans="1:9" x14ac:dyDescent="0.3">
      <c r="A724" s="169" t="s">
        <v>541</v>
      </c>
      <c r="B724" s="90" t="s">
        <v>403</v>
      </c>
      <c r="C724" s="215" t="s">
        <v>1788</v>
      </c>
      <c r="D724" s="91">
        <v>1</v>
      </c>
      <c r="E724" s="91">
        <v>1</v>
      </c>
      <c r="F724" s="216">
        <v>9.9</v>
      </c>
      <c r="G724" s="90">
        <v>2</v>
      </c>
      <c r="H724" s="90">
        <v>7</v>
      </c>
      <c r="I724" s="158">
        <v>17</v>
      </c>
    </row>
    <row r="725" spans="1:9" x14ac:dyDescent="0.3">
      <c r="A725" s="169" t="s">
        <v>541</v>
      </c>
      <c r="B725" s="90" t="s">
        <v>403</v>
      </c>
      <c r="C725" s="215" t="s">
        <v>1789</v>
      </c>
      <c r="D725" s="91">
        <v>1</v>
      </c>
      <c r="E725" s="91">
        <v>1</v>
      </c>
      <c r="F725" s="216">
        <v>9.9</v>
      </c>
      <c r="G725" s="90">
        <v>2</v>
      </c>
      <c r="H725" s="90">
        <v>7</v>
      </c>
      <c r="I725" s="158">
        <v>17</v>
      </c>
    </row>
    <row r="726" spans="1:9" x14ac:dyDescent="0.3">
      <c r="A726" s="169" t="s">
        <v>541</v>
      </c>
      <c r="B726" s="90" t="s">
        <v>403</v>
      </c>
      <c r="C726" s="215" t="s">
        <v>1791</v>
      </c>
      <c r="D726" s="91">
        <v>1</v>
      </c>
      <c r="E726" s="91">
        <v>1</v>
      </c>
      <c r="F726" s="216">
        <v>9.9</v>
      </c>
      <c r="G726" s="90">
        <v>2</v>
      </c>
      <c r="H726" s="90">
        <v>7</v>
      </c>
      <c r="I726" s="158">
        <v>17</v>
      </c>
    </row>
    <row r="727" spans="1:9" x14ac:dyDescent="0.3">
      <c r="A727" s="169" t="s">
        <v>541</v>
      </c>
      <c r="B727" s="90" t="s">
        <v>403</v>
      </c>
      <c r="C727" s="215" t="s">
        <v>1790</v>
      </c>
      <c r="D727" s="91">
        <v>1</v>
      </c>
      <c r="E727" s="91">
        <v>1</v>
      </c>
      <c r="F727" s="216">
        <v>9.9</v>
      </c>
      <c r="G727" s="90">
        <v>2</v>
      </c>
      <c r="H727" s="90">
        <v>7</v>
      </c>
      <c r="I727" s="158">
        <v>17</v>
      </c>
    </row>
    <row r="728" spans="1:9" x14ac:dyDescent="0.3">
      <c r="A728" s="169" t="s">
        <v>541</v>
      </c>
      <c r="B728" s="90" t="s">
        <v>403</v>
      </c>
      <c r="C728" s="215" t="s">
        <v>1792</v>
      </c>
      <c r="D728" s="91">
        <v>1</v>
      </c>
      <c r="E728" s="91">
        <v>1</v>
      </c>
      <c r="F728" s="216">
        <v>3.1</v>
      </c>
      <c r="G728" s="90">
        <v>1</v>
      </c>
      <c r="H728" s="90">
        <v>6</v>
      </c>
      <c r="I728" s="158">
        <v>13</v>
      </c>
    </row>
    <row r="729" spans="1:9" x14ac:dyDescent="0.3">
      <c r="A729" s="169" t="s">
        <v>541</v>
      </c>
      <c r="B729" s="90" t="s">
        <v>403</v>
      </c>
      <c r="C729" s="215" t="s">
        <v>1793</v>
      </c>
      <c r="D729" s="91">
        <v>1</v>
      </c>
      <c r="E729" s="91">
        <v>1</v>
      </c>
      <c r="F729" s="216">
        <v>3.1</v>
      </c>
      <c r="G729" s="90">
        <v>1</v>
      </c>
      <c r="H729" s="90">
        <v>6</v>
      </c>
      <c r="I729" s="158">
        <v>13</v>
      </c>
    </row>
    <row r="730" spans="1:9" x14ac:dyDescent="0.3">
      <c r="A730" s="169" t="s">
        <v>541</v>
      </c>
      <c r="B730" s="90" t="s">
        <v>403</v>
      </c>
      <c r="C730" s="215" t="s">
        <v>1794</v>
      </c>
      <c r="D730" s="91">
        <v>1</v>
      </c>
      <c r="E730" s="91">
        <v>1</v>
      </c>
      <c r="F730" s="216">
        <v>3.1</v>
      </c>
      <c r="G730" s="90">
        <v>1</v>
      </c>
      <c r="H730" s="90">
        <v>6</v>
      </c>
      <c r="I730" s="158">
        <v>13</v>
      </c>
    </row>
    <row r="731" spans="1:9" x14ac:dyDescent="0.3">
      <c r="A731" s="169" t="s">
        <v>541</v>
      </c>
      <c r="B731" s="90" t="s">
        <v>403</v>
      </c>
      <c r="C731" s="215" t="s">
        <v>1795</v>
      </c>
      <c r="D731" s="91">
        <v>1</v>
      </c>
      <c r="E731" s="91">
        <v>1</v>
      </c>
      <c r="F731" s="216">
        <v>3.1</v>
      </c>
      <c r="G731" s="90">
        <v>1</v>
      </c>
      <c r="H731" s="90">
        <v>6</v>
      </c>
      <c r="I731" s="158">
        <v>13</v>
      </c>
    </row>
    <row r="732" spans="1:9" x14ac:dyDescent="0.3">
      <c r="A732" s="169" t="s">
        <v>541</v>
      </c>
      <c r="B732" s="90" t="s">
        <v>403</v>
      </c>
      <c r="C732" s="215" t="s">
        <v>1796</v>
      </c>
      <c r="D732" s="91">
        <v>1</v>
      </c>
      <c r="E732" s="91">
        <v>1</v>
      </c>
      <c r="F732" s="216">
        <v>3.1</v>
      </c>
      <c r="G732" s="90">
        <v>1</v>
      </c>
      <c r="H732" s="90">
        <v>6</v>
      </c>
      <c r="I732" s="158">
        <v>13</v>
      </c>
    </row>
    <row r="733" spans="1:9" x14ac:dyDescent="0.3">
      <c r="A733" s="169" t="s">
        <v>541</v>
      </c>
      <c r="B733" s="90" t="s">
        <v>403</v>
      </c>
      <c r="C733" s="215" t="s">
        <v>1797</v>
      </c>
      <c r="D733" s="91">
        <v>1</v>
      </c>
      <c r="E733" s="91">
        <v>1</v>
      </c>
      <c r="F733" s="216">
        <v>3.1</v>
      </c>
      <c r="G733" s="90">
        <v>1</v>
      </c>
      <c r="H733" s="90">
        <v>6</v>
      </c>
      <c r="I733" s="158">
        <v>13</v>
      </c>
    </row>
    <row r="734" spans="1:9" x14ac:dyDescent="0.3">
      <c r="A734" s="169" t="s">
        <v>541</v>
      </c>
      <c r="B734" s="90" t="s">
        <v>403</v>
      </c>
      <c r="C734" s="215" t="s">
        <v>1798</v>
      </c>
      <c r="D734" s="91">
        <v>1</v>
      </c>
      <c r="E734" s="91">
        <v>1</v>
      </c>
      <c r="F734" s="216">
        <v>3.1</v>
      </c>
      <c r="G734" s="90">
        <v>1</v>
      </c>
      <c r="H734" s="90">
        <v>6</v>
      </c>
      <c r="I734" s="158">
        <v>13</v>
      </c>
    </row>
    <row r="735" spans="1:9" x14ac:dyDescent="0.3">
      <c r="A735" s="169" t="s">
        <v>541</v>
      </c>
      <c r="B735" s="90" t="s">
        <v>403</v>
      </c>
      <c r="C735" s="215" t="s">
        <v>1799</v>
      </c>
      <c r="D735" s="91">
        <v>1</v>
      </c>
      <c r="E735" s="91">
        <v>1</v>
      </c>
      <c r="F735" s="216">
        <v>3.1</v>
      </c>
      <c r="G735" s="90">
        <v>1</v>
      </c>
      <c r="H735" s="90">
        <v>6</v>
      </c>
      <c r="I735" s="158">
        <v>13</v>
      </c>
    </row>
    <row r="736" spans="1:9" x14ac:dyDescent="0.3">
      <c r="A736" s="169" t="s">
        <v>541</v>
      </c>
      <c r="B736" s="90" t="s">
        <v>403</v>
      </c>
      <c r="C736" s="215" t="s">
        <v>1800</v>
      </c>
      <c r="D736" s="91">
        <v>1</v>
      </c>
      <c r="E736" s="91">
        <v>1</v>
      </c>
      <c r="F736" s="216">
        <v>3.1</v>
      </c>
      <c r="G736" s="90">
        <v>1</v>
      </c>
      <c r="H736" s="90">
        <v>6</v>
      </c>
      <c r="I736" s="158">
        <v>13</v>
      </c>
    </row>
    <row r="737" spans="1:9" x14ac:dyDescent="0.3">
      <c r="A737" s="169" t="s">
        <v>541</v>
      </c>
      <c r="B737" s="90" t="s">
        <v>403</v>
      </c>
      <c r="C737" s="215" t="s">
        <v>1801</v>
      </c>
      <c r="D737" s="91">
        <v>1</v>
      </c>
      <c r="E737" s="91">
        <v>1</v>
      </c>
      <c r="F737" s="216">
        <v>3.1</v>
      </c>
      <c r="G737" s="90">
        <v>1</v>
      </c>
      <c r="H737" s="90">
        <v>6</v>
      </c>
      <c r="I737" s="158">
        <v>13</v>
      </c>
    </row>
    <row r="738" spans="1:9" x14ac:dyDescent="0.3">
      <c r="A738" s="169" t="s">
        <v>541</v>
      </c>
      <c r="B738" s="90" t="s">
        <v>403</v>
      </c>
      <c r="C738" s="215" t="s">
        <v>1802</v>
      </c>
      <c r="D738" s="91">
        <v>1</v>
      </c>
      <c r="E738" s="91">
        <v>1</v>
      </c>
      <c r="F738" s="216">
        <v>3.1</v>
      </c>
      <c r="G738" s="90">
        <v>1</v>
      </c>
      <c r="H738" s="90">
        <v>6</v>
      </c>
      <c r="I738" s="158">
        <v>13</v>
      </c>
    </row>
    <row r="739" spans="1:9" ht="14.4" customHeight="1" x14ac:dyDescent="0.3">
      <c r="A739" s="169" t="s">
        <v>541</v>
      </c>
      <c r="B739" s="90" t="s">
        <v>403</v>
      </c>
      <c r="C739" s="215" t="s">
        <v>1803</v>
      </c>
      <c r="D739" s="91">
        <v>1</v>
      </c>
      <c r="E739" s="91">
        <v>1</v>
      </c>
      <c r="F739" s="216">
        <v>6.9</v>
      </c>
      <c r="G739" s="90">
        <v>1</v>
      </c>
      <c r="H739" s="90">
        <v>7</v>
      </c>
      <c r="I739" s="158">
        <v>17</v>
      </c>
    </row>
    <row r="740" spans="1:9" ht="14.4" customHeight="1" x14ac:dyDescent="0.3">
      <c r="A740" s="169" t="s">
        <v>541</v>
      </c>
      <c r="B740" s="90" t="s">
        <v>403</v>
      </c>
      <c r="C740" s="215" t="s">
        <v>1804</v>
      </c>
      <c r="D740" s="91">
        <v>1</v>
      </c>
      <c r="E740" s="91">
        <v>1</v>
      </c>
      <c r="F740" s="216">
        <v>6.9</v>
      </c>
      <c r="G740" s="90">
        <v>1</v>
      </c>
      <c r="H740" s="90">
        <v>7</v>
      </c>
      <c r="I740" s="158">
        <v>17</v>
      </c>
    </row>
    <row r="741" spans="1:9" ht="14.4" customHeight="1" x14ac:dyDescent="0.3">
      <c r="A741" s="169" t="s">
        <v>541</v>
      </c>
      <c r="B741" s="90" t="s">
        <v>403</v>
      </c>
      <c r="C741" s="215" t="s">
        <v>1805</v>
      </c>
      <c r="D741" s="91">
        <v>1</v>
      </c>
      <c r="E741" s="91">
        <v>1</v>
      </c>
      <c r="F741" s="216">
        <v>6.9</v>
      </c>
      <c r="G741" s="90">
        <v>1</v>
      </c>
      <c r="H741" s="90">
        <v>7</v>
      </c>
      <c r="I741" s="158">
        <v>17</v>
      </c>
    </row>
    <row r="742" spans="1:9" ht="14.4" customHeight="1" x14ac:dyDescent="0.3">
      <c r="A742" s="169" t="s">
        <v>541</v>
      </c>
      <c r="B742" s="90" t="s">
        <v>403</v>
      </c>
      <c r="C742" s="215" t="s">
        <v>1806</v>
      </c>
      <c r="D742" s="91">
        <v>1</v>
      </c>
      <c r="E742" s="91">
        <v>1</v>
      </c>
      <c r="F742" s="216">
        <v>6.9</v>
      </c>
      <c r="G742" s="90">
        <v>1</v>
      </c>
      <c r="H742" s="90">
        <v>7</v>
      </c>
      <c r="I742" s="158">
        <v>17</v>
      </c>
    </row>
    <row r="743" spans="1:9" ht="14.4" customHeight="1" x14ac:dyDescent="0.3">
      <c r="A743" s="169" t="s">
        <v>541</v>
      </c>
      <c r="B743" s="90" t="s">
        <v>403</v>
      </c>
      <c r="C743" s="215" t="s">
        <v>1807</v>
      </c>
      <c r="D743" s="91">
        <v>1</v>
      </c>
      <c r="E743" s="91">
        <v>1</v>
      </c>
      <c r="F743" s="216">
        <v>6.9</v>
      </c>
      <c r="G743" s="90">
        <v>1</v>
      </c>
      <c r="H743" s="90">
        <v>7</v>
      </c>
      <c r="I743" s="158">
        <v>17</v>
      </c>
    </row>
    <row r="744" spans="1:9" ht="14.4" customHeight="1" x14ac:dyDescent="0.3">
      <c r="A744" s="169" t="s">
        <v>541</v>
      </c>
      <c r="B744" s="90" t="s">
        <v>403</v>
      </c>
      <c r="C744" s="215" t="s">
        <v>1808</v>
      </c>
      <c r="D744" s="91">
        <v>1</v>
      </c>
      <c r="E744" s="91">
        <v>1</v>
      </c>
      <c r="F744" s="216">
        <v>6.9</v>
      </c>
      <c r="G744" s="90">
        <v>1</v>
      </c>
      <c r="H744" s="90">
        <v>7</v>
      </c>
      <c r="I744" s="158">
        <v>17</v>
      </c>
    </row>
    <row r="745" spans="1:9" ht="14.4" customHeight="1" x14ac:dyDescent="0.3">
      <c r="A745" s="169" t="s">
        <v>541</v>
      </c>
      <c r="B745" s="90" t="s">
        <v>403</v>
      </c>
      <c r="C745" s="215" t="s">
        <v>1809</v>
      </c>
      <c r="D745" s="91">
        <v>1</v>
      </c>
      <c r="E745" s="91">
        <v>1</v>
      </c>
      <c r="F745" s="216">
        <v>6.9</v>
      </c>
      <c r="G745" s="90">
        <v>1</v>
      </c>
      <c r="H745" s="90">
        <v>7</v>
      </c>
      <c r="I745" s="158">
        <v>17</v>
      </c>
    </row>
    <row r="746" spans="1:9" ht="14.4" customHeight="1" x14ac:dyDescent="0.3">
      <c r="A746" s="169" t="s">
        <v>541</v>
      </c>
      <c r="B746" s="90" t="s">
        <v>403</v>
      </c>
      <c r="C746" s="215" t="s">
        <v>1810</v>
      </c>
      <c r="D746" s="91">
        <v>1</v>
      </c>
      <c r="E746" s="91">
        <v>1</v>
      </c>
      <c r="F746" s="216">
        <v>6.9</v>
      </c>
      <c r="G746" s="90">
        <v>1</v>
      </c>
      <c r="H746" s="90">
        <v>7</v>
      </c>
      <c r="I746" s="158">
        <v>17</v>
      </c>
    </row>
    <row r="747" spans="1:9" ht="14.4" customHeight="1" x14ac:dyDescent="0.3">
      <c r="A747" s="169" t="s">
        <v>541</v>
      </c>
      <c r="B747" s="90" t="s">
        <v>403</v>
      </c>
      <c r="C747" s="215" t="s">
        <v>1811</v>
      </c>
      <c r="D747" s="91">
        <v>1</v>
      </c>
      <c r="E747" s="91">
        <v>1</v>
      </c>
      <c r="F747" s="216">
        <v>6.9</v>
      </c>
      <c r="G747" s="90">
        <v>1</v>
      </c>
      <c r="H747" s="90">
        <v>7</v>
      </c>
      <c r="I747" s="158">
        <v>17</v>
      </c>
    </row>
    <row r="748" spans="1:9" ht="14.4" customHeight="1" x14ac:dyDescent="0.3">
      <c r="A748" s="169" t="s">
        <v>541</v>
      </c>
      <c r="B748" s="90" t="s">
        <v>403</v>
      </c>
      <c r="C748" s="215" t="s">
        <v>1812</v>
      </c>
      <c r="D748" s="91">
        <v>1</v>
      </c>
      <c r="E748" s="91">
        <v>1</v>
      </c>
      <c r="F748" s="216">
        <v>6.9</v>
      </c>
      <c r="G748" s="90">
        <v>1</v>
      </c>
      <c r="H748" s="90">
        <v>7</v>
      </c>
      <c r="I748" s="158">
        <v>17</v>
      </c>
    </row>
    <row r="749" spans="1:9" ht="14.4" customHeight="1" x14ac:dyDescent="0.3">
      <c r="A749" s="169" t="s">
        <v>541</v>
      </c>
      <c r="B749" s="90" t="s">
        <v>403</v>
      </c>
      <c r="C749" s="215" t="s">
        <v>1813</v>
      </c>
      <c r="D749" s="91">
        <v>1</v>
      </c>
      <c r="E749" s="91">
        <v>1</v>
      </c>
      <c r="F749" s="216">
        <v>6.9</v>
      </c>
      <c r="G749" s="90">
        <v>1</v>
      </c>
      <c r="H749" s="90">
        <v>7</v>
      </c>
      <c r="I749" s="158">
        <v>17</v>
      </c>
    </row>
    <row r="750" spans="1:9" ht="14.4" customHeight="1" x14ac:dyDescent="0.3">
      <c r="A750" s="169" t="s">
        <v>541</v>
      </c>
      <c r="B750" s="90" t="s">
        <v>403</v>
      </c>
      <c r="C750" s="215" t="s">
        <v>1814</v>
      </c>
      <c r="D750" s="91">
        <v>1</v>
      </c>
      <c r="E750" s="91">
        <v>1</v>
      </c>
      <c r="F750" s="216">
        <v>7.1</v>
      </c>
      <c r="G750" s="90">
        <v>1</v>
      </c>
      <c r="H750" s="90">
        <v>7</v>
      </c>
      <c r="I750" s="158">
        <v>17</v>
      </c>
    </row>
    <row r="751" spans="1:9" ht="14.4" customHeight="1" x14ac:dyDescent="0.3">
      <c r="A751" s="169" t="s">
        <v>541</v>
      </c>
      <c r="B751" s="90" t="s">
        <v>403</v>
      </c>
      <c r="C751" s="215" t="s">
        <v>1815</v>
      </c>
      <c r="D751" s="91">
        <v>1</v>
      </c>
      <c r="E751" s="91">
        <v>1</v>
      </c>
      <c r="F751" s="216">
        <v>7.1</v>
      </c>
      <c r="G751" s="90">
        <v>1</v>
      </c>
      <c r="H751" s="90">
        <v>7</v>
      </c>
      <c r="I751" s="158">
        <v>17</v>
      </c>
    </row>
    <row r="752" spans="1:9" ht="14.4" customHeight="1" x14ac:dyDescent="0.3">
      <c r="A752" s="169" t="s">
        <v>541</v>
      </c>
      <c r="B752" s="90" t="s">
        <v>403</v>
      </c>
      <c r="C752" s="215" t="s">
        <v>1816</v>
      </c>
      <c r="D752" s="91">
        <v>1</v>
      </c>
      <c r="E752" s="91">
        <v>1</v>
      </c>
      <c r="F752" s="216">
        <v>7.1</v>
      </c>
      <c r="G752" s="90">
        <v>1</v>
      </c>
      <c r="H752" s="90">
        <v>7</v>
      </c>
      <c r="I752" s="158">
        <v>17</v>
      </c>
    </row>
    <row r="753" spans="1:9" ht="14.4" customHeight="1" x14ac:dyDescent="0.3">
      <c r="A753" s="169" t="s">
        <v>541</v>
      </c>
      <c r="B753" s="90" t="s">
        <v>403</v>
      </c>
      <c r="C753" s="215" t="s">
        <v>1817</v>
      </c>
      <c r="D753" s="91">
        <v>1</v>
      </c>
      <c r="E753" s="91">
        <v>1</v>
      </c>
      <c r="F753" s="216">
        <v>7.1</v>
      </c>
      <c r="G753" s="90">
        <v>1</v>
      </c>
      <c r="H753" s="90">
        <v>7</v>
      </c>
      <c r="I753" s="158">
        <v>17</v>
      </c>
    </row>
    <row r="754" spans="1:9" x14ac:dyDescent="0.3">
      <c r="A754" s="169" t="s">
        <v>541</v>
      </c>
      <c r="B754" s="90" t="s">
        <v>403</v>
      </c>
      <c r="C754" s="215" t="s">
        <v>1818</v>
      </c>
      <c r="D754" s="91">
        <v>1</v>
      </c>
      <c r="E754" s="91">
        <v>1</v>
      </c>
      <c r="F754" s="216">
        <v>7.1</v>
      </c>
      <c r="G754" s="90">
        <v>1</v>
      </c>
      <c r="H754" s="90">
        <v>7</v>
      </c>
      <c r="I754" s="158">
        <v>17</v>
      </c>
    </row>
    <row r="755" spans="1:9" x14ac:dyDescent="0.3">
      <c r="A755" s="169" t="s">
        <v>541</v>
      </c>
      <c r="B755" s="90" t="s">
        <v>403</v>
      </c>
      <c r="C755" s="215" t="s">
        <v>1819</v>
      </c>
      <c r="D755" s="91">
        <v>1</v>
      </c>
      <c r="E755" s="91">
        <v>1</v>
      </c>
      <c r="F755" s="216">
        <v>7.1</v>
      </c>
      <c r="G755" s="90">
        <v>1</v>
      </c>
      <c r="H755" s="90">
        <v>7</v>
      </c>
      <c r="I755" s="158">
        <v>17</v>
      </c>
    </row>
    <row r="756" spans="1:9" x14ac:dyDescent="0.3">
      <c r="A756" s="169" t="s">
        <v>541</v>
      </c>
      <c r="B756" s="90" t="s">
        <v>403</v>
      </c>
      <c r="C756" s="215" t="s">
        <v>1820</v>
      </c>
      <c r="D756" s="91">
        <v>1</v>
      </c>
      <c r="E756" s="91">
        <v>1</v>
      </c>
      <c r="F756" s="216">
        <v>7.1</v>
      </c>
      <c r="G756" s="90">
        <v>1</v>
      </c>
      <c r="H756" s="90">
        <v>7</v>
      </c>
      <c r="I756" s="158">
        <v>17</v>
      </c>
    </row>
    <row r="757" spans="1:9" x14ac:dyDescent="0.3">
      <c r="A757" s="169" t="s">
        <v>541</v>
      </c>
      <c r="B757" s="90" t="s">
        <v>403</v>
      </c>
      <c r="C757" s="215" t="s">
        <v>1821</v>
      </c>
      <c r="D757" s="91">
        <v>1</v>
      </c>
      <c r="E757" s="91">
        <v>1</v>
      </c>
      <c r="F757" s="216">
        <v>7.1</v>
      </c>
      <c r="G757" s="90">
        <v>1</v>
      </c>
      <c r="H757" s="90">
        <v>7</v>
      </c>
      <c r="I757" s="158">
        <v>17</v>
      </c>
    </row>
    <row r="758" spans="1:9" x14ac:dyDescent="0.3">
      <c r="A758" s="169" t="s">
        <v>541</v>
      </c>
      <c r="B758" s="90" t="s">
        <v>403</v>
      </c>
      <c r="C758" s="215" t="s">
        <v>1822</v>
      </c>
      <c r="D758" s="91">
        <v>1</v>
      </c>
      <c r="E758" s="91">
        <v>1</v>
      </c>
      <c r="F758" s="216">
        <v>7.1</v>
      </c>
      <c r="G758" s="90">
        <v>1</v>
      </c>
      <c r="H758" s="90">
        <v>7</v>
      </c>
      <c r="I758" s="158">
        <v>17</v>
      </c>
    </row>
    <row r="759" spans="1:9" x14ac:dyDescent="0.3">
      <c r="A759" s="169" t="s">
        <v>541</v>
      </c>
      <c r="B759" s="90" t="s">
        <v>403</v>
      </c>
      <c r="C759" s="215" t="s">
        <v>1823</v>
      </c>
      <c r="D759" s="91">
        <v>1</v>
      </c>
      <c r="E759" s="91">
        <v>1</v>
      </c>
      <c r="F759" s="216">
        <v>7.1</v>
      </c>
      <c r="G759" s="90">
        <v>1</v>
      </c>
      <c r="H759" s="90">
        <v>7</v>
      </c>
      <c r="I759" s="158">
        <v>17</v>
      </c>
    </row>
    <row r="760" spans="1:9" x14ac:dyDescent="0.3">
      <c r="A760" s="169" t="s">
        <v>541</v>
      </c>
      <c r="B760" s="90" t="s">
        <v>403</v>
      </c>
      <c r="C760" s="215" t="s">
        <v>1824</v>
      </c>
      <c r="D760" s="91">
        <v>1</v>
      </c>
      <c r="E760" s="91">
        <v>1</v>
      </c>
      <c r="F760" s="216">
        <v>7.1</v>
      </c>
      <c r="G760" s="90">
        <v>1</v>
      </c>
      <c r="H760" s="90">
        <v>7</v>
      </c>
      <c r="I760" s="158">
        <v>17</v>
      </c>
    </row>
    <row r="761" spans="1:9" x14ac:dyDescent="0.3">
      <c r="A761" s="169" t="s">
        <v>541</v>
      </c>
      <c r="B761" s="90" t="s">
        <v>403</v>
      </c>
      <c r="C761" s="215" t="s">
        <v>1708</v>
      </c>
      <c r="D761" s="91">
        <v>1</v>
      </c>
      <c r="E761" s="91">
        <v>1</v>
      </c>
      <c r="F761" s="216">
        <v>15</v>
      </c>
      <c r="G761" s="90">
        <v>3</v>
      </c>
      <c r="H761" s="90">
        <v>7</v>
      </c>
      <c r="I761" s="158">
        <v>18</v>
      </c>
    </row>
    <row r="762" spans="1:9" x14ac:dyDescent="0.3">
      <c r="A762" s="169" t="s">
        <v>541</v>
      </c>
      <c r="B762" s="90" t="s">
        <v>403</v>
      </c>
      <c r="C762" s="215" t="s">
        <v>1825</v>
      </c>
      <c r="D762" s="91">
        <v>1</v>
      </c>
      <c r="E762" s="91">
        <v>1</v>
      </c>
      <c r="F762" s="215">
        <v>10</v>
      </c>
      <c r="G762" s="90">
        <v>2</v>
      </c>
      <c r="H762" s="90">
        <v>7</v>
      </c>
      <c r="I762" s="158">
        <v>17</v>
      </c>
    </row>
    <row r="763" spans="1:9" x14ac:dyDescent="0.3">
      <c r="A763" s="169" t="s">
        <v>541</v>
      </c>
      <c r="B763" s="90" t="s">
        <v>403</v>
      </c>
      <c r="C763" s="215" t="s">
        <v>1826</v>
      </c>
      <c r="D763" s="91">
        <v>1</v>
      </c>
      <c r="E763" s="91">
        <v>1</v>
      </c>
      <c r="F763" s="215">
        <v>6.8</v>
      </c>
      <c r="G763" s="90">
        <v>1</v>
      </c>
      <c r="H763" s="90">
        <v>7</v>
      </c>
      <c r="I763" s="158">
        <v>17</v>
      </c>
    </row>
    <row r="764" spans="1:9" x14ac:dyDescent="0.3">
      <c r="A764" s="169" t="s">
        <v>541</v>
      </c>
      <c r="B764" s="90" t="s">
        <v>403</v>
      </c>
      <c r="C764" s="215" t="s">
        <v>1827</v>
      </c>
      <c r="D764" s="91">
        <v>1</v>
      </c>
      <c r="E764" s="91">
        <v>1</v>
      </c>
      <c r="F764" s="215">
        <v>7.6</v>
      </c>
      <c r="G764" s="90">
        <v>1</v>
      </c>
      <c r="H764" s="90">
        <v>7</v>
      </c>
      <c r="I764" s="158">
        <v>17</v>
      </c>
    </row>
    <row r="765" spans="1:9" x14ac:dyDescent="0.3">
      <c r="A765" s="169" t="s">
        <v>541</v>
      </c>
      <c r="B765" s="90" t="s">
        <v>403</v>
      </c>
      <c r="C765" s="215" t="s">
        <v>1828</v>
      </c>
      <c r="D765" s="91">
        <v>1</v>
      </c>
      <c r="E765" s="91">
        <v>1</v>
      </c>
      <c r="F765" s="215">
        <v>10.3</v>
      </c>
      <c r="G765" s="90">
        <v>2</v>
      </c>
      <c r="H765" s="90">
        <v>7</v>
      </c>
      <c r="I765" s="158">
        <v>17</v>
      </c>
    </row>
    <row r="766" spans="1:9" x14ac:dyDescent="0.3">
      <c r="A766" s="169" t="s">
        <v>541</v>
      </c>
      <c r="B766" s="90" t="s">
        <v>403</v>
      </c>
      <c r="C766" s="216" t="s">
        <v>1829</v>
      </c>
      <c r="D766" s="91">
        <v>1</v>
      </c>
      <c r="E766" s="91">
        <v>1</v>
      </c>
      <c r="F766" s="215">
        <v>21.5</v>
      </c>
      <c r="G766" s="90">
        <v>2</v>
      </c>
      <c r="H766" s="90">
        <v>7</v>
      </c>
      <c r="I766" s="158">
        <v>18</v>
      </c>
    </row>
    <row r="767" spans="1:9" x14ac:dyDescent="0.3">
      <c r="A767" s="169" t="s">
        <v>541</v>
      </c>
      <c r="B767" s="90" t="s">
        <v>403</v>
      </c>
      <c r="C767" s="215" t="s">
        <v>1830</v>
      </c>
      <c r="D767" s="91">
        <v>1</v>
      </c>
      <c r="E767" s="91">
        <v>1</v>
      </c>
      <c r="F767" s="215">
        <v>6.8</v>
      </c>
      <c r="G767" s="90">
        <v>1</v>
      </c>
      <c r="H767" s="90">
        <v>7</v>
      </c>
      <c r="I767" s="158">
        <v>17</v>
      </c>
    </row>
    <row r="768" spans="1:9" x14ac:dyDescent="0.3">
      <c r="A768" s="169" t="s">
        <v>541</v>
      </c>
      <c r="B768" s="90" t="s">
        <v>403</v>
      </c>
      <c r="C768" s="216" t="s">
        <v>1831</v>
      </c>
      <c r="D768" s="91">
        <v>1</v>
      </c>
      <c r="E768" s="91">
        <v>1</v>
      </c>
      <c r="F768" s="217">
        <v>6.6</v>
      </c>
      <c r="G768" s="90">
        <v>1</v>
      </c>
      <c r="H768" s="90">
        <v>7</v>
      </c>
      <c r="I768" s="158">
        <v>9</v>
      </c>
    </row>
    <row r="769" spans="1:9" x14ac:dyDescent="0.3">
      <c r="A769" s="169" t="s">
        <v>541</v>
      </c>
      <c r="B769" s="90" t="s">
        <v>403</v>
      </c>
      <c r="C769" s="215" t="s">
        <v>1832</v>
      </c>
      <c r="D769" s="91">
        <v>1</v>
      </c>
      <c r="E769" s="91">
        <v>1</v>
      </c>
      <c r="F769" s="215">
        <v>4.5999999999999996</v>
      </c>
      <c r="G769" s="90">
        <v>1</v>
      </c>
      <c r="H769" s="90">
        <v>7</v>
      </c>
      <c r="I769" s="90">
        <v>13</v>
      </c>
    </row>
    <row r="770" spans="1:9" x14ac:dyDescent="0.3">
      <c r="A770" s="169" t="s">
        <v>541</v>
      </c>
      <c r="B770" s="90" t="s">
        <v>403</v>
      </c>
      <c r="C770" s="215" t="s">
        <v>1833</v>
      </c>
      <c r="D770" s="91">
        <v>1</v>
      </c>
      <c r="E770" s="91">
        <v>1</v>
      </c>
      <c r="F770" s="215">
        <v>4.5999999999999996</v>
      </c>
      <c r="G770" s="90">
        <v>1</v>
      </c>
      <c r="H770" s="90">
        <v>7</v>
      </c>
      <c r="I770" s="90">
        <v>13</v>
      </c>
    </row>
    <row r="771" spans="1:9" x14ac:dyDescent="0.3">
      <c r="A771" s="169" t="s">
        <v>541</v>
      </c>
      <c r="B771" s="90" t="s">
        <v>403</v>
      </c>
      <c r="C771" s="215" t="s">
        <v>1834</v>
      </c>
      <c r="D771" s="91">
        <v>1</v>
      </c>
      <c r="E771" s="91">
        <v>1</v>
      </c>
      <c r="F771" s="215">
        <v>4.5999999999999996</v>
      </c>
      <c r="G771" s="90">
        <v>1</v>
      </c>
      <c r="H771" s="90">
        <v>7</v>
      </c>
      <c r="I771" s="90">
        <v>13</v>
      </c>
    </row>
    <row r="772" spans="1:9" x14ac:dyDescent="0.3">
      <c r="A772" s="169" t="s">
        <v>541</v>
      </c>
      <c r="B772" s="90" t="s">
        <v>403</v>
      </c>
      <c r="C772" s="215" t="s">
        <v>1835</v>
      </c>
      <c r="D772" s="91">
        <v>1</v>
      </c>
      <c r="E772" s="91">
        <v>1</v>
      </c>
      <c r="F772" s="215">
        <v>4.5999999999999996</v>
      </c>
      <c r="G772" s="90">
        <v>1</v>
      </c>
      <c r="H772" s="90">
        <v>7</v>
      </c>
      <c r="I772" s="90">
        <v>13</v>
      </c>
    </row>
    <row r="773" spans="1:9" x14ac:dyDescent="0.3">
      <c r="A773" s="169" t="s">
        <v>541</v>
      </c>
      <c r="B773" s="90" t="s">
        <v>403</v>
      </c>
      <c r="C773" s="215" t="s">
        <v>1836</v>
      </c>
      <c r="D773" s="91">
        <v>1</v>
      </c>
      <c r="E773" s="91">
        <v>1</v>
      </c>
      <c r="F773" s="215">
        <v>4.5999999999999996</v>
      </c>
      <c r="G773" s="90">
        <v>1</v>
      </c>
      <c r="H773" s="90">
        <v>7</v>
      </c>
      <c r="I773" s="90">
        <v>13</v>
      </c>
    </row>
    <row r="774" spans="1:9" x14ac:dyDescent="0.3">
      <c r="A774" s="169" t="s">
        <v>541</v>
      </c>
      <c r="B774" s="90" t="s">
        <v>403</v>
      </c>
      <c r="C774" s="215" t="s">
        <v>1837</v>
      </c>
      <c r="D774" s="91">
        <v>1</v>
      </c>
      <c r="E774" s="91">
        <v>1</v>
      </c>
      <c r="F774" s="215">
        <v>4.5999999999999996</v>
      </c>
      <c r="G774" s="90">
        <v>1</v>
      </c>
      <c r="H774" s="90">
        <v>7</v>
      </c>
      <c r="I774" s="90">
        <v>13</v>
      </c>
    </row>
    <row r="775" spans="1:9" x14ac:dyDescent="0.3">
      <c r="A775" s="169" t="s">
        <v>541</v>
      </c>
      <c r="B775" s="90" t="s">
        <v>403</v>
      </c>
      <c r="C775" s="215" t="s">
        <v>1838</v>
      </c>
      <c r="D775" s="91">
        <v>1</v>
      </c>
      <c r="E775" s="91">
        <v>1</v>
      </c>
      <c r="F775" s="215">
        <v>4.5999999999999996</v>
      </c>
      <c r="G775" s="90">
        <v>1</v>
      </c>
      <c r="H775" s="90">
        <v>7</v>
      </c>
      <c r="I775" s="90">
        <v>13</v>
      </c>
    </row>
    <row r="776" spans="1:9" x14ac:dyDescent="0.3">
      <c r="A776" s="169" t="s">
        <v>541</v>
      </c>
      <c r="B776" s="90" t="s">
        <v>403</v>
      </c>
      <c r="C776" s="215" t="s">
        <v>1839</v>
      </c>
      <c r="D776" s="91">
        <v>1</v>
      </c>
      <c r="E776" s="91">
        <v>1</v>
      </c>
      <c r="F776" s="215">
        <v>4.5999999999999996</v>
      </c>
      <c r="G776" s="90">
        <v>1</v>
      </c>
      <c r="H776" s="90">
        <v>7</v>
      </c>
      <c r="I776" s="90">
        <v>13</v>
      </c>
    </row>
    <row r="777" spans="1:9" x14ac:dyDescent="0.3">
      <c r="A777" s="169" t="s">
        <v>541</v>
      </c>
      <c r="B777" s="90" t="s">
        <v>403</v>
      </c>
      <c r="C777" s="215" t="s">
        <v>1840</v>
      </c>
      <c r="D777" s="91">
        <v>1</v>
      </c>
      <c r="E777" s="91">
        <v>1</v>
      </c>
      <c r="F777" s="215">
        <v>4.5999999999999996</v>
      </c>
      <c r="G777" s="90">
        <v>1</v>
      </c>
      <c r="H777" s="90">
        <v>7</v>
      </c>
      <c r="I777" s="90">
        <v>13</v>
      </c>
    </row>
    <row r="778" spans="1:9" x14ac:dyDescent="0.3">
      <c r="A778" s="169" t="s">
        <v>541</v>
      </c>
      <c r="B778" s="90" t="s">
        <v>403</v>
      </c>
      <c r="C778" s="215" t="s">
        <v>1841</v>
      </c>
      <c r="D778" s="91">
        <v>1</v>
      </c>
      <c r="E778" s="91">
        <v>1</v>
      </c>
      <c r="F778" s="215">
        <v>4.5999999999999996</v>
      </c>
      <c r="G778" s="90">
        <v>1</v>
      </c>
      <c r="H778" s="90">
        <v>7</v>
      </c>
      <c r="I778" s="90">
        <v>13</v>
      </c>
    </row>
    <row r="779" spans="1:9" x14ac:dyDescent="0.3">
      <c r="A779" s="169" t="s">
        <v>541</v>
      </c>
      <c r="B779" s="90" t="s">
        <v>403</v>
      </c>
      <c r="C779" s="215" t="s">
        <v>1842</v>
      </c>
      <c r="D779" s="91">
        <v>1</v>
      </c>
      <c r="E779" s="91">
        <v>1</v>
      </c>
      <c r="F779" s="215">
        <v>4.5999999999999996</v>
      </c>
      <c r="G779" s="90">
        <v>1</v>
      </c>
      <c r="H779" s="90">
        <v>7</v>
      </c>
      <c r="I779" s="90">
        <v>13</v>
      </c>
    </row>
    <row r="780" spans="1:9" x14ac:dyDescent="0.3">
      <c r="A780" s="169" t="s">
        <v>541</v>
      </c>
      <c r="B780" s="90" t="s">
        <v>403</v>
      </c>
      <c r="C780" s="215" t="s">
        <v>1709</v>
      </c>
      <c r="D780" s="91">
        <v>1</v>
      </c>
      <c r="E780" s="91">
        <v>1</v>
      </c>
      <c r="F780" s="215">
        <v>4.4000000000000004</v>
      </c>
      <c r="G780" s="90">
        <v>1</v>
      </c>
      <c r="H780" s="90">
        <v>7</v>
      </c>
      <c r="I780" s="158">
        <v>13</v>
      </c>
    </row>
    <row r="781" spans="1:9" x14ac:dyDescent="0.3">
      <c r="A781" s="169" t="s">
        <v>541</v>
      </c>
      <c r="B781" s="90" t="s">
        <v>403</v>
      </c>
      <c r="C781" s="215" t="s">
        <v>1710</v>
      </c>
      <c r="D781" s="91">
        <v>1</v>
      </c>
      <c r="E781" s="91">
        <v>1</v>
      </c>
      <c r="F781" s="215">
        <v>11.4</v>
      </c>
      <c r="G781" s="90">
        <v>2</v>
      </c>
      <c r="H781" s="90">
        <v>7</v>
      </c>
      <c r="I781" s="158">
        <v>10</v>
      </c>
    </row>
    <row r="782" spans="1:9" x14ac:dyDescent="0.3">
      <c r="A782" s="169" t="s">
        <v>541</v>
      </c>
      <c r="B782" s="90" t="s">
        <v>403</v>
      </c>
      <c r="C782" s="215" t="s">
        <v>1711</v>
      </c>
      <c r="D782" s="91">
        <v>1</v>
      </c>
      <c r="E782" s="91">
        <v>1</v>
      </c>
      <c r="F782" s="215">
        <v>8.3000000000000007</v>
      </c>
      <c r="G782" s="90">
        <v>1</v>
      </c>
      <c r="H782" s="90">
        <v>7</v>
      </c>
      <c r="I782" s="158">
        <v>17</v>
      </c>
    </row>
    <row r="783" spans="1:9" x14ac:dyDescent="0.3">
      <c r="A783" s="169" t="s">
        <v>541</v>
      </c>
      <c r="B783" s="90" t="s">
        <v>403</v>
      </c>
      <c r="C783" s="215" t="s">
        <v>1711</v>
      </c>
      <c r="D783" s="91">
        <v>2</v>
      </c>
      <c r="E783" s="91">
        <v>4</v>
      </c>
      <c r="F783" s="215">
        <v>8.3000000000000007</v>
      </c>
      <c r="G783" s="90">
        <v>1</v>
      </c>
      <c r="H783" s="90">
        <v>7</v>
      </c>
      <c r="I783" s="158">
        <v>17</v>
      </c>
    </row>
    <row r="784" spans="1:9" x14ac:dyDescent="0.3">
      <c r="A784" s="169" t="s">
        <v>541</v>
      </c>
      <c r="B784" s="90" t="s">
        <v>403</v>
      </c>
      <c r="C784" s="215" t="s">
        <v>1711</v>
      </c>
      <c r="D784" s="91">
        <v>5</v>
      </c>
      <c r="E784" s="91">
        <v>999</v>
      </c>
      <c r="F784" s="215">
        <v>8.3000000000000007</v>
      </c>
      <c r="G784" s="90">
        <v>1</v>
      </c>
      <c r="H784" s="90">
        <v>7</v>
      </c>
      <c r="I784" s="158">
        <v>17</v>
      </c>
    </row>
    <row r="785" spans="1:9" x14ac:dyDescent="0.3">
      <c r="A785" s="169" t="s">
        <v>541</v>
      </c>
      <c r="B785" s="90" t="s">
        <v>403</v>
      </c>
      <c r="C785" s="215" t="s">
        <v>1843</v>
      </c>
      <c r="D785" s="91">
        <v>1</v>
      </c>
      <c r="E785" s="91">
        <v>1</v>
      </c>
      <c r="F785" s="215">
        <v>12.9</v>
      </c>
      <c r="G785" s="90">
        <v>2</v>
      </c>
      <c r="H785" s="90">
        <v>7</v>
      </c>
      <c r="I785" s="158">
        <v>18</v>
      </c>
    </row>
    <row r="786" spans="1:9" x14ac:dyDescent="0.3">
      <c r="A786" s="169" t="s">
        <v>541</v>
      </c>
      <c r="B786" s="90" t="s">
        <v>403</v>
      </c>
      <c r="C786" s="215" t="s">
        <v>1844</v>
      </c>
      <c r="D786" s="91">
        <v>1</v>
      </c>
      <c r="E786" s="91">
        <v>1</v>
      </c>
      <c r="F786" s="215">
        <v>15.6</v>
      </c>
      <c r="G786" s="90">
        <v>2</v>
      </c>
      <c r="H786" s="90">
        <v>7</v>
      </c>
      <c r="I786" s="158">
        <v>18</v>
      </c>
    </row>
    <row r="787" spans="1:9" x14ac:dyDescent="0.3">
      <c r="A787" s="169" t="s">
        <v>541</v>
      </c>
      <c r="B787" s="90" t="s">
        <v>403</v>
      </c>
      <c r="C787" s="215" t="s">
        <v>1712</v>
      </c>
      <c r="D787" s="91">
        <v>1</v>
      </c>
      <c r="E787" s="91">
        <v>1</v>
      </c>
      <c r="F787" s="215">
        <v>4.5999999999999996</v>
      </c>
      <c r="G787" s="90">
        <v>1</v>
      </c>
      <c r="H787" s="90">
        <v>7</v>
      </c>
      <c r="I787" s="158">
        <v>17</v>
      </c>
    </row>
    <row r="788" spans="1:9" x14ac:dyDescent="0.3">
      <c r="A788" s="169" t="s">
        <v>541</v>
      </c>
      <c r="B788" s="90" t="s">
        <v>403</v>
      </c>
      <c r="C788" s="215" t="s">
        <v>1845</v>
      </c>
      <c r="D788" s="91">
        <v>1</v>
      </c>
      <c r="E788" s="91">
        <v>1</v>
      </c>
      <c r="F788" s="215">
        <v>6.2</v>
      </c>
      <c r="G788" s="90">
        <v>1</v>
      </c>
      <c r="H788" s="90">
        <v>7</v>
      </c>
      <c r="I788" s="158">
        <v>17</v>
      </c>
    </row>
    <row r="789" spans="1:9" x14ac:dyDescent="0.3">
      <c r="A789" s="169" t="s">
        <v>541</v>
      </c>
      <c r="B789" s="90" t="s">
        <v>403</v>
      </c>
      <c r="C789" s="215" t="s">
        <v>499</v>
      </c>
      <c r="D789" s="91">
        <v>1</v>
      </c>
      <c r="E789" s="91">
        <v>999</v>
      </c>
      <c r="F789" s="215">
        <v>7.3</v>
      </c>
      <c r="G789" s="90">
        <v>1</v>
      </c>
      <c r="H789" s="90">
        <v>7</v>
      </c>
      <c r="I789" s="158">
        <v>17</v>
      </c>
    </row>
    <row r="790" spans="1:9" x14ac:dyDescent="0.3">
      <c r="A790" s="169" t="s">
        <v>541</v>
      </c>
      <c r="B790" s="90" t="s">
        <v>403</v>
      </c>
      <c r="C790" s="215" t="s">
        <v>1846</v>
      </c>
      <c r="D790" s="91">
        <v>1</v>
      </c>
      <c r="E790" s="91">
        <v>999</v>
      </c>
      <c r="F790" s="215">
        <v>11.4</v>
      </c>
      <c r="G790" s="90">
        <v>2</v>
      </c>
      <c r="H790" s="90">
        <v>7</v>
      </c>
      <c r="I790" s="158">
        <v>15</v>
      </c>
    </row>
    <row r="791" spans="1:9" x14ac:dyDescent="0.3">
      <c r="A791" s="169" t="s">
        <v>541</v>
      </c>
      <c r="B791" s="90" t="s">
        <v>403</v>
      </c>
      <c r="C791" s="216" t="s">
        <v>1847</v>
      </c>
      <c r="D791" s="91">
        <v>1</v>
      </c>
      <c r="E791" s="91">
        <v>999</v>
      </c>
      <c r="F791" s="215">
        <v>4.8</v>
      </c>
      <c r="G791" s="90">
        <v>1</v>
      </c>
      <c r="H791" s="90">
        <v>7</v>
      </c>
      <c r="I791" s="158">
        <v>9</v>
      </c>
    </row>
    <row r="792" spans="1:9" x14ac:dyDescent="0.3">
      <c r="A792" s="169" t="s">
        <v>541</v>
      </c>
      <c r="B792" s="90" t="s">
        <v>403</v>
      </c>
      <c r="C792" s="216" t="s">
        <v>1848</v>
      </c>
      <c r="D792" s="91">
        <v>1</v>
      </c>
      <c r="E792" s="91">
        <v>999</v>
      </c>
      <c r="F792" s="215">
        <v>18.3</v>
      </c>
      <c r="G792" s="90">
        <v>3</v>
      </c>
      <c r="H792" s="90">
        <v>7</v>
      </c>
      <c r="I792" s="158">
        <v>14</v>
      </c>
    </row>
    <row r="793" spans="1:9" x14ac:dyDescent="0.3">
      <c r="A793" s="169" t="s">
        <v>541</v>
      </c>
      <c r="B793" s="90" t="s">
        <v>403</v>
      </c>
      <c r="C793" s="216" t="s">
        <v>1849</v>
      </c>
      <c r="D793" s="91">
        <v>1</v>
      </c>
      <c r="E793" s="91">
        <v>999</v>
      </c>
      <c r="F793" s="215">
        <v>21.8</v>
      </c>
      <c r="G793" s="90">
        <v>3</v>
      </c>
      <c r="H793" s="90">
        <v>8</v>
      </c>
      <c r="I793" s="158">
        <v>19</v>
      </c>
    </row>
    <row r="794" spans="1:9" x14ac:dyDescent="0.3">
      <c r="A794" s="169" t="s">
        <v>541</v>
      </c>
      <c r="B794" s="90" t="s">
        <v>403</v>
      </c>
      <c r="C794" s="215" t="s">
        <v>501</v>
      </c>
      <c r="D794" s="91">
        <v>1</v>
      </c>
      <c r="E794" s="91">
        <v>999</v>
      </c>
      <c r="F794" s="215">
        <v>10.8</v>
      </c>
      <c r="G794" s="90">
        <v>2</v>
      </c>
      <c r="H794" s="90">
        <v>7</v>
      </c>
      <c r="I794" s="158">
        <v>17</v>
      </c>
    </row>
    <row r="795" spans="1:9" x14ac:dyDescent="0.3">
      <c r="A795" s="169" t="s">
        <v>541</v>
      </c>
      <c r="B795" s="90" t="s">
        <v>403</v>
      </c>
      <c r="C795" s="215" t="s">
        <v>503</v>
      </c>
      <c r="D795" s="91">
        <v>1</v>
      </c>
      <c r="E795" s="91">
        <v>1</v>
      </c>
      <c r="F795" s="215">
        <v>5.2</v>
      </c>
      <c r="G795" s="90">
        <v>1</v>
      </c>
      <c r="H795" s="90">
        <v>7</v>
      </c>
      <c r="I795" s="158">
        <v>17</v>
      </c>
    </row>
    <row r="796" spans="1:9" x14ac:dyDescent="0.3">
      <c r="A796" s="169" t="s">
        <v>541</v>
      </c>
      <c r="B796" s="90" t="s">
        <v>403</v>
      </c>
      <c r="C796" s="215" t="s">
        <v>504</v>
      </c>
      <c r="D796" s="91">
        <v>1</v>
      </c>
      <c r="E796" s="91">
        <v>1</v>
      </c>
      <c r="F796" s="215">
        <v>5.2</v>
      </c>
      <c r="G796" s="90">
        <v>1</v>
      </c>
      <c r="H796" s="90">
        <v>7</v>
      </c>
      <c r="I796" s="158">
        <v>17</v>
      </c>
    </row>
    <row r="797" spans="1:9" x14ac:dyDescent="0.3">
      <c r="A797" s="169" t="s">
        <v>541</v>
      </c>
      <c r="B797" s="90" t="s">
        <v>403</v>
      </c>
      <c r="C797" s="215" t="s">
        <v>505</v>
      </c>
      <c r="D797" s="91">
        <v>1</v>
      </c>
      <c r="E797" s="91">
        <v>1</v>
      </c>
      <c r="F797" s="215">
        <v>5.2</v>
      </c>
      <c r="G797" s="90">
        <v>1</v>
      </c>
      <c r="H797" s="90">
        <v>7</v>
      </c>
      <c r="I797" s="158">
        <v>17</v>
      </c>
    </row>
    <row r="798" spans="1:9" x14ac:dyDescent="0.3">
      <c r="A798" s="169" t="s">
        <v>541</v>
      </c>
      <c r="B798" s="90" t="s">
        <v>403</v>
      </c>
      <c r="C798" s="215" t="s">
        <v>506</v>
      </c>
      <c r="D798" s="91">
        <v>1</v>
      </c>
      <c r="E798" s="91">
        <v>1</v>
      </c>
      <c r="F798" s="215">
        <v>5.2</v>
      </c>
      <c r="G798" s="90">
        <v>1</v>
      </c>
      <c r="H798" s="90">
        <v>7</v>
      </c>
      <c r="I798" s="158">
        <v>17</v>
      </c>
    </row>
    <row r="799" spans="1:9" x14ac:dyDescent="0.3">
      <c r="A799" s="169" t="s">
        <v>541</v>
      </c>
      <c r="B799" s="90" t="s">
        <v>403</v>
      </c>
      <c r="C799" s="215" t="s">
        <v>507</v>
      </c>
      <c r="D799" s="91">
        <v>1</v>
      </c>
      <c r="E799" s="91">
        <v>1</v>
      </c>
      <c r="F799" s="215">
        <v>5.2</v>
      </c>
      <c r="G799" s="90">
        <v>1</v>
      </c>
      <c r="H799" s="90">
        <v>7</v>
      </c>
      <c r="I799" s="158">
        <v>17</v>
      </c>
    </row>
    <row r="800" spans="1:9" x14ac:dyDescent="0.3">
      <c r="A800" s="169" t="s">
        <v>541</v>
      </c>
      <c r="B800" s="90" t="s">
        <v>403</v>
      </c>
      <c r="C800" s="215" t="s">
        <v>508</v>
      </c>
      <c r="D800" s="91">
        <v>1</v>
      </c>
      <c r="E800" s="91">
        <v>1</v>
      </c>
      <c r="F800" s="215">
        <v>5.2</v>
      </c>
      <c r="G800" s="90">
        <v>1</v>
      </c>
      <c r="H800" s="90">
        <v>7</v>
      </c>
      <c r="I800" s="158">
        <v>17</v>
      </c>
    </row>
    <row r="801" spans="1:9" x14ac:dyDescent="0.3">
      <c r="A801" s="169" t="s">
        <v>541</v>
      </c>
      <c r="B801" s="90" t="s">
        <v>403</v>
      </c>
      <c r="C801" s="215" t="s">
        <v>509</v>
      </c>
      <c r="D801" s="91">
        <v>1</v>
      </c>
      <c r="E801" s="91">
        <v>1</v>
      </c>
      <c r="F801" s="215">
        <v>5.2</v>
      </c>
      <c r="G801" s="90">
        <v>1</v>
      </c>
      <c r="H801" s="90">
        <v>7</v>
      </c>
      <c r="I801" s="158">
        <v>17</v>
      </c>
    </row>
    <row r="802" spans="1:9" x14ac:dyDescent="0.3">
      <c r="A802" s="169" t="s">
        <v>541</v>
      </c>
      <c r="B802" s="90" t="s">
        <v>403</v>
      </c>
      <c r="C802" s="215" t="s">
        <v>510</v>
      </c>
      <c r="D802" s="91">
        <v>1</v>
      </c>
      <c r="E802" s="91">
        <v>1</v>
      </c>
      <c r="F802" s="215">
        <v>5.2</v>
      </c>
      <c r="G802" s="90">
        <v>1</v>
      </c>
      <c r="H802" s="90">
        <v>7</v>
      </c>
      <c r="I802" s="158">
        <v>17</v>
      </c>
    </row>
    <row r="803" spans="1:9" x14ac:dyDescent="0.3">
      <c r="A803" s="169" t="s">
        <v>541</v>
      </c>
      <c r="B803" s="90" t="s">
        <v>403</v>
      </c>
      <c r="C803" s="215" t="s">
        <v>511</v>
      </c>
      <c r="D803" s="91">
        <v>1</v>
      </c>
      <c r="E803" s="91">
        <v>1</v>
      </c>
      <c r="F803" s="215">
        <v>5.2</v>
      </c>
      <c r="G803" s="90">
        <v>1</v>
      </c>
      <c r="H803" s="90">
        <v>7</v>
      </c>
      <c r="I803" s="158">
        <v>17</v>
      </c>
    </row>
    <row r="804" spans="1:9" x14ac:dyDescent="0.3">
      <c r="A804" s="169" t="s">
        <v>541</v>
      </c>
      <c r="B804" s="90" t="s">
        <v>403</v>
      </c>
      <c r="C804" s="215" t="s">
        <v>1850</v>
      </c>
      <c r="D804" s="91">
        <v>1</v>
      </c>
      <c r="E804" s="91">
        <v>1</v>
      </c>
      <c r="F804" s="215">
        <v>5.2</v>
      </c>
      <c r="G804" s="90">
        <v>1</v>
      </c>
      <c r="H804" s="90">
        <v>7</v>
      </c>
      <c r="I804" s="158">
        <v>17</v>
      </c>
    </row>
    <row r="805" spans="1:9" x14ac:dyDescent="0.3">
      <c r="A805" s="169" t="s">
        <v>541</v>
      </c>
      <c r="B805" s="90" t="s">
        <v>403</v>
      </c>
      <c r="C805" s="215" t="s">
        <v>1851</v>
      </c>
      <c r="D805" s="91">
        <v>1</v>
      </c>
      <c r="E805" s="91">
        <v>1</v>
      </c>
      <c r="F805" s="215">
        <v>5.2</v>
      </c>
      <c r="G805" s="90">
        <v>1</v>
      </c>
      <c r="H805" s="90">
        <v>7</v>
      </c>
      <c r="I805" s="158">
        <v>17</v>
      </c>
    </row>
    <row r="806" spans="1:9" x14ac:dyDescent="0.3">
      <c r="A806" s="169" t="s">
        <v>541</v>
      </c>
      <c r="B806" s="90" t="s">
        <v>403</v>
      </c>
      <c r="C806" s="215" t="s">
        <v>1852</v>
      </c>
      <c r="D806" s="91">
        <v>1</v>
      </c>
      <c r="E806" s="91">
        <v>1</v>
      </c>
      <c r="F806" s="215">
        <v>8.4</v>
      </c>
      <c r="G806" s="90">
        <v>1</v>
      </c>
      <c r="H806" s="90">
        <v>7</v>
      </c>
      <c r="I806" s="158">
        <v>17</v>
      </c>
    </row>
    <row r="807" spans="1:9" x14ac:dyDescent="0.3">
      <c r="A807" s="169" t="s">
        <v>541</v>
      </c>
      <c r="B807" s="90" t="s">
        <v>403</v>
      </c>
      <c r="C807" s="215" t="s">
        <v>1853</v>
      </c>
      <c r="D807" s="91">
        <v>1</v>
      </c>
      <c r="E807" s="91">
        <v>1</v>
      </c>
      <c r="F807" s="215">
        <v>6.7</v>
      </c>
      <c r="G807" s="90">
        <v>1</v>
      </c>
      <c r="H807" s="90">
        <v>7</v>
      </c>
      <c r="I807" s="158">
        <v>17</v>
      </c>
    </row>
    <row r="808" spans="1:9" x14ac:dyDescent="0.3">
      <c r="A808" s="169" t="s">
        <v>541</v>
      </c>
      <c r="B808" s="90" t="s">
        <v>403</v>
      </c>
      <c r="C808" s="215" t="s">
        <v>1854</v>
      </c>
      <c r="D808" s="91">
        <v>1</v>
      </c>
      <c r="E808" s="91">
        <v>2</v>
      </c>
      <c r="F808" s="215">
        <v>10</v>
      </c>
      <c r="G808" s="90">
        <v>2</v>
      </c>
      <c r="H808" s="91">
        <v>7</v>
      </c>
      <c r="I808" s="91">
        <v>17</v>
      </c>
    </row>
    <row r="809" spans="1:9" x14ac:dyDescent="0.3">
      <c r="A809" s="169" t="s">
        <v>541</v>
      </c>
      <c r="B809" s="90" t="s">
        <v>403</v>
      </c>
      <c r="C809" s="215" t="s">
        <v>1854</v>
      </c>
      <c r="D809" s="91">
        <v>3</v>
      </c>
      <c r="E809" s="91">
        <v>999</v>
      </c>
      <c r="F809" s="215">
        <v>10</v>
      </c>
      <c r="G809" s="90">
        <v>2</v>
      </c>
      <c r="H809" s="91">
        <v>7</v>
      </c>
      <c r="I809" s="91">
        <v>17</v>
      </c>
    </row>
    <row r="810" spans="1:9" x14ac:dyDescent="0.3">
      <c r="A810" s="169" t="s">
        <v>541</v>
      </c>
      <c r="B810" s="90" t="s">
        <v>403</v>
      </c>
      <c r="C810" s="215" t="s">
        <v>1855</v>
      </c>
      <c r="D810" s="91">
        <v>1</v>
      </c>
      <c r="E810" s="91">
        <v>2</v>
      </c>
      <c r="F810" s="215">
        <v>10</v>
      </c>
      <c r="G810" s="90">
        <v>2</v>
      </c>
      <c r="H810" s="91">
        <v>7</v>
      </c>
      <c r="I810" s="91">
        <v>17</v>
      </c>
    </row>
    <row r="811" spans="1:9" x14ac:dyDescent="0.3">
      <c r="A811" s="169" t="s">
        <v>541</v>
      </c>
      <c r="B811" s="90" t="s">
        <v>403</v>
      </c>
      <c r="C811" s="215" t="s">
        <v>1855</v>
      </c>
      <c r="D811" s="91">
        <v>3</v>
      </c>
      <c r="E811" s="91">
        <v>999</v>
      </c>
      <c r="F811" s="215">
        <v>10</v>
      </c>
      <c r="G811" s="90">
        <v>2</v>
      </c>
      <c r="H811" s="91">
        <v>7</v>
      </c>
      <c r="I811" s="91">
        <v>17</v>
      </c>
    </row>
    <row r="812" spans="1:9" x14ac:dyDescent="0.3">
      <c r="A812" s="169" t="s">
        <v>541</v>
      </c>
      <c r="B812" s="90" t="s">
        <v>403</v>
      </c>
      <c r="C812" s="215" t="s">
        <v>1856</v>
      </c>
      <c r="D812" s="91">
        <v>1</v>
      </c>
      <c r="E812" s="91">
        <v>2</v>
      </c>
      <c r="F812" s="216">
        <v>8.6999999999999993</v>
      </c>
      <c r="G812" s="90">
        <v>2</v>
      </c>
      <c r="H812" s="91">
        <v>7</v>
      </c>
      <c r="I812" s="91">
        <v>17</v>
      </c>
    </row>
    <row r="813" spans="1:9" x14ac:dyDescent="0.3">
      <c r="A813" s="169" t="s">
        <v>541</v>
      </c>
      <c r="B813" s="90" t="s">
        <v>403</v>
      </c>
      <c r="C813" s="215" t="s">
        <v>1856</v>
      </c>
      <c r="D813" s="91">
        <v>3</v>
      </c>
      <c r="E813" s="91">
        <v>999</v>
      </c>
      <c r="F813" s="216">
        <v>8.6999999999999993</v>
      </c>
      <c r="G813" s="90">
        <v>2</v>
      </c>
      <c r="H813" s="91">
        <v>7</v>
      </c>
      <c r="I813" s="91">
        <v>17</v>
      </c>
    </row>
    <row r="814" spans="1:9" x14ac:dyDescent="0.3">
      <c r="A814" s="169" t="s">
        <v>541</v>
      </c>
      <c r="B814" s="90" t="s">
        <v>403</v>
      </c>
      <c r="C814" s="215" t="s">
        <v>1713</v>
      </c>
      <c r="D814" s="91">
        <v>1</v>
      </c>
      <c r="E814" s="91">
        <v>1</v>
      </c>
      <c r="F814" s="215">
        <v>14.4</v>
      </c>
      <c r="G814" s="90">
        <v>2</v>
      </c>
      <c r="H814" s="90">
        <v>7</v>
      </c>
      <c r="I814" s="158">
        <v>18</v>
      </c>
    </row>
    <row r="815" spans="1:9" x14ac:dyDescent="0.3">
      <c r="A815" s="169" t="s">
        <v>541</v>
      </c>
      <c r="B815" s="90" t="s">
        <v>403</v>
      </c>
      <c r="C815" s="215" t="s">
        <v>1857</v>
      </c>
      <c r="D815" s="91">
        <v>1</v>
      </c>
      <c r="E815" s="91">
        <v>1</v>
      </c>
      <c r="F815" s="215">
        <v>13.1</v>
      </c>
      <c r="G815" s="90">
        <v>2</v>
      </c>
      <c r="H815" s="90">
        <v>7</v>
      </c>
      <c r="I815" s="158">
        <v>18</v>
      </c>
    </row>
    <row r="816" spans="1:9" x14ac:dyDescent="0.3">
      <c r="A816" s="169" t="s">
        <v>541</v>
      </c>
      <c r="B816" s="90" t="s">
        <v>403</v>
      </c>
      <c r="C816" s="215" t="s">
        <v>1858</v>
      </c>
      <c r="D816" s="91">
        <v>1</v>
      </c>
      <c r="E816" s="91">
        <v>1</v>
      </c>
      <c r="F816" s="215">
        <v>4.5999999999999996</v>
      </c>
      <c r="G816" s="90">
        <v>1</v>
      </c>
      <c r="H816" s="90">
        <v>7</v>
      </c>
      <c r="I816" s="158">
        <v>17</v>
      </c>
    </row>
    <row r="817" spans="1:9" x14ac:dyDescent="0.3">
      <c r="A817" s="169" t="s">
        <v>541</v>
      </c>
      <c r="B817" s="90" t="s">
        <v>403</v>
      </c>
      <c r="C817" s="215" t="s">
        <v>1859</v>
      </c>
      <c r="D817" s="91">
        <v>1</v>
      </c>
      <c r="E817" s="91">
        <v>1</v>
      </c>
      <c r="F817" s="215">
        <v>4.5999999999999996</v>
      </c>
      <c r="G817" s="90">
        <v>1</v>
      </c>
      <c r="H817" s="90">
        <v>7</v>
      </c>
      <c r="I817" s="158">
        <v>17</v>
      </c>
    </row>
    <row r="818" spans="1:9" x14ac:dyDescent="0.3">
      <c r="A818" s="169" t="s">
        <v>541</v>
      </c>
      <c r="B818" s="90" t="s">
        <v>403</v>
      </c>
      <c r="C818" s="215" t="s">
        <v>1860</v>
      </c>
      <c r="D818" s="91">
        <v>1</v>
      </c>
      <c r="E818" s="91">
        <v>1</v>
      </c>
      <c r="F818" s="215">
        <v>4.5999999999999996</v>
      </c>
      <c r="G818" s="90">
        <v>1</v>
      </c>
      <c r="H818" s="90">
        <v>7</v>
      </c>
      <c r="I818" s="158">
        <v>17</v>
      </c>
    </row>
    <row r="819" spans="1:9" x14ac:dyDescent="0.3">
      <c r="A819" s="169" t="s">
        <v>541</v>
      </c>
      <c r="B819" s="90" t="s">
        <v>403</v>
      </c>
      <c r="C819" s="215" t="s">
        <v>1861</v>
      </c>
      <c r="D819" s="91">
        <v>1</v>
      </c>
      <c r="E819" s="91">
        <v>1</v>
      </c>
      <c r="F819" s="215">
        <v>4.5999999999999996</v>
      </c>
      <c r="G819" s="90">
        <v>1</v>
      </c>
      <c r="H819" s="90">
        <v>7</v>
      </c>
      <c r="I819" s="158">
        <v>17</v>
      </c>
    </row>
    <row r="820" spans="1:9" x14ac:dyDescent="0.3">
      <c r="A820" s="169" t="s">
        <v>541</v>
      </c>
      <c r="B820" s="90" t="s">
        <v>403</v>
      </c>
      <c r="C820" s="215" t="s">
        <v>1862</v>
      </c>
      <c r="D820" s="91">
        <v>1</v>
      </c>
      <c r="E820" s="91">
        <v>1</v>
      </c>
      <c r="F820" s="215">
        <v>4.5999999999999996</v>
      </c>
      <c r="G820" s="90">
        <v>1</v>
      </c>
      <c r="H820" s="90">
        <v>7</v>
      </c>
      <c r="I820" s="158">
        <v>17</v>
      </c>
    </row>
    <row r="821" spans="1:9" x14ac:dyDescent="0.3">
      <c r="A821" s="169" t="s">
        <v>541</v>
      </c>
      <c r="B821" s="90" t="s">
        <v>403</v>
      </c>
      <c r="C821" s="215" t="s">
        <v>1863</v>
      </c>
      <c r="D821" s="91">
        <v>1</v>
      </c>
      <c r="E821" s="91">
        <v>1</v>
      </c>
      <c r="F821" s="215">
        <v>4.5999999999999996</v>
      </c>
      <c r="G821" s="90">
        <v>1</v>
      </c>
      <c r="H821" s="90">
        <v>7</v>
      </c>
      <c r="I821" s="158">
        <v>17</v>
      </c>
    </row>
    <row r="822" spans="1:9" x14ac:dyDescent="0.3">
      <c r="A822" s="169" t="s">
        <v>541</v>
      </c>
      <c r="B822" s="90" t="s">
        <v>403</v>
      </c>
      <c r="C822" s="215" t="s">
        <v>1864</v>
      </c>
      <c r="D822" s="91">
        <v>1</v>
      </c>
      <c r="E822" s="91">
        <v>1</v>
      </c>
      <c r="F822" s="215">
        <v>4.5999999999999996</v>
      </c>
      <c r="G822" s="90">
        <v>1</v>
      </c>
      <c r="H822" s="90">
        <v>7</v>
      </c>
      <c r="I822" s="158">
        <v>17</v>
      </c>
    </row>
    <row r="823" spans="1:9" x14ac:dyDescent="0.3">
      <c r="A823" s="169" t="s">
        <v>541</v>
      </c>
      <c r="B823" s="90" t="s">
        <v>403</v>
      </c>
      <c r="C823" s="215" t="s">
        <v>1865</v>
      </c>
      <c r="D823" s="91">
        <v>1</v>
      </c>
      <c r="E823" s="91">
        <v>1</v>
      </c>
      <c r="F823" s="215">
        <v>4.5999999999999996</v>
      </c>
      <c r="G823" s="90">
        <v>1</v>
      </c>
      <c r="H823" s="90">
        <v>7</v>
      </c>
      <c r="I823" s="158">
        <v>17</v>
      </c>
    </row>
    <row r="824" spans="1:9" x14ac:dyDescent="0.3">
      <c r="A824" s="169" t="s">
        <v>541</v>
      </c>
      <c r="B824" s="90" t="s">
        <v>403</v>
      </c>
      <c r="C824" s="215" t="s">
        <v>1866</v>
      </c>
      <c r="D824" s="91">
        <v>1</v>
      </c>
      <c r="E824" s="91">
        <v>1</v>
      </c>
      <c r="F824" s="215">
        <v>4.5999999999999996</v>
      </c>
      <c r="G824" s="90">
        <v>1</v>
      </c>
      <c r="H824" s="90">
        <v>7</v>
      </c>
      <c r="I824" s="158">
        <v>17</v>
      </c>
    </row>
    <row r="825" spans="1:9" x14ac:dyDescent="0.3">
      <c r="A825" s="169" t="s">
        <v>541</v>
      </c>
      <c r="B825" s="90" t="s">
        <v>403</v>
      </c>
      <c r="C825" s="215" t="s">
        <v>1867</v>
      </c>
      <c r="D825" s="91">
        <v>1</v>
      </c>
      <c r="E825" s="91">
        <v>1</v>
      </c>
      <c r="F825" s="215">
        <v>4.5999999999999996</v>
      </c>
      <c r="G825" s="90">
        <v>1</v>
      </c>
      <c r="H825" s="90">
        <v>7</v>
      </c>
      <c r="I825" s="158">
        <v>17</v>
      </c>
    </row>
    <row r="826" spans="1:9" x14ac:dyDescent="0.3">
      <c r="A826" s="169" t="s">
        <v>541</v>
      </c>
      <c r="B826" s="90" t="s">
        <v>403</v>
      </c>
      <c r="C826" s="215" t="s">
        <v>1868</v>
      </c>
      <c r="D826" s="91">
        <v>1</v>
      </c>
      <c r="E826" s="91">
        <v>1</v>
      </c>
      <c r="F826" s="215">
        <v>4.5999999999999996</v>
      </c>
      <c r="G826" s="90">
        <v>1</v>
      </c>
      <c r="H826" s="90">
        <v>7</v>
      </c>
      <c r="I826" s="158">
        <v>17</v>
      </c>
    </row>
    <row r="827" spans="1:9" x14ac:dyDescent="0.3">
      <c r="A827" s="169" t="s">
        <v>541</v>
      </c>
      <c r="B827" s="90" t="s">
        <v>403</v>
      </c>
      <c r="C827" s="215" t="s">
        <v>1869</v>
      </c>
      <c r="D827" s="91">
        <v>1</v>
      </c>
      <c r="E827" s="91">
        <v>1</v>
      </c>
      <c r="F827" s="216">
        <v>6.2</v>
      </c>
      <c r="G827" s="90">
        <v>1</v>
      </c>
      <c r="H827" s="90">
        <v>7</v>
      </c>
      <c r="I827" s="158">
        <v>17</v>
      </c>
    </row>
    <row r="828" spans="1:9" x14ac:dyDescent="0.3">
      <c r="A828" s="169" t="s">
        <v>541</v>
      </c>
      <c r="B828" s="90" t="s">
        <v>403</v>
      </c>
      <c r="C828" s="215" t="s">
        <v>1870</v>
      </c>
      <c r="D828" s="91">
        <v>1</v>
      </c>
      <c r="E828" s="91">
        <v>1</v>
      </c>
      <c r="F828" s="216">
        <v>6.2</v>
      </c>
      <c r="G828" s="90">
        <v>1</v>
      </c>
      <c r="H828" s="90">
        <v>7</v>
      </c>
      <c r="I828" s="158">
        <v>17</v>
      </c>
    </row>
    <row r="829" spans="1:9" x14ac:dyDescent="0.3">
      <c r="A829" s="169" t="s">
        <v>541</v>
      </c>
      <c r="B829" s="90" t="s">
        <v>403</v>
      </c>
      <c r="C829" s="215" t="s">
        <v>1871</v>
      </c>
      <c r="D829" s="91">
        <v>1</v>
      </c>
      <c r="E829" s="91">
        <v>1</v>
      </c>
      <c r="F829" s="216">
        <v>6.2</v>
      </c>
      <c r="G829" s="90">
        <v>1</v>
      </c>
      <c r="H829" s="90">
        <v>7</v>
      </c>
      <c r="I829" s="158">
        <v>17</v>
      </c>
    </row>
    <row r="830" spans="1:9" x14ac:dyDescent="0.3">
      <c r="A830" s="169" t="s">
        <v>541</v>
      </c>
      <c r="B830" s="90" t="s">
        <v>403</v>
      </c>
      <c r="C830" s="215" t="s">
        <v>1872</v>
      </c>
      <c r="D830" s="91">
        <v>1</v>
      </c>
      <c r="E830" s="91">
        <v>1</v>
      </c>
      <c r="F830" s="216">
        <v>6.2</v>
      </c>
      <c r="G830" s="90">
        <v>1</v>
      </c>
      <c r="H830" s="90">
        <v>7</v>
      </c>
      <c r="I830" s="158">
        <v>17</v>
      </c>
    </row>
    <row r="831" spans="1:9" x14ac:dyDescent="0.3">
      <c r="A831" s="169" t="s">
        <v>541</v>
      </c>
      <c r="B831" s="90" t="s">
        <v>403</v>
      </c>
      <c r="C831" s="215" t="s">
        <v>1873</v>
      </c>
      <c r="D831" s="91">
        <v>1</v>
      </c>
      <c r="E831" s="91">
        <v>1</v>
      </c>
      <c r="F831" s="216">
        <v>6.2</v>
      </c>
      <c r="G831" s="90">
        <v>1</v>
      </c>
      <c r="H831" s="90">
        <v>7</v>
      </c>
      <c r="I831" s="158">
        <v>17</v>
      </c>
    </row>
    <row r="832" spans="1:9" x14ac:dyDescent="0.3">
      <c r="A832" s="169" t="s">
        <v>541</v>
      </c>
      <c r="B832" s="90" t="s">
        <v>403</v>
      </c>
      <c r="C832" s="215" t="s">
        <v>1874</v>
      </c>
      <c r="D832" s="91">
        <v>1</v>
      </c>
      <c r="E832" s="91">
        <v>1</v>
      </c>
      <c r="F832" s="216">
        <v>6.2</v>
      </c>
      <c r="G832" s="90">
        <v>1</v>
      </c>
      <c r="H832" s="90">
        <v>7</v>
      </c>
      <c r="I832" s="158">
        <v>17</v>
      </c>
    </row>
    <row r="833" spans="1:9" x14ac:dyDescent="0.3">
      <c r="A833" s="169" t="s">
        <v>541</v>
      </c>
      <c r="B833" s="90" t="s">
        <v>403</v>
      </c>
      <c r="C833" s="215" t="s">
        <v>1875</v>
      </c>
      <c r="D833" s="91">
        <v>1</v>
      </c>
      <c r="E833" s="91">
        <v>1</v>
      </c>
      <c r="F833" s="216">
        <v>6.2</v>
      </c>
      <c r="G833" s="90">
        <v>1</v>
      </c>
      <c r="H833" s="90">
        <v>7</v>
      </c>
      <c r="I833" s="158">
        <v>17</v>
      </c>
    </row>
    <row r="834" spans="1:9" x14ac:dyDescent="0.3">
      <c r="A834" s="169" t="s">
        <v>541</v>
      </c>
      <c r="B834" s="90" t="s">
        <v>403</v>
      </c>
      <c r="C834" s="215" t="s">
        <v>1876</v>
      </c>
      <c r="D834" s="91">
        <v>1</v>
      </c>
      <c r="E834" s="91">
        <v>1</v>
      </c>
      <c r="F834" s="216">
        <v>6.2</v>
      </c>
      <c r="G834" s="90">
        <v>1</v>
      </c>
      <c r="H834" s="90">
        <v>7</v>
      </c>
      <c r="I834" s="158">
        <v>17</v>
      </c>
    </row>
    <row r="835" spans="1:9" x14ac:dyDescent="0.3">
      <c r="A835" s="169" t="s">
        <v>541</v>
      </c>
      <c r="B835" s="90" t="s">
        <v>403</v>
      </c>
      <c r="C835" s="215" t="s">
        <v>1877</v>
      </c>
      <c r="D835" s="91">
        <v>1</v>
      </c>
      <c r="E835" s="91">
        <v>1</v>
      </c>
      <c r="F835" s="216">
        <v>6.2</v>
      </c>
      <c r="G835" s="90">
        <v>1</v>
      </c>
      <c r="H835" s="90">
        <v>7</v>
      </c>
      <c r="I835" s="158">
        <v>17</v>
      </c>
    </row>
    <row r="836" spans="1:9" x14ac:dyDescent="0.3">
      <c r="A836" s="169" t="s">
        <v>541</v>
      </c>
      <c r="B836" s="90" t="s">
        <v>403</v>
      </c>
      <c r="C836" s="215" t="s">
        <v>1878</v>
      </c>
      <c r="D836" s="91">
        <v>1</v>
      </c>
      <c r="E836" s="91">
        <v>1</v>
      </c>
      <c r="F836" s="216">
        <v>6.2</v>
      </c>
      <c r="G836" s="90">
        <v>1</v>
      </c>
      <c r="H836" s="90">
        <v>7</v>
      </c>
      <c r="I836" s="158">
        <v>17</v>
      </c>
    </row>
    <row r="837" spans="1:9" x14ac:dyDescent="0.3">
      <c r="A837" s="169" t="s">
        <v>541</v>
      </c>
      <c r="B837" s="90" t="s">
        <v>403</v>
      </c>
      <c r="C837" s="215" t="s">
        <v>1879</v>
      </c>
      <c r="D837" s="91">
        <v>1</v>
      </c>
      <c r="E837" s="91">
        <v>1</v>
      </c>
      <c r="F837" s="216">
        <v>6.2</v>
      </c>
      <c r="G837" s="90">
        <v>1</v>
      </c>
      <c r="H837" s="90">
        <v>7</v>
      </c>
      <c r="I837" s="158">
        <v>17</v>
      </c>
    </row>
    <row r="838" spans="1:9" x14ac:dyDescent="0.3">
      <c r="A838" s="169" t="s">
        <v>541</v>
      </c>
      <c r="B838" s="90" t="s">
        <v>403</v>
      </c>
      <c r="C838" s="216" t="s">
        <v>1880</v>
      </c>
      <c r="D838" s="91">
        <v>1</v>
      </c>
      <c r="E838" s="91">
        <v>1</v>
      </c>
      <c r="F838" s="216">
        <v>1.5</v>
      </c>
      <c r="G838" s="90">
        <v>1</v>
      </c>
      <c r="H838" s="90">
        <v>6</v>
      </c>
      <c r="I838" s="158">
        <v>17</v>
      </c>
    </row>
    <row r="839" spans="1:9" x14ac:dyDescent="0.3">
      <c r="A839" s="169" t="s">
        <v>541</v>
      </c>
      <c r="B839" s="90" t="s">
        <v>403</v>
      </c>
      <c r="C839" s="215" t="s">
        <v>1881</v>
      </c>
      <c r="D839" s="91">
        <v>1</v>
      </c>
      <c r="E839" s="91">
        <v>1</v>
      </c>
      <c r="F839" s="216">
        <v>10.4</v>
      </c>
      <c r="G839" s="90">
        <v>2</v>
      </c>
      <c r="H839" s="90">
        <v>7</v>
      </c>
      <c r="I839" s="158">
        <v>17</v>
      </c>
    </row>
    <row r="840" spans="1:9" x14ac:dyDescent="0.3">
      <c r="A840" s="169" t="s">
        <v>541</v>
      </c>
      <c r="B840" s="90" t="s">
        <v>403</v>
      </c>
      <c r="C840" s="215" t="s">
        <v>1882</v>
      </c>
      <c r="D840" s="91">
        <v>1</v>
      </c>
      <c r="E840" s="91">
        <v>1</v>
      </c>
      <c r="F840" s="216">
        <v>10.4</v>
      </c>
      <c r="G840" s="90">
        <v>2</v>
      </c>
      <c r="H840" s="90">
        <v>7</v>
      </c>
      <c r="I840" s="158">
        <v>17</v>
      </c>
    </row>
    <row r="841" spans="1:9" x14ac:dyDescent="0.3">
      <c r="A841" s="169" t="s">
        <v>541</v>
      </c>
      <c r="B841" s="90" t="s">
        <v>403</v>
      </c>
      <c r="C841" s="215" t="s">
        <v>1883</v>
      </c>
      <c r="D841" s="91">
        <v>1</v>
      </c>
      <c r="E841" s="91">
        <v>1</v>
      </c>
      <c r="F841" s="216">
        <v>10.4</v>
      </c>
      <c r="G841" s="90">
        <v>2</v>
      </c>
      <c r="H841" s="90">
        <v>7</v>
      </c>
      <c r="I841" s="158">
        <v>17</v>
      </c>
    </row>
    <row r="842" spans="1:9" x14ac:dyDescent="0.3">
      <c r="A842" s="169" t="s">
        <v>541</v>
      </c>
      <c r="B842" s="90" t="s">
        <v>403</v>
      </c>
      <c r="C842" s="215" t="s">
        <v>1884</v>
      </c>
      <c r="D842" s="91">
        <v>1</v>
      </c>
      <c r="E842" s="91">
        <v>1</v>
      </c>
      <c r="F842" s="216">
        <v>10.4</v>
      </c>
      <c r="G842" s="90">
        <v>2</v>
      </c>
      <c r="H842" s="90">
        <v>7</v>
      </c>
      <c r="I842" s="158">
        <v>17</v>
      </c>
    </row>
    <row r="843" spans="1:9" x14ac:dyDescent="0.3">
      <c r="A843" s="169" t="s">
        <v>541</v>
      </c>
      <c r="B843" s="90" t="s">
        <v>403</v>
      </c>
      <c r="C843" s="215" t="s">
        <v>1885</v>
      </c>
      <c r="D843" s="91">
        <v>1</v>
      </c>
      <c r="E843" s="91">
        <v>1</v>
      </c>
      <c r="F843" s="216">
        <v>10.4</v>
      </c>
      <c r="G843" s="90">
        <v>2</v>
      </c>
      <c r="H843" s="90">
        <v>7</v>
      </c>
      <c r="I843" s="158">
        <v>17</v>
      </c>
    </row>
    <row r="844" spans="1:9" x14ac:dyDescent="0.3">
      <c r="A844" s="169" t="s">
        <v>541</v>
      </c>
      <c r="B844" s="90" t="s">
        <v>403</v>
      </c>
      <c r="C844" s="215" t="s">
        <v>1886</v>
      </c>
      <c r="D844" s="91">
        <v>1</v>
      </c>
      <c r="E844" s="91">
        <v>1</v>
      </c>
      <c r="F844" s="216">
        <v>10.4</v>
      </c>
      <c r="G844" s="90">
        <v>2</v>
      </c>
      <c r="H844" s="90">
        <v>7</v>
      </c>
      <c r="I844" s="158">
        <v>17</v>
      </c>
    </row>
    <row r="845" spans="1:9" x14ac:dyDescent="0.3">
      <c r="A845" s="169" t="s">
        <v>541</v>
      </c>
      <c r="B845" s="90" t="s">
        <v>403</v>
      </c>
      <c r="C845" s="215" t="s">
        <v>1887</v>
      </c>
      <c r="D845" s="91">
        <v>1</v>
      </c>
      <c r="E845" s="91">
        <v>1</v>
      </c>
      <c r="F845" s="216">
        <v>10.4</v>
      </c>
      <c r="G845" s="90">
        <v>2</v>
      </c>
      <c r="H845" s="90">
        <v>7</v>
      </c>
      <c r="I845" s="158">
        <v>17</v>
      </c>
    </row>
    <row r="846" spans="1:9" x14ac:dyDescent="0.3">
      <c r="A846" s="169" t="s">
        <v>541</v>
      </c>
      <c r="B846" s="90" t="s">
        <v>403</v>
      </c>
      <c r="C846" s="215" t="s">
        <v>1888</v>
      </c>
      <c r="D846" s="91">
        <v>1</v>
      </c>
      <c r="E846" s="91">
        <v>1</v>
      </c>
      <c r="F846" s="216">
        <v>10.4</v>
      </c>
      <c r="G846" s="90">
        <v>2</v>
      </c>
      <c r="H846" s="90">
        <v>7</v>
      </c>
      <c r="I846" s="158">
        <v>17</v>
      </c>
    </row>
    <row r="847" spans="1:9" x14ac:dyDescent="0.3">
      <c r="A847" s="169" t="s">
        <v>541</v>
      </c>
      <c r="B847" s="90" t="s">
        <v>403</v>
      </c>
      <c r="C847" s="215" t="s">
        <v>1889</v>
      </c>
      <c r="D847" s="91">
        <v>1</v>
      </c>
      <c r="E847" s="91">
        <v>1</v>
      </c>
      <c r="F847" s="216">
        <v>10.4</v>
      </c>
      <c r="G847" s="90">
        <v>2</v>
      </c>
      <c r="H847" s="90">
        <v>7</v>
      </c>
      <c r="I847" s="158">
        <v>17</v>
      </c>
    </row>
    <row r="848" spans="1:9" x14ac:dyDescent="0.3">
      <c r="A848" s="169" t="s">
        <v>541</v>
      </c>
      <c r="B848" s="90" t="s">
        <v>403</v>
      </c>
      <c r="C848" s="215" t="s">
        <v>1890</v>
      </c>
      <c r="D848" s="91">
        <v>1</v>
      </c>
      <c r="E848" s="91">
        <v>1</v>
      </c>
      <c r="F848" s="216">
        <v>10.4</v>
      </c>
      <c r="G848" s="90">
        <v>2</v>
      </c>
      <c r="H848" s="90">
        <v>7</v>
      </c>
      <c r="I848" s="158">
        <v>17</v>
      </c>
    </row>
    <row r="849" spans="1:9" x14ac:dyDescent="0.3">
      <c r="A849" s="169" t="s">
        <v>541</v>
      </c>
      <c r="B849" s="90" t="s">
        <v>403</v>
      </c>
      <c r="C849" s="215" t="s">
        <v>1891</v>
      </c>
      <c r="D849" s="91">
        <v>1</v>
      </c>
      <c r="E849" s="91">
        <v>1</v>
      </c>
      <c r="F849" s="216">
        <v>10.4</v>
      </c>
      <c r="G849" s="90">
        <v>2</v>
      </c>
      <c r="H849" s="90">
        <v>7</v>
      </c>
      <c r="I849" s="158">
        <v>17</v>
      </c>
    </row>
    <row r="850" spans="1:9" x14ac:dyDescent="0.3">
      <c r="A850" s="169" t="s">
        <v>541</v>
      </c>
      <c r="B850" s="90" t="s">
        <v>403</v>
      </c>
      <c r="C850" s="215" t="s">
        <v>1892</v>
      </c>
      <c r="D850" s="91">
        <v>1</v>
      </c>
      <c r="E850" s="91">
        <v>1</v>
      </c>
      <c r="F850" s="216">
        <v>6.8</v>
      </c>
      <c r="G850" s="90">
        <v>1</v>
      </c>
      <c r="H850" s="90">
        <v>7</v>
      </c>
      <c r="I850" s="158">
        <v>17</v>
      </c>
    </row>
    <row r="851" spans="1:9" x14ac:dyDescent="0.3">
      <c r="A851" s="169" t="s">
        <v>541</v>
      </c>
      <c r="B851" s="90" t="s">
        <v>403</v>
      </c>
      <c r="C851" s="215" t="s">
        <v>1893</v>
      </c>
      <c r="D851" s="91">
        <v>1</v>
      </c>
      <c r="E851" s="91">
        <v>1</v>
      </c>
      <c r="F851" s="216">
        <v>6.8</v>
      </c>
      <c r="G851" s="90">
        <v>1</v>
      </c>
      <c r="H851" s="90">
        <v>7</v>
      </c>
      <c r="I851" s="158">
        <v>17</v>
      </c>
    </row>
    <row r="852" spans="1:9" x14ac:dyDescent="0.3">
      <c r="A852" s="169" t="s">
        <v>541</v>
      </c>
      <c r="B852" s="90" t="s">
        <v>403</v>
      </c>
      <c r="C852" s="215" t="s">
        <v>1894</v>
      </c>
      <c r="D852" s="91">
        <v>1</v>
      </c>
      <c r="E852" s="91">
        <v>1</v>
      </c>
      <c r="F852" s="216">
        <v>6.8</v>
      </c>
      <c r="G852" s="90">
        <v>1</v>
      </c>
      <c r="H852" s="90">
        <v>7</v>
      </c>
      <c r="I852" s="158">
        <v>17</v>
      </c>
    </row>
    <row r="853" spans="1:9" x14ac:dyDescent="0.3">
      <c r="A853" s="169" t="s">
        <v>541</v>
      </c>
      <c r="B853" s="90" t="s">
        <v>403</v>
      </c>
      <c r="C853" s="215" t="s">
        <v>1895</v>
      </c>
      <c r="D853" s="91">
        <v>1</v>
      </c>
      <c r="E853" s="91">
        <v>1</v>
      </c>
      <c r="F853" s="216">
        <v>6.8</v>
      </c>
      <c r="G853" s="90">
        <v>1</v>
      </c>
      <c r="H853" s="90">
        <v>7</v>
      </c>
      <c r="I853" s="158">
        <v>17</v>
      </c>
    </row>
    <row r="854" spans="1:9" x14ac:dyDescent="0.3">
      <c r="A854" s="169" t="s">
        <v>541</v>
      </c>
      <c r="B854" s="90" t="s">
        <v>403</v>
      </c>
      <c r="C854" s="215" t="s">
        <v>1896</v>
      </c>
      <c r="D854" s="91">
        <v>1</v>
      </c>
      <c r="E854" s="91">
        <v>1</v>
      </c>
      <c r="F854" s="216">
        <v>6.8</v>
      </c>
      <c r="G854" s="90">
        <v>1</v>
      </c>
      <c r="H854" s="90">
        <v>7</v>
      </c>
      <c r="I854" s="158">
        <v>17</v>
      </c>
    </row>
    <row r="855" spans="1:9" x14ac:dyDescent="0.3">
      <c r="A855" s="169" t="s">
        <v>541</v>
      </c>
      <c r="B855" s="90" t="s">
        <v>403</v>
      </c>
      <c r="C855" s="215" t="s">
        <v>1897</v>
      </c>
      <c r="D855" s="91">
        <v>1</v>
      </c>
      <c r="E855" s="91">
        <v>1</v>
      </c>
      <c r="F855" s="216">
        <v>6.8</v>
      </c>
      <c r="G855" s="90">
        <v>1</v>
      </c>
      <c r="H855" s="90">
        <v>7</v>
      </c>
      <c r="I855" s="158">
        <v>17</v>
      </c>
    </row>
    <row r="856" spans="1:9" x14ac:dyDescent="0.3">
      <c r="A856" s="169" t="s">
        <v>541</v>
      </c>
      <c r="B856" s="90" t="s">
        <v>403</v>
      </c>
      <c r="C856" s="215" t="s">
        <v>1898</v>
      </c>
      <c r="D856" s="91">
        <v>1</v>
      </c>
      <c r="E856" s="91">
        <v>1</v>
      </c>
      <c r="F856" s="216">
        <v>6.8</v>
      </c>
      <c r="G856" s="90">
        <v>1</v>
      </c>
      <c r="H856" s="90">
        <v>7</v>
      </c>
      <c r="I856" s="158">
        <v>17</v>
      </c>
    </row>
    <row r="857" spans="1:9" x14ac:dyDescent="0.3">
      <c r="A857" s="169" t="s">
        <v>541</v>
      </c>
      <c r="B857" s="90" t="s">
        <v>403</v>
      </c>
      <c r="C857" s="215" t="s">
        <v>1899</v>
      </c>
      <c r="D857" s="91">
        <v>1</v>
      </c>
      <c r="E857" s="91">
        <v>1</v>
      </c>
      <c r="F857" s="216">
        <v>6.8</v>
      </c>
      <c r="G857" s="90">
        <v>1</v>
      </c>
      <c r="H857" s="90">
        <v>7</v>
      </c>
      <c r="I857" s="158">
        <v>17</v>
      </c>
    </row>
    <row r="858" spans="1:9" x14ac:dyDescent="0.3">
      <c r="A858" s="169" t="s">
        <v>541</v>
      </c>
      <c r="B858" s="90" t="s">
        <v>403</v>
      </c>
      <c r="C858" s="215" t="s">
        <v>1900</v>
      </c>
      <c r="D858" s="91">
        <v>1</v>
      </c>
      <c r="E858" s="91">
        <v>1</v>
      </c>
      <c r="F858" s="216">
        <v>6.8</v>
      </c>
      <c r="G858" s="90">
        <v>1</v>
      </c>
      <c r="H858" s="90">
        <v>7</v>
      </c>
      <c r="I858" s="158">
        <v>17</v>
      </c>
    </row>
    <row r="859" spans="1:9" x14ac:dyDescent="0.3">
      <c r="A859" s="169" t="s">
        <v>541</v>
      </c>
      <c r="B859" s="90" t="s">
        <v>403</v>
      </c>
      <c r="C859" s="215" t="s">
        <v>1901</v>
      </c>
      <c r="D859" s="91">
        <v>1</v>
      </c>
      <c r="E859" s="91">
        <v>1</v>
      </c>
      <c r="F859" s="216">
        <v>6.8</v>
      </c>
      <c r="G859" s="90">
        <v>1</v>
      </c>
      <c r="H859" s="90">
        <v>7</v>
      </c>
      <c r="I859" s="158">
        <v>17</v>
      </c>
    </row>
    <row r="860" spans="1:9" x14ac:dyDescent="0.3">
      <c r="A860" s="169" t="s">
        <v>541</v>
      </c>
      <c r="B860" s="90" t="s">
        <v>403</v>
      </c>
      <c r="C860" s="215" t="s">
        <v>1903</v>
      </c>
      <c r="D860" s="91">
        <v>1</v>
      </c>
      <c r="E860" s="91">
        <v>1</v>
      </c>
      <c r="F860" s="216">
        <v>6.8</v>
      </c>
      <c r="G860" s="90">
        <v>1</v>
      </c>
      <c r="H860" s="90">
        <v>7</v>
      </c>
      <c r="I860" s="158">
        <v>17</v>
      </c>
    </row>
    <row r="861" spans="1:9" x14ac:dyDescent="0.3">
      <c r="A861" s="169" t="s">
        <v>541</v>
      </c>
      <c r="B861" s="90" t="s">
        <v>403</v>
      </c>
      <c r="C861" s="215" t="s">
        <v>1902</v>
      </c>
      <c r="D861" s="91">
        <v>1</v>
      </c>
      <c r="E861" s="91">
        <v>1</v>
      </c>
      <c r="F861" s="216">
        <v>6.8</v>
      </c>
      <c r="G861" s="90">
        <v>1</v>
      </c>
      <c r="H861" s="90">
        <v>7</v>
      </c>
      <c r="I861" s="158">
        <v>17</v>
      </c>
    </row>
    <row r="862" spans="1:9" x14ac:dyDescent="0.3">
      <c r="A862" s="169" t="s">
        <v>541</v>
      </c>
      <c r="B862" s="90" t="s">
        <v>403</v>
      </c>
      <c r="C862" s="215" t="s">
        <v>1904</v>
      </c>
      <c r="D862" s="91">
        <v>1</v>
      </c>
      <c r="E862" s="91">
        <v>1</v>
      </c>
      <c r="F862" s="216">
        <v>6.8</v>
      </c>
      <c r="G862" s="90">
        <v>1</v>
      </c>
      <c r="H862" s="90">
        <v>7</v>
      </c>
      <c r="I862" s="158">
        <v>17</v>
      </c>
    </row>
    <row r="863" spans="1:9" x14ac:dyDescent="0.3">
      <c r="A863" s="169" t="s">
        <v>541</v>
      </c>
      <c r="B863" s="90" t="s">
        <v>403</v>
      </c>
      <c r="C863" s="215" t="s">
        <v>1905</v>
      </c>
      <c r="D863" s="91">
        <v>1</v>
      </c>
      <c r="E863" s="91">
        <v>1</v>
      </c>
      <c r="F863" s="216">
        <v>6.8</v>
      </c>
      <c r="G863" s="90">
        <v>1</v>
      </c>
      <c r="H863" s="90">
        <v>7</v>
      </c>
      <c r="I863" s="158">
        <v>17</v>
      </c>
    </row>
    <row r="864" spans="1:9" x14ac:dyDescent="0.3">
      <c r="A864" s="169" t="s">
        <v>541</v>
      </c>
      <c r="B864" s="90" t="s">
        <v>403</v>
      </c>
      <c r="C864" s="215" t="s">
        <v>1906</v>
      </c>
      <c r="D864" s="91">
        <v>1</v>
      </c>
      <c r="E864" s="91">
        <v>1</v>
      </c>
      <c r="F864" s="216">
        <v>6.8</v>
      </c>
      <c r="G864" s="90">
        <v>1</v>
      </c>
      <c r="H864" s="90">
        <v>7</v>
      </c>
      <c r="I864" s="158">
        <v>17</v>
      </c>
    </row>
    <row r="865" spans="1:9" x14ac:dyDescent="0.3">
      <c r="A865" s="169" t="s">
        <v>541</v>
      </c>
      <c r="B865" s="90" t="s">
        <v>403</v>
      </c>
      <c r="C865" s="215" t="s">
        <v>1907</v>
      </c>
      <c r="D865" s="91">
        <v>1</v>
      </c>
      <c r="E865" s="91">
        <v>1</v>
      </c>
      <c r="F865" s="216">
        <v>6.8</v>
      </c>
      <c r="G865" s="90">
        <v>1</v>
      </c>
      <c r="H865" s="90">
        <v>7</v>
      </c>
      <c r="I865" s="158">
        <v>17</v>
      </c>
    </row>
    <row r="866" spans="1:9" x14ac:dyDescent="0.3">
      <c r="A866" s="169" t="s">
        <v>541</v>
      </c>
      <c r="B866" s="90" t="s">
        <v>403</v>
      </c>
      <c r="C866" s="215" t="s">
        <v>1908</v>
      </c>
      <c r="D866" s="91">
        <v>1</v>
      </c>
      <c r="E866" s="91">
        <v>1</v>
      </c>
      <c r="F866" s="216">
        <v>6.8</v>
      </c>
      <c r="G866" s="90">
        <v>1</v>
      </c>
      <c r="H866" s="90">
        <v>7</v>
      </c>
      <c r="I866" s="158">
        <v>17</v>
      </c>
    </row>
    <row r="867" spans="1:9" x14ac:dyDescent="0.3">
      <c r="A867" s="169" t="s">
        <v>541</v>
      </c>
      <c r="B867" s="90" t="s">
        <v>403</v>
      </c>
      <c r="C867" s="215" t="s">
        <v>1909</v>
      </c>
      <c r="D867" s="91">
        <v>1</v>
      </c>
      <c r="E867" s="91">
        <v>1</v>
      </c>
      <c r="F867" s="216">
        <v>6.8</v>
      </c>
      <c r="G867" s="90">
        <v>1</v>
      </c>
      <c r="H867" s="90">
        <v>7</v>
      </c>
      <c r="I867" s="158">
        <v>17</v>
      </c>
    </row>
    <row r="868" spans="1:9" x14ac:dyDescent="0.3">
      <c r="A868" s="169" t="s">
        <v>541</v>
      </c>
      <c r="B868" s="90" t="s">
        <v>403</v>
      </c>
      <c r="C868" s="215" t="s">
        <v>1910</v>
      </c>
      <c r="D868" s="91">
        <v>1</v>
      </c>
      <c r="E868" s="91">
        <v>1</v>
      </c>
      <c r="F868" s="216">
        <v>6.8</v>
      </c>
      <c r="G868" s="90">
        <v>1</v>
      </c>
      <c r="H868" s="90">
        <v>7</v>
      </c>
      <c r="I868" s="158">
        <v>17</v>
      </c>
    </row>
    <row r="869" spans="1:9" x14ac:dyDescent="0.3">
      <c r="A869" s="169" t="s">
        <v>541</v>
      </c>
      <c r="B869" s="90" t="s">
        <v>403</v>
      </c>
      <c r="C869" s="215" t="s">
        <v>1911</v>
      </c>
      <c r="D869" s="91">
        <v>1</v>
      </c>
      <c r="E869" s="91">
        <v>1</v>
      </c>
      <c r="F869" s="216">
        <v>6.8</v>
      </c>
      <c r="G869" s="90">
        <v>1</v>
      </c>
      <c r="H869" s="90">
        <v>7</v>
      </c>
      <c r="I869" s="158">
        <v>17</v>
      </c>
    </row>
    <row r="870" spans="1:9" x14ac:dyDescent="0.3">
      <c r="A870" s="169" t="s">
        <v>541</v>
      </c>
      <c r="B870" s="90" t="s">
        <v>403</v>
      </c>
      <c r="C870" s="215" t="s">
        <v>1912</v>
      </c>
      <c r="D870" s="91">
        <v>1</v>
      </c>
      <c r="E870" s="91">
        <v>1</v>
      </c>
      <c r="F870" s="216">
        <v>6.8</v>
      </c>
      <c r="G870" s="90">
        <v>1</v>
      </c>
      <c r="H870" s="90">
        <v>7</v>
      </c>
      <c r="I870" s="158">
        <v>17</v>
      </c>
    </row>
    <row r="871" spans="1:9" x14ac:dyDescent="0.3">
      <c r="A871" s="169" t="s">
        <v>541</v>
      </c>
      <c r="B871" s="90" t="s">
        <v>403</v>
      </c>
      <c r="C871" s="215" t="s">
        <v>1913</v>
      </c>
      <c r="D871" s="91">
        <v>1</v>
      </c>
      <c r="E871" s="91">
        <v>1</v>
      </c>
      <c r="F871" s="216">
        <v>6.8</v>
      </c>
      <c r="G871" s="90">
        <v>1</v>
      </c>
      <c r="H871" s="90">
        <v>7</v>
      </c>
      <c r="I871" s="158">
        <v>17</v>
      </c>
    </row>
    <row r="872" spans="1:9" x14ac:dyDescent="0.3">
      <c r="A872" s="169" t="s">
        <v>541</v>
      </c>
      <c r="B872" s="90" t="s">
        <v>403</v>
      </c>
      <c r="C872" s="215" t="s">
        <v>1714</v>
      </c>
      <c r="D872" s="91">
        <v>1</v>
      </c>
      <c r="E872" s="91">
        <v>1</v>
      </c>
      <c r="F872" s="216">
        <v>6</v>
      </c>
      <c r="G872" s="90">
        <v>1</v>
      </c>
      <c r="H872" s="90">
        <v>9</v>
      </c>
      <c r="I872" s="90">
        <v>9</v>
      </c>
    </row>
    <row r="873" spans="1:9" ht="28.8" x14ac:dyDescent="0.3">
      <c r="A873" s="169" t="s">
        <v>541</v>
      </c>
      <c r="B873" s="90" t="s">
        <v>403</v>
      </c>
      <c r="C873" s="215" t="s">
        <v>1914</v>
      </c>
      <c r="D873" s="91">
        <v>1</v>
      </c>
      <c r="E873" s="91">
        <v>1</v>
      </c>
      <c r="F873" s="216">
        <v>13.1</v>
      </c>
      <c r="G873" s="90">
        <v>2</v>
      </c>
      <c r="H873" s="90">
        <v>7</v>
      </c>
      <c r="I873" s="158">
        <v>17</v>
      </c>
    </row>
    <row r="874" spans="1:9" ht="28.8" x14ac:dyDescent="0.3">
      <c r="A874" s="169" t="s">
        <v>541</v>
      </c>
      <c r="B874" s="90" t="s">
        <v>403</v>
      </c>
      <c r="C874" s="215" t="s">
        <v>1915</v>
      </c>
      <c r="D874" s="91">
        <v>1</v>
      </c>
      <c r="E874" s="91">
        <v>1</v>
      </c>
      <c r="F874" s="216">
        <v>13.1</v>
      </c>
      <c r="G874" s="90">
        <v>2</v>
      </c>
      <c r="H874" s="90">
        <v>7</v>
      </c>
      <c r="I874" s="158">
        <v>17</v>
      </c>
    </row>
    <row r="875" spans="1:9" ht="28.8" x14ac:dyDescent="0.3">
      <c r="A875" s="169" t="s">
        <v>541</v>
      </c>
      <c r="B875" s="90" t="s">
        <v>403</v>
      </c>
      <c r="C875" s="215" t="s">
        <v>1916</v>
      </c>
      <c r="D875" s="91">
        <v>1</v>
      </c>
      <c r="E875" s="91">
        <v>1</v>
      </c>
      <c r="F875" s="216">
        <v>13.1</v>
      </c>
      <c r="G875" s="90">
        <v>2</v>
      </c>
      <c r="H875" s="90">
        <v>7</v>
      </c>
      <c r="I875" s="158">
        <v>17</v>
      </c>
    </row>
    <row r="876" spans="1:9" ht="28.8" x14ac:dyDescent="0.3">
      <c r="A876" s="169" t="s">
        <v>541</v>
      </c>
      <c r="B876" s="90" t="s">
        <v>403</v>
      </c>
      <c r="C876" s="215" t="s">
        <v>1917</v>
      </c>
      <c r="D876" s="91">
        <v>1</v>
      </c>
      <c r="E876" s="91">
        <v>1</v>
      </c>
      <c r="F876" s="216">
        <v>13.1</v>
      </c>
      <c r="G876" s="90">
        <v>2</v>
      </c>
      <c r="H876" s="90">
        <v>7</v>
      </c>
      <c r="I876" s="158">
        <v>17</v>
      </c>
    </row>
    <row r="877" spans="1:9" ht="28.8" x14ac:dyDescent="0.3">
      <c r="A877" s="169" t="s">
        <v>541</v>
      </c>
      <c r="B877" s="90" t="s">
        <v>403</v>
      </c>
      <c r="C877" s="215" t="s">
        <v>1918</v>
      </c>
      <c r="D877" s="91">
        <v>1</v>
      </c>
      <c r="E877" s="91">
        <v>1</v>
      </c>
      <c r="F877" s="216">
        <v>13.1</v>
      </c>
      <c r="G877" s="90">
        <v>2</v>
      </c>
      <c r="H877" s="90">
        <v>7</v>
      </c>
      <c r="I877" s="158">
        <v>17</v>
      </c>
    </row>
    <row r="878" spans="1:9" ht="28.8" x14ac:dyDescent="0.3">
      <c r="A878" s="169" t="s">
        <v>541</v>
      </c>
      <c r="B878" s="90" t="s">
        <v>403</v>
      </c>
      <c r="C878" s="215" t="s">
        <v>1919</v>
      </c>
      <c r="D878" s="91">
        <v>1</v>
      </c>
      <c r="E878" s="91">
        <v>1</v>
      </c>
      <c r="F878" s="216">
        <v>13.1</v>
      </c>
      <c r="G878" s="90">
        <v>2</v>
      </c>
      <c r="H878" s="90">
        <v>7</v>
      </c>
      <c r="I878" s="158">
        <v>17</v>
      </c>
    </row>
    <row r="879" spans="1:9" ht="28.8" x14ac:dyDescent="0.3">
      <c r="A879" s="169" t="s">
        <v>541</v>
      </c>
      <c r="B879" s="90" t="s">
        <v>403</v>
      </c>
      <c r="C879" s="215" t="s">
        <v>1920</v>
      </c>
      <c r="D879" s="91">
        <v>1</v>
      </c>
      <c r="E879" s="91">
        <v>1</v>
      </c>
      <c r="F879" s="216">
        <v>13.1</v>
      </c>
      <c r="G879" s="90">
        <v>2</v>
      </c>
      <c r="H879" s="90">
        <v>7</v>
      </c>
      <c r="I879" s="158">
        <v>17</v>
      </c>
    </row>
    <row r="880" spans="1:9" ht="28.8" x14ac:dyDescent="0.3">
      <c r="A880" s="169" t="s">
        <v>541</v>
      </c>
      <c r="B880" s="90" t="s">
        <v>403</v>
      </c>
      <c r="C880" s="215" t="s">
        <v>1921</v>
      </c>
      <c r="D880" s="91">
        <v>1</v>
      </c>
      <c r="E880" s="91">
        <v>1</v>
      </c>
      <c r="F880" s="216">
        <v>13.1</v>
      </c>
      <c r="G880" s="90">
        <v>2</v>
      </c>
      <c r="H880" s="90">
        <v>7</v>
      </c>
      <c r="I880" s="158">
        <v>17</v>
      </c>
    </row>
    <row r="881" spans="1:9" ht="28.8" x14ac:dyDescent="0.3">
      <c r="A881" s="169" t="s">
        <v>541</v>
      </c>
      <c r="B881" s="90" t="s">
        <v>403</v>
      </c>
      <c r="C881" s="215" t="s">
        <v>1922</v>
      </c>
      <c r="D881" s="91">
        <v>1</v>
      </c>
      <c r="E881" s="91">
        <v>1</v>
      </c>
      <c r="F881" s="216">
        <v>13.1</v>
      </c>
      <c r="G881" s="90">
        <v>2</v>
      </c>
      <c r="H881" s="90">
        <v>7</v>
      </c>
      <c r="I881" s="158">
        <v>17</v>
      </c>
    </row>
    <row r="882" spans="1:9" ht="28.8" x14ac:dyDescent="0.3">
      <c r="A882" s="169" t="s">
        <v>541</v>
      </c>
      <c r="B882" s="90" t="s">
        <v>403</v>
      </c>
      <c r="C882" s="215" t="s">
        <v>1923</v>
      </c>
      <c r="D882" s="91">
        <v>1</v>
      </c>
      <c r="E882" s="91">
        <v>1</v>
      </c>
      <c r="F882" s="216">
        <v>13.1</v>
      </c>
      <c r="G882" s="90">
        <v>2</v>
      </c>
      <c r="H882" s="90">
        <v>7</v>
      </c>
      <c r="I882" s="158">
        <v>17</v>
      </c>
    </row>
    <row r="883" spans="1:9" ht="28.8" x14ac:dyDescent="0.3">
      <c r="A883" s="169" t="s">
        <v>541</v>
      </c>
      <c r="B883" s="90" t="s">
        <v>403</v>
      </c>
      <c r="C883" s="215" t="s">
        <v>1924</v>
      </c>
      <c r="D883" s="91">
        <v>1</v>
      </c>
      <c r="E883" s="91">
        <v>1</v>
      </c>
      <c r="F883" s="216">
        <v>13.1</v>
      </c>
      <c r="G883" s="90">
        <v>2</v>
      </c>
      <c r="H883" s="90">
        <v>7</v>
      </c>
      <c r="I883" s="158">
        <v>17</v>
      </c>
    </row>
    <row r="884" spans="1:9" x14ac:dyDescent="0.3">
      <c r="A884" s="169" t="s">
        <v>541</v>
      </c>
      <c r="B884" s="90" t="s">
        <v>403</v>
      </c>
      <c r="C884" s="215" t="s">
        <v>1925</v>
      </c>
      <c r="D884" s="91">
        <v>1</v>
      </c>
      <c r="E884" s="91">
        <v>1</v>
      </c>
      <c r="F884" s="216">
        <v>9.1</v>
      </c>
      <c r="G884" s="90">
        <v>2</v>
      </c>
      <c r="H884" s="90">
        <v>7</v>
      </c>
      <c r="I884" s="158">
        <v>17</v>
      </c>
    </row>
    <row r="885" spans="1:9" x14ac:dyDescent="0.3">
      <c r="A885" s="169" t="s">
        <v>541</v>
      </c>
      <c r="B885" s="90" t="s">
        <v>403</v>
      </c>
      <c r="C885" s="215" t="s">
        <v>1926</v>
      </c>
      <c r="D885" s="91">
        <v>1</v>
      </c>
      <c r="E885" s="91">
        <v>1</v>
      </c>
      <c r="F885" s="216">
        <v>9.1</v>
      </c>
      <c r="G885" s="90">
        <v>2</v>
      </c>
      <c r="H885" s="90">
        <v>7</v>
      </c>
      <c r="I885" s="158">
        <v>17</v>
      </c>
    </row>
    <row r="886" spans="1:9" x14ac:dyDescent="0.3">
      <c r="A886" s="169" t="s">
        <v>541</v>
      </c>
      <c r="B886" s="90" t="s">
        <v>403</v>
      </c>
      <c r="C886" s="215" t="s">
        <v>1927</v>
      </c>
      <c r="D886" s="91">
        <v>1</v>
      </c>
      <c r="E886" s="91">
        <v>1</v>
      </c>
      <c r="F886" s="216">
        <v>9.1</v>
      </c>
      <c r="G886" s="90">
        <v>2</v>
      </c>
      <c r="H886" s="90">
        <v>7</v>
      </c>
      <c r="I886" s="158">
        <v>17</v>
      </c>
    </row>
    <row r="887" spans="1:9" x14ac:dyDescent="0.3">
      <c r="A887" s="169" t="s">
        <v>541</v>
      </c>
      <c r="B887" s="90" t="s">
        <v>403</v>
      </c>
      <c r="C887" s="215" t="s">
        <v>1928</v>
      </c>
      <c r="D887" s="91">
        <v>1</v>
      </c>
      <c r="E887" s="91">
        <v>1</v>
      </c>
      <c r="F887" s="216">
        <v>9.1</v>
      </c>
      <c r="G887" s="90">
        <v>2</v>
      </c>
      <c r="H887" s="90">
        <v>7</v>
      </c>
      <c r="I887" s="158">
        <v>17</v>
      </c>
    </row>
    <row r="888" spans="1:9" x14ac:dyDescent="0.3">
      <c r="A888" s="169" t="s">
        <v>541</v>
      </c>
      <c r="B888" s="90" t="s">
        <v>403</v>
      </c>
      <c r="C888" s="215" t="s">
        <v>1929</v>
      </c>
      <c r="D888" s="91">
        <v>1</v>
      </c>
      <c r="E888" s="91">
        <v>1</v>
      </c>
      <c r="F888" s="216">
        <v>9.1</v>
      </c>
      <c r="G888" s="90">
        <v>2</v>
      </c>
      <c r="H888" s="90">
        <v>7</v>
      </c>
      <c r="I888" s="158">
        <v>17</v>
      </c>
    </row>
    <row r="889" spans="1:9" x14ac:dyDescent="0.3">
      <c r="A889" s="169" t="s">
        <v>541</v>
      </c>
      <c r="B889" s="90" t="s">
        <v>403</v>
      </c>
      <c r="C889" s="215" t="s">
        <v>1930</v>
      </c>
      <c r="D889" s="91">
        <v>1</v>
      </c>
      <c r="E889" s="91">
        <v>1</v>
      </c>
      <c r="F889" s="216">
        <v>9.1</v>
      </c>
      <c r="G889" s="90">
        <v>2</v>
      </c>
      <c r="H889" s="90">
        <v>7</v>
      </c>
      <c r="I889" s="158">
        <v>17</v>
      </c>
    </row>
    <row r="890" spans="1:9" x14ac:dyDescent="0.3">
      <c r="A890" s="169" t="s">
        <v>541</v>
      </c>
      <c r="B890" s="90" t="s">
        <v>403</v>
      </c>
      <c r="C890" s="215" t="s">
        <v>1931</v>
      </c>
      <c r="D890" s="91">
        <v>1</v>
      </c>
      <c r="E890" s="91">
        <v>1</v>
      </c>
      <c r="F890" s="216">
        <v>9.1</v>
      </c>
      <c r="G890" s="90">
        <v>2</v>
      </c>
      <c r="H890" s="90">
        <v>7</v>
      </c>
      <c r="I890" s="158">
        <v>17</v>
      </c>
    </row>
    <row r="891" spans="1:9" x14ac:dyDescent="0.3">
      <c r="A891" s="169" t="s">
        <v>541</v>
      </c>
      <c r="B891" s="90" t="s">
        <v>403</v>
      </c>
      <c r="C891" s="215" t="s">
        <v>1932</v>
      </c>
      <c r="D891" s="91">
        <v>1</v>
      </c>
      <c r="E891" s="91">
        <v>1</v>
      </c>
      <c r="F891" s="216">
        <v>9.1</v>
      </c>
      <c r="G891" s="90">
        <v>2</v>
      </c>
      <c r="H891" s="90">
        <v>7</v>
      </c>
      <c r="I891" s="158">
        <v>17</v>
      </c>
    </row>
    <row r="892" spans="1:9" x14ac:dyDescent="0.3">
      <c r="A892" s="169" t="s">
        <v>541</v>
      </c>
      <c r="B892" s="90" t="s">
        <v>403</v>
      </c>
      <c r="C892" s="215" t="s">
        <v>1933</v>
      </c>
      <c r="D892" s="91">
        <v>1</v>
      </c>
      <c r="E892" s="91">
        <v>1</v>
      </c>
      <c r="F892" s="216">
        <v>9.1</v>
      </c>
      <c r="G892" s="90">
        <v>2</v>
      </c>
      <c r="H892" s="90">
        <v>7</v>
      </c>
      <c r="I892" s="158">
        <v>17</v>
      </c>
    </row>
    <row r="893" spans="1:9" x14ac:dyDescent="0.3">
      <c r="A893" s="169" t="s">
        <v>541</v>
      </c>
      <c r="B893" s="90" t="s">
        <v>403</v>
      </c>
      <c r="C893" s="215" t="s">
        <v>1934</v>
      </c>
      <c r="D893" s="91">
        <v>1</v>
      </c>
      <c r="E893" s="91">
        <v>1</v>
      </c>
      <c r="F893" s="216">
        <v>9.1</v>
      </c>
      <c r="G893" s="90">
        <v>2</v>
      </c>
      <c r="H893" s="90">
        <v>7</v>
      </c>
      <c r="I893" s="158">
        <v>17</v>
      </c>
    </row>
    <row r="894" spans="1:9" x14ac:dyDescent="0.3">
      <c r="A894" s="169" t="s">
        <v>541</v>
      </c>
      <c r="B894" s="90" t="s">
        <v>403</v>
      </c>
      <c r="C894" s="215" t="s">
        <v>1935</v>
      </c>
      <c r="D894" s="91">
        <v>1</v>
      </c>
      <c r="E894" s="91">
        <v>1</v>
      </c>
      <c r="F894" s="216">
        <v>9.1</v>
      </c>
      <c r="G894" s="90">
        <v>2</v>
      </c>
      <c r="H894" s="90">
        <v>7</v>
      </c>
      <c r="I894" s="158">
        <v>17</v>
      </c>
    </row>
    <row r="895" spans="1:9" x14ac:dyDescent="0.3">
      <c r="A895" s="169" t="s">
        <v>541</v>
      </c>
      <c r="B895" s="90" t="s">
        <v>403</v>
      </c>
      <c r="C895" s="215" t="s">
        <v>396</v>
      </c>
      <c r="D895" s="91">
        <v>1</v>
      </c>
      <c r="E895" s="91">
        <v>1</v>
      </c>
      <c r="F895" s="216">
        <v>12.3</v>
      </c>
      <c r="G895" s="90">
        <v>2</v>
      </c>
      <c r="H895" s="91">
        <v>9</v>
      </c>
      <c r="I895" s="91">
        <v>14</v>
      </c>
    </row>
    <row r="896" spans="1:9" x14ac:dyDescent="0.3">
      <c r="A896" s="169" t="s">
        <v>541</v>
      </c>
      <c r="B896" s="90" t="s">
        <v>403</v>
      </c>
      <c r="C896" s="215" t="s">
        <v>1936</v>
      </c>
      <c r="D896" s="91">
        <v>1</v>
      </c>
      <c r="E896" s="91">
        <v>1</v>
      </c>
      <c r="F896" s="216">
        <v>9.5</v>
      </c>
      <c r="G896" s="90">
        <v>2</v>
      </c>
      <c r="H896" s="90">
        <v>7</v>
      </c>
      <c r="I896" s="158">
        <v>13</v>
      </c>
    </row>
    <row r="897" spans="1:9" x14ac:dyDescent="0.3">
      <c r="A897" s="169" t="s">
        <v>541</v>
      </c>
      <c r="B897" s="90" t="s">
        <v>403</v>
      </c>
      <c r="C897" s="215" t="s">
        <v>1937</v>
      </c>
      <c r="D897" s="91">
        <v>1</v>
      </c>
      <c r="E897" s="91">
        <v>1</v>
      </c>
      <c r="F897" s="216">
        <v>5.8</v>
      </c>
      <c r="G897" s="90">
        <v>1</v>
      </c>
      <c r="H897" s="90">
        <v>6</v>
      </c>
      <c r="I897" s="158">
        <v>9</v>
      </c>
    </row>
    <row r="898" spans="1:9" x14ac:dyDescent="0.3">
      <c r="A898" s="169" t="s">
        <v>541</v>
      </c>
      <c r="B898" s="90" t="s">
        <v>403</v>
      </c>
      <c r="C898" s="215" t="s">
        <v>1938</v>
      </c>
      <c r="D898" s="91">
        <v>1</v>
      </c>
      <c r="E898" s="91">
        <v>4</v>
      </c>
      <c r="F898" s="216">
        <v>5</v>
      </c>
      <c r="G898" s="90">
        <v>1</v>
      </c>
      <c r="H898" s="90">
        <v>6</v>
      </c>
      <c r="I898" s="91">
        <v>9</v>
      </c>
    </row>
    <row r="899" spans="1:9" x14ac:dyDescent="0.3">
      <c r="A899" s="169" t="s">
        <v>541</v>
      </c>
      <c r="B899" s="90" t="s">
        <v>403</v>
      </c>
      <c r="C899" s="215" t="s">
        <v>1938</v>
      </c>
      <c r="D899" s="91">
        <v>5</v>
      </c>
      <c r="E899" s="91">
        <v>999</v>
      </c>
      <c r="F899" s="216">
        <v>5</v>
      </c>
      <c r="G899" s="90">
        <v>1</v>
      </c>
      <c r="H899" s="90">
        <v>6</v>
      </c>
      <c r="I899" s="91">
        <v>9</v>
      </c>
    </row>
    <row r="900" spans="1:9" x14ac:dyDescent="0.3">
      <c r="A900" s="169" t="s">
        <v>541</v>
      </c>
      <c r="B900" s="90" t="s">
        <v>403</v>
      </c>
      <c r="C900" s="215" t="s">
        <v>1939</v>
      </c>
      <c r="D900" s="91">
        <v>1</v>
      </c>
      <c r="E900" s="91">
        <v>4</v>
      </c>
      <c r="F900" s="216">
        <v>5</v>
      </c>
      <c r="G900" s="90">
        <v>1</v>
      </c>
      <c r="H900" s="90">
        <v>6</v>
      </c>
      <c r="I900" s="91">
        <v>9</v>
      </c>
    </row>
    <row r="901" spans="1:9" x14ac:dyDescent="0.3">
      <c r="A901" s="169" t="s">
        <v>541</v>
      </c>
      <c r="B901" s="90" t="s">
        <v>403</v>
      </c>
      <c r="C901" s="215" t="s">
        <v>1939</v>
      </c>
      <c r="D901" s="91">
        <v>5</v>
      </c>
      <c r="E901" s="91">
        <v>999</v>
      </c>
      <c r="F901" s="216">
        <v>5</v>
      </c>
      <c r="G901" s="90">
        <v>1</v>
      </c>
      <c r="H901" s="90">
        <v>6</v>
      </c>
      <c r="I901" s="91">
        <v>9</v>
      </c>
    </row>
    <row r="902" spans="1:9" x14ac:dyDescent="0.3">
      <c r="A902" s="169" t="s">
        <v>541</v>
      </c>
      <c r="B902" s="90" t="s">
        <v>403</v>
      </c>
      <c r="C902" s="215" t="s">
        <v>1940</v>
      </c>
      <c r="D902" s="91">
        <v>1</v>
      </c>
      <c r="E902" s="91">
        <v>1</v>
      </c>
      <c r="F902" s="215">
        <v>2.2000000000000002</v>
      </c>
      <c r="G902" s="90">
        <v>1</v>
      </c>
      <c r="H902" s="90">
        <v>6</v>
      </c>
      <c r="I902" s="158">
        <v>17</v>
      </c>
    </row>
    <row r="903" spans="1:9" x14ac:dyDescent="0.3">
      <c r="A903" s="169" t="s">
        <v>541</v>
      </c>
      <c r="B903" s="90" t="s">
        <v>403</v>
      </c>
      <c r="C903" s="215" t="s">
        <v>1941</v>
      </c>
      <c r="D903" s="91">
        <v>1</v>
      </c>
      <c r="E903" s="91">
        <v>1</v>
      </c>
      <c r="F903" s="215">
        <v>5.4</v>
      </c>
      <c r="G903" s="90">
        <v>1</v>
      </c>
      <c r="H903" s="90">
        <v>7</v>
      </c>
      <c r="I903" s="158">
        <v>17</v>
      </c>
    </row>
    <row r="904" spans="1:9" x14ac:dyDescent="0.3">
      <c r="A904" s="169" t="s">
        <v>541</v>
      </c>
      <c r="B904" s="90" t="s">
        <v>403</v>
      </c>
      <c r="C904" s="215" t="s">
        <v>1942</v>
      </c>
      <c r="D904" s="91">
        <v>1</v>
      </c>
      <c r="E904" s="91">
        <v>1</v>
      </c>
      <c r="F904" s="215">
        <v>8.8000000000000007</v>
      </c>
      <c r="G904" s="90">
        <v>2</v>
      </c>
      <c r="H904" s="90">
        <v>7</v>
      </c>
      <c r="I904" s="158">
        <v>17</v>
      </c>
    </row>
    <row r="905" spans="1:9" x14ac:dyDescent="0.3">
      <c r="A905" s="169" t="s">
        <v>541</v>
      </c>
      <c r="B905" s="90" t="s">
        <v>403</v>
      </c>
      <c r="C905" s="215" t="s">
        <v>1943</v>
      </c>
      <c r="D905" s="91">
        <v>1</v>
      </c>
      <c r="E905" s="91">
        <v>1</v>
      </c>
      <c r="F905" s="215">
        <v>18.100000000000001</v>
      </c>
      <c r="G905" s="90">
        <v>3</v>
      </c>
      <c r="H905" s="90">
        <v>8</v>
      </c>
      <c r="I905" s="158">
        <v>18</v>
      </c>
    </row>
    <row r="906" spans="1:9" x14ac:dyDescent="0.3">
      <c r="A906" s="169" t="s">
        <v>541</v>
      </c>
      <c r="B906" s="90" t="s">
        <v>403</v>
      </c>
      <c r="C906" s="215" t="s">
        <v>1944</v>
      </c>
      <c r="D906" s="91">
        <v>1</v>
      </c>
      <c r="E906" s="91">
        <v>1</v>
      </c>
      <c r="F906" s="215">
        <v>11.4</v>
      </c>
      <c r="G906" s="90">
        <v>2</v>
      </c>
      <c r="H906" s="90">
        <v>7</v>
      </c>
      <c r="I906" s="158">
        <v>18</v>
      </c>
    </row>
    <row r="907" spans="1:9" x14ac:dyDescent="0.3">
      <c r="A907" s="169" t="s">
        <v>541</v>
      </c>
      <c r="B907" s="90" t="s">
        <v>403</v>
      </c>
      <c r="C907" s="215" t="s">
        <v>1945</v>
      </c>
      <c r="D907" s="91">
        <v>1</v>
      </c>
      <c r="E907" s="91">
        <v>1</v>
      </c>
      <c r="F907" s="215">
        <v>5.8</v>
      </c>
      <c r="G907" s="90">
        <v>1</v>
      </c>
      <c r="H907" s="90">
        <v>7</v>
      </c>
      <c r="I907" s="158">
        <v>17</v>
      </c>
    </row>
    <row r="908" spans="1:9" x14ac:dyDescent="0.3">
      <c r="A908" s="169" t="s">
        <v>541</v>
      </c>
      <c r="B908" s="90" t="s">
        <v>403</v>
      </c>
      <c r="C908" s="215" t="s">
        <v>1946</v>
      </c>
      <c r="D908" s="91">
        <v>1</v>
      </c>
      <c r="E908" s="91">
        <v>1</v>
      </c>
      <c r="F908" s="215">
        <v>10.8</v>
      </c>
      <c r="G908" s="90">
        <v>2</v>
      </c>
      <c r="H908" s="90">
        <v>7</v>
      </c>
      <c r="I908" s="158">
        <v>17</v>
      </c>
    </row>
    <row r="909" spans="1:9" x14ac:dyDescent="0.3">
      <c r="A909" s="169" t="s">
        <v>541</v>
      </c>
      <c r="B909" s="90" t="s">
        <v>403</v>
      </c>
      <c r="C909" s="215" t="s">
        <v>1947</v>
      </c>
      <c r="D909" s="91">
        <v>1</v>
      </c>
      <c r="E909" s="91">
        <v>1</v>
      </c>
      <c r="F909" s="215">
        <v>8.6999999999999993</v>
      </c>
      <c r="G909" s="90">
        <v>2</v>
      </c>
      <c r="H909" s="90">
        <v>7</v>
      </c>
      <c r="I909" s="158">
        <v>17</v>
      </c>
    </row>
    <row r="910" spans="1:9" x14ac:dyDescent="0.3">
      <c r="A910" s="169" t="s">
        <v>541</v>
      </c>
      <c r="B910" s="90" t="s">
        <v>403</v>
      </c>
      <c r="C910" s="215" t="s">
        <v>1948</v>
      </c>
      <c r="D910" s="91">
        <v>1</v>
      </c>
      <c r="E910" s="91">
        <v>1</v>
      </c>
      <c r="F910" s="215">
        <v>23.4</v>
      </c>
      <c r="G910" s="90">
        <v>3</v>
      </c>
      <c r="H910" s="90">
        <v>8</v>
      </c>
      <c r="I910" s="158">
        <v>19</v>
      </c>
    </row>
    <row r="911" spans="1:9" x14ac:dyDescent="0.3">
      <c r="A911" s="169" t="s">
        <v>541</v>
      </c>
      <c r="B911" s="90" t="s">
        <v>403</v>
      </c>
      <c r="C911" s="215" t="s">
        <v>1949</v>
      </c>
      <c r="D911" s="91">
        <v>1</v>
      </c>
      <c r="E911" s="91">
        <v>1</v>
      </c>
      <c r="F911" s="215">
        <v>6.7</v>
      </c>
      <c r="G911" s="90">
        <v>1</v>
      </c>
      <c r="H911" s="90">
        <v>7</v>
      </c>
      <c r="I911" s="158">
        <v>17</v>
      </c>
    </row>
    <row r="912" spans="1:9" x14ac:dyDescent="0.3">
      <c r="A912" s="169" t="s">
        <v>541</v>
      </c>
      <c r="B912" s="90" t="s">
        <v>403</v>
      </c>
      <c r="C912" s="215" t="s">
        <v>1950</v>
      </c>
      <c r="D912" s="91">
        <v>1</v>
      </c>
      <c r="E912" s="91">
        <v>1</v>
      </c>
      <c r="F912" s="215">
        <v>9</v>
      </c>
      <c r="G912" s="90">
        <v>2</v>
      </c>
      <c r="H912" s="90">
        <v>7</v>
      </c>
      <c r="I912" s="158">
        <v>17</v>
      </c>
    </row>
    <row r="913" spans="1:9" x14ac:dyDescent="0.3">
      <c r="A913" s="169" t="s">
        <v>541</v>
      </c>
      <c r="B913" s="90" t="s">
        <v>403</v>
      </c>
      <c r="C913" s="215" t="s">
        <v>1951</v>
      </c>
      <c r="D913" s="91">
        <v>1</v>
      </c>
      <c r="E913" s="91">
        <v>1</v>
      </c>
      <c r="F913" s="215">
        <v>11.1</v>
      </c>
      <c r="G913" s="90">
        <v>2</v>
      </c>
      <c r="H913" s="90">
        <v>7</v>
      </c>
      <c r="I913" s="158">
        <v>18</v>
      </c>
    </row>
    <row r="914" spans="1:9" x14ac:dyDescent="0.3">
      <c r="A914" s="169" t="s">
        <v>541</v>
      </c>
      <c r="B914" s="90" t="s">
        <v>403</v>
      </c>
      <c r="C914" s="215" t="s">
        <v>1952</v>
      </c>
      <c r="D914" s="91">
        <v>1</v>
      </c>
      <c r="E914" s="91">
        <v>1</v>
      </c>
      <c r="F914" s="216">
        <v>8.8000000000000007</v>
      </c>
      <c r="G914" s="90">
        <v>2</v>
      </c>
      <c r="H914" s="90">
        <v>7</v>
      </c>
      <c r="I914" s="158">
        <v>17</v>
      </c>
    </row>
    <row r="915" spans="1:9" x14ac:dyDescent="0.3">
      <c r="A915" s="169" t="s">
        <v>541</v>
      </c>
      <c r="B915" s="90" t="s">
        <v>403</v>
      </c>
      <c r="C915" s="215" t="s">
        <v>1952</v>
      </c>
      <c r="D915" s="91">
        <v>2</v>
      </c>
      <c r="E915" s="91">
        <v>999</v>
      </c>
      <c r="F915" s="216">
        <v>8.8000000000000007</v>
      </c>
      <c r="G915" s="90">
        <v>2</v>
      </c>
      <c r="H915" s="90">
        <v>7</v>
      </c>
      <c r="I915" s="158">
        <v>17</v>
      </c>
    </row>
    <row r="916" spans="1:9" x14ac:dyDescent="0.3">
      <c r="A916" s="169" t="s">
        <v>541</v>
      </c>
      <c r="B916" s="90" t="s">
        <v>403</v>
      </c>
      <c r="C916" s="215" t="s">
        <v>1953</v>
      </c>
      <c r="D916" s="91">
        <v>1</v>
      </c>
      <c r="E916" s="91">
        <v>1</v>
      </c>
      <c r="F916" s="216">
        <v>12.9</v>
      </c>
      <c r="G916" s="90">
        <v>2</v>
      </c>
      <c r="H916" s="90">
        <v>7</v>
      </c>
      <c r="I916" s="158">
        <v>18</v>
      </c>
    </row>
    <row r="917" spans="1:9" x14ac:dyDescent="0.3">
      <c r="A917" s="169" t="s">
        <v>541</v>
      </c>
      <c r="B917" s="90" t="s">
        <v>403</v>
      </c>
      <c r="C917" s="215" t="s">
        <v>1953</v>
      </c>
      <c r="D917" s="91">
        <v>2</v>
      </c>
      <c r="E917" s="91">
        <v>999</v>
      </c>
      <c r="F917" s="216">
        <v>12.9</v>
      </c>
      <c r="G917" s="90">
        <v>2</v>
      </c>
      <c r="H917" s="90">
        <v>7</v>
      </c>
      <c r="I917" s="158">
        <v>18</v>
      </c>
    </row>
    <row r="918" spans="1:9" ht="14.4" customHeight="1" x14ac:dyDescent="0.3">
      <c r="A918" s="169" t="s">
        <v>541</v>
      </c>
      <c r="B918" s="90" t="s">
        <v>403</v>
      </c>
      <c r="C918" s="215" t="s">
        <v>1954</v>
      </c>
      <c r="D918" s="91">
        <v>1</v>
      </c>
      <c r="E918" s="91">
        <v>1</v>
      </c>
      <c r="F918" s="215">
        <v>7</v>
      </c>
      <c r="G918" s="90">
        <v>1</v>
      </c>
      <c r="H918" s="90">
        <v>7</v>
      </c>
      <c r="I918" s="158">
        <v>13</v>
      </c>
    </row>
    <row r="919" spans="1:9" x14ac:dyDescent="0.3">
      <c r="A919" s="169" t="s">
        <v>541</v>
      </c>
      <c r="B919" s="90" t="s">
        <v>403</v>
      </c>
      <c r="C919" s="215" t="s">
        <v>1715</v>
      </c>
      <c r="D919" s="91">
        <v>1</v>
      </c>
      <c r="E919" s="91">
        <v>1</v>
      </c>
      <c r="F919" s="220">
        <v>10</v>
      </c>
      <c r="G919" s="90">
        <v>2</v>
      </c>
      <c r="H919" s="90">
        <v>7</v>
      </c>
      <c r="I919" s="158">
        <v>13</v>
      </c>
    </row>
    <row r="920" spans="1:9" ht="14.4" customHeight="1" x14ac:dyDescent="0.3">
      <c r="A920" s="169" t="s">
        <v>541</v>
      </c>
      <c r="B920" s="90" t="s">
        <v>403</v>
      </c>
      <c r="C920" s="215" t="s">
        <v>1955</v>
      </c>
      <c r="D920" s="91">
        <v>1</v>
      </c>
      <c r="E920" s="91">
        <v>1</v>
      </c>
      <c r="F920" s="215">
        <v>11.3</v>
      </c>
      <c r="G920" s="90">
        <v>2</v>
      </c>
      <c r="H920" s="90">
        <v>7</v>
      </c>
      <c r="I920" s="158">
        <v>14</v>
      </c>
    </row>
    <row r="921" spans="1:9" ht="14.4" customHeight="1" x14ac:dyDescent="0.3">
      <c r="A921" s="169" t="s">
        <v>541</v>
      </c>
      <c r="B921" s="90" t="s">
        <v>403</v>
      </c>
      <c r="C921" s="215" t="s">
        <v>1956</v>
      </c>
      <c r="D921" s="91">
        <v>1</v>
      </c>
      <c r="E921" s="91">
        <v>1</v>
      </c>
      <c r="F921" s="215">
        <v>8.1</v>
      </c>
      <c r="G921" s="90">
        <v>1</v>
      </c>
      <c r="H921" s="90">
        <v>7</v>
      </c>
      <c r="I921" s="158">
        <v>14</v>
      </c>
    </row>
    <row r="922" spans="1:9" ht="28.8" x14ac:dyDescent="0.3">
      <c r="A922" s="169" t="s">
        <v>541</v>
      </c>
      <c r="B922" s="90" t="s">
        <v>403</v>
      </c>
      <c r="C922" s="215" t="s">
        <v>1957</v>
      </c>
      <c r="D922" s="91">
        <v>1</v>
      </c>
      <c r="E922" s="91">
        <v>1</v>
      </c>
      <c r="F922" s="215">
        <v>10.3</v>
      </c>
      <c r="G922" s="90">
        <v>2</v>
      </c>
      <c r="H922" s="90">
        <v>7</v>
      </c>
      <c r="I922" s="158">
        <v>14</v>
      </c>
    </row>
    <row r="923" spans="1:9" x14ac:dyDescent="0.3">
      <c r="A923" s="169" t="s">
        <v>541</v>
      </c>
      <c r="B923" s="90" t="s">
        <v>403</v>
      </c>
      <c r="C923" s="215" t="s">
        <v>1958</v>
      </c>
      <c r="D923" s="91">
        <v>1</v>
      </c>
      <c r="E923" s="91">
        <v>1</v>
      </c>
      <c r="F923" s="215">
        <v>11.3</v>
      </c>
      <c r="G923" s="90">
        <v>2</v>
      </c>
      <c r="H923" s="90">
        <v>7</v>
      </c>
      <c r="I923" s="158">
        <v>18</v>
      </c>
    </row>
    <row r="924" spans="1:9" x14ac:dyDescent="0.3">
      <c r="A924" s="169" t="s">
        <v>541</v>
      </c>
      <c r="B924" s="90" t="s">
        <v>403</v>
      </c>
      <c r="C924" s="215" t="s">
        <v>1959</v>
      </c>
      <c r="D924" s="91">
        <v>1</v>
      </c>
      <c r="E924" s="91">
        <v>1</v>
      </c>
      <c r="F924" s="215">
        <v>9.1999999999999993</v>
      </c>
      <c r="G924" s="90">
        <v>2</v>
      </c>
      <c r="H924" s="90">
        <v>7</v>
      </c>
      <c r="I924" s="158">
        <v>17</v>
      </c>
    </row>
    <row r="925" spans="1:9" x14ac:dyDescent="0.3">
      <c r="A925" s="169" t="s">
        <v>541</v>
      </c>
      <c r="B925" s="90" t="s">
        <v>403</v>
      </c>
      <c r="C925" s="215" t="s">
        <v>1960</v>
      </c>
      <c r="D925" s="91">
        <v>1</v>
      </c>
      <c r="E925" s="91">
        <v>1</v>
      </c>
      <c r="F925" s="215">
        <v>7.3</v>
      </c>
      <c r="G925" s="90">
        <v>2</v>
      </c>
      <c r="H925" s="90">
        <v>7</v>
      </c>
      <c r="I925" s="158">
        <v>17</v>
      </c>
    </row>
    <row r="926" spans="1:9" x14ac:dyDescent="0.3">
      <c r="A926" s="169" t="s">
        <v>541</v>
      </c>
      <c r="B926" s="90" t="s">
        <v>403</v>
      </c>
      <c r="C926" s="216" t="s">
        <v>1961</v>
      </c>
      <c r="D926" s="91">
        <v>1</v>
      </c>
      <c r="E926" s="91">
        <v>1</v>
      </c>
      <c r="F926" s="215">
        <v>5.9</v>
      </c>
      <c r="G926" s="90">
        <v>1</v>
      </c>
      <c r="H926" s="90">
        <v>6</v>
      </c>
      <c r="I926" s="158">
        <v>17</v>
      </c>
    </row>
    <row r="927" spans="1:9" x14ac:dyDescent="0.3">
      <c r="A927" s="169" t="s">
        <v>541</v>
      </c>
      <c r="B927" s="90" t="s">
        <v>403</v>
      </c>
      <c r="C927" s="215" t="s">
        <v>1962</v>
      </c>
      <c r="D927" s="91">
        <v>1</v>
      </c>
      <c r="E927" s="91">
        <v>1</v>
      </c>
      <c r="F927" s="215">
        <v>16.5</v>
      </c>
      <c r="G927" s="90">
        <v>2</v>
      </c>
      <c r="H927" s="90">
        <v>8</v>
      </c>
      <c r="I927" s="158">
        <v>18</v>
      </c>
    </row>
    <row r="928" spans="1:9" x14ac:dyDescent="0.3">
      <c r="A928" s="169" t="s">
        <v>541</v>
      </c>
      <c r="B928" s="90" t="s">
        <v>403</v>
      </c>
      <c r="C928" s="215" t="s">
        <v>1963</v>
      </c>
      <c r="D928" s="91">
        <v>1</v>
      </c>
      <c r="E928" s="91">
        <v>1</v>
      </c>
      <c r="F928" s="215">
        <v>5.4</v>
      </c>
      <c r="G928" s="90">
        <v>1</v>
      </c>
      <c r="H928" s="90">
        <v>6</v>
      </c>
      <c r="I928" s="158">
        <v>17</v>
      </c>
    </row>
    <row r="929" spans="1:9" x14ac:dyDescent="0.3">
      <c r="A929" s="169" t="s">
        <v>541</v>
      </c>
      <c r="B929" s="90" t="s">
        <v>403</v>
      </c>
      <c r="C929" s="215" t="s">
        <v>1964</v>
      </c>
      <c r="D929" s="91">
        <v>1</v>
      </c>
      <c r="E929" s="91">
        <v>1</v>
      </c>
      <c r="F929" s="215">
        <v>9.6999999999999993</v>
      </c>
      <c r="G929" s="90">
        <v>2</v>
      </c>
      <c r="H929" s="90">
        <v>7</v>
      </c>
      <c r="I929" s="158">
        <v>17</v>
      </c>
    </row>
    <row r="930" spans="1:9" x14ac:dyDescent="0.3">
      <c r="A930" s="169" t="s">
        <v>541</v>
      </c>
      <c r="B930" s="90" t="s">
        <v>403</v>
      </c>
      <c r="C930" s="216" t="s">
        <v>1965</v>
      </c>
      <c r="D930" s="91">
        <v>1</v>
      </c>
      <c r="E930" s="91">
        <v>1</v>
      </c>
      <c r="F930" s="216">
        <v>11.4</v>
      </c>
      <c r="G930" s="90">
        <v>2</v>
      </c>
      <c r="H930" s="90">
        <v>7</v>
      </c>
      <c r="I930" s="158">
        <v>18</v>
      </c>
    </row>
    <row r="931" spans="1:9" ht="28.8" x14ac:dyDescent="0.3">
      <c r="A931" s="169" t="s">
        <v>541</v>
      </c>
      <c r="B931" s="90" t="s">
        <v>403</v>
      </c>
      <c r="C931" s="215" t="s">
        <v>1966</v>
      </c>
      <c r="D931" s="91">
        <v>1</v>
      </c>
      <c r="E931" s="91">
        <v>1</v>
      </c>
      <c r="F931" s="216">
        <v>19.399999999999999</v>
      </c>
      <c r="G931" s="90">
        <v>3</v>
      </c>
      <c r="H931" s="90">
        <v>8</v>
      </c>
      <c r="I931" s="158">
        <v>18</v>
      </c>
    </row>
    <row r="932" spans="1:9" x14ac:dyDescent="0.3">
      <c r="A932" s="169" t="s">
        <v>541</v>
      </c>
      <c r="B932" s="90" t="s">
        <v>403</v>
      </c>
      <c r="C932" s="215" t="s">
        <v>1967</v>
      </c>
      <c r="D932" s="90">
        <v>1</v>
      </c>
      <c r="E932" s="90">
        <v>1</v>
      </c>
      <c r="F932" s="215">
        <v>26.6</v>
      </c>
      <c r="G932" s="90">
        <v>4</v>
      </c>
      <c r="H932" s="90">
        <v>8</v>
      </c>
      <c r="I932" s="158">
        <v>15</v>
      </c>
    </row>
    <row r="933" spans="1:9" x14ac:dyDescent="0.3">
      <c r="A933" s="169" t="s">
        <v>541</v>
      </c>
      <c r="B933" s="90" t="s">
        <v>403</v>
      </c>
      <c r="C933" s="215" t="s">
        <v>1968</v>
      </c>
      <c r="D933" s="90">
        <v>1</v>
      </c>
      <c r="E933" s="90">
        <v>1</v>
      </c>
      <c r="F933" s="215">
        <v>21.1</v>
      </c>
      <c r="G933" s="90">
        <v>3</v>
      </c>
      <c r="H933" s="90">
        <v>8</v>
      </c>
      <c r="I933" s="158">
        <v>14</v>
      </c>
    </row>
    <row r="934" spans="1:9" x14ac:dyDescent="0.3">
      <c r="A934" s="169" t="s">
        <v>541</v>
      </c>
      <c r="B934" s="90" t="s">
        <v>403</v>
      </c>
      <c r="C934" s="215" t="s">
        <v>1969</v>
      </c>
      <c r="D934" s="90">
        <v>1</v>
      </c>
      <c r="E934" s="90">
        <v>1</v>
      </c>
      <c r="F934" s="215">
        <v>18.3</v>
      </c>
      <c r="G934" s="90">
        <v>3</v>
      </c>
      <c r="H934" s="90">
        <v>8</v>
      </c>
      <c r="I934" s="158">
        <v>14</v>
      </c>
    </row>
    <row r="935" spans="1:9" x14ac:dyDescent="0.3">
      <c r="A935" s="169" t="s">
        <v>541</v>
      </c>
      <c r="B935" s="90" t="s">
        <v>403</v>
      </c>
      <c r="C935" s="216" t="s">
        <v>1970</v>
      </c>
      <c r="D935" s="90">
        <v>1</v>
      </c>
      <c r="E935" s="90">
        <v>1</v>
      </c>
      <c r="F935" s="215">
        <v>12.2</v>
      </c>
      <c r="G935" s="90">
        <v>2</v>
      </c>
      <c r="H935" s="90">
        <v>7</v>
      </c>
      <c r="I935" s="158">
        <v>14</v>
      </c>
    </row>
    <row r="936" spans="1:9" x14ac:dyDescent="0.3">
      <c r="A936" s="169" t="s">
        <v>541</v>
      </c>
      <c r="B936" s="90" t="s">
        <v>403</v>
      </c>
      <c r="C936" s="215" t="s">
        <v>1971</v>
      </c>
      <c r="D936" s="90">
        <v>1</v>
      </c>
      <c r="E936" s="90">
        <v>1</v>
      </c>
      <c r="F936" s="215">
        <v>3.3</v>
      </c>
      <c r="G936" s="90">
        <v>1</v>
      </c>
      <c r="H936" s="90">
        <v>7</v>
      </c>
      <c r="I936" s="158">
        <v>17</v>
      </c>
    </row>
    <row r="937" spans="1:9" x14ac:dyDescent="0.3">
      <c r="A937" s="169" t="s">
        <v>541</v>
      </c>
      <c r="B937" s="90" t="s">
        <v>403</v>
      </c>
      <c r="C937" s="215" t="s">
        <v>1972</v>
      </c>
      <c r="D937" s="90">
        <v>1</v>
      </c>
      <c r="E937" s="90">
        <v>1</v>
      </c>
      <c r="F937" s="215">
        <v>4.8</v>
      </c>
      <c r="G937" s="90">
        <v>1</v>
      </c>
      <c r="H937" s="90">
        <v>7</v>
      </c>
      <c r="I937" s="158">
        <v>17</v>
      </c>
    </row>
    <row r="938" spans="1:9" x14ac:dyDescent="0.3">
      <c r="A938" s="169" t="s">
        <v>541</v>
      </c>
      <c r="B938" s="90" t="s">
        <v>403</v>
      </c>
      <c r="C938" s="215" t="s">
        <v>1973</v>
      </c>
      <c r="D938" s="90">
        <v>1</v>
      </c>
      <c r="E938" s="90">
        <v>1</v>
      </c>
      <c r="F938" s="215">
        <v>6.7</v>
      </c>
      <c r="G938" s="90">
        <v>1</v>
      </c>
      <c r="H938" s="90">
        <v>7</v>
      </c>
      <c r="I938" s="158">
        <v>17</v>
      </c>
    </row>
    <row r="939" spans="1:9" x14ac:dyDescent="0.3">
      <c r="A939" s="169" t="s">
        <v>541</v>
      </c>
      <c r="B939" s="90" t="s">
        <v>403</v>
      </c>
      <c r="C939" s="215" t="s">
        <v>1974</v>
      </c>
      <c r="D939" s="91">
        <v>1</v>
      </c>
      <c r="E939" s="91">
        <v>1</v>
      </c>
      <c r="F939" s="215">
        <v>3.8</v>
      </c>
      <c r="G939" s="90">
        <v>1</v>
      </c>
      <c r="H939" s="90">
        <v>7</v>
      </c>
      <c r="I939" s="158">
        <v>17</v>
      </c>
    </row>
    <row r="940" spans="1:9" x14ac:dyDescent="0.3">
      <c r="A940" s="169" t="s">
        <v>541</v>
      </c>
      <c r="B940" s="90" t="s">
        <v>403</v>
      </c>
      <c r="C940" s="215" t="s">
        <v>1975</v>
      </c>
      <c r="D940" s="91">
        <v>1</v>
      </c>
      <c r="E940" s="91">
        <v>1</v>
      </c>
      <c r="F940" s="215">
        <v>7.4</v>
      </c>
      <c r="G940" s="90">
        <v>1</v>
      </c>
      <c r="H940" s="90">
        <v>7</v>
      </c>
      <c r="I940" s="158">
        <v>17</v>
      </c>
    </row>
    <row r="941" spans="1:9" x14ac:dyDescent="0.3">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4.4" x14ac:dyDescent="0.3"/>
  <cols>
    <col min="1" max="1" width="5.6640625" customWidth="1"/>
    <col min="2" max="2" width="16.5546875" customWidth="1"/>
    <col min="3" max="3" width="8.88671875" customWidth="1"/>
    <col min="4" max="4" width="7.5546875" customWidth="1"/>
    <col min="5" max="5" width="29" customWidth="1"/>
    <col min="6" max="6" width="16.6640625" customWidth="1"/>
    <col min="7" max="7" width="14.6640625" customWidth="1"/>
    <col min="8" max="8" width="6" style="193" customWidth="1"/>
    <col min="9" max="9" width="18.5546875" customWidth="1"/>
    <col min="10" max="10" width="14.5546875" customWidth="1"/>
    <col min="11" max="11" width="28" customWidth="1"/>
  </cols>
  <sheetData>
    <row r="1" spans="1:11" x14ac:dyDescent="0.3">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x14ac:dyDescent="0.3">
      <c r="A2" s="180">
        <v>1</v>
      </c>
      <c r="B2" s="227" t="s">
        <v>1327</v>
      </c>
      <c r="C2" s="180" t="s">
        <v>342</v>
      </c>
      <c r="D2" s="180" t="s">
        <v>792</v>
      </c>
      <c r="E2" s="180" t="s">
        <v>689</v>
      </c>
      <c r="F2" s="180" t="s">
        <v>1328</v>
      </c>
      <c r="G2" s="180" t="s">
        <v>1986</v>
      </c>
      <c r="H2" s="228" t="s">
        <v>9</v>
      </c>
      <c r="I2" s="180" t="s">
        <v>1603</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3">
      <c r="A3" s="180">
        <v>2</v>
      </c>
      <c r="B3" s="227" t="s">
        <v>1329</v>
      </c>
      <c r="C3" s="180" t="s">
        <v>342</v>
      </c>
      <c r="D3" s="180" t="s">
        <v>792</v>
      </c>
      <c r="E3" s="180" t="s">
        <v>689</v>
      </c>
      <c r="F3" s="180" t="s">
        <v>1330</v>
      </c>
      <c r="G3" s="180" t="s">
        <v>1986</v>
      </c>
      <c r="H3" s="228" t="s">
        <v>9</v>
      </c>
      <c r="I3" s="180" t="s">
        <v>1605</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58.4" x14ac:dyDescent="0.3">
      <c r="A4" s="180">
        <v>3</v>
      </c>
      <c r="B4" s="227" t="s">
        <v>1331</v>
      </c>
      <c r="C4" s="180" t="s">
        <v>342</v>
      </c>
      <c r="D4" s="180" t="s">
        <v>792</v>
      </c>
      <c r="E4" s="180" t="s">
        <v>689</v>
      </c>
      <c r="F4" s="180" t="s">
        <v>1332</v>
      </c>
      <c r="G4" s="180" t="s">
        <v>1986</v>
      </c>
      <c r="H4" s="228" t="s">
        <v>9</v>
      </c>
      <c r="I4" s="180" t="s">
        <v>1606</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58.4" x14ac:dyDescent="0.3">
      <c r="A5" s="180">
        <v>4</v>
      </c>
      <c r="B5" s="227" t="s">
        <v>1333</v>
      </c>
      <c r="C5" s="180" t="s">
        <v>342</v>
      </c>
      <c r="D5" s="180" t="s">
        <v>792</v>
      </c>
      <c r="E5" s="180" t="s">
        <v>689</v>
      </c>
      <c r="F5" s="180" t="s">
        <v>1334</v>
      </c>
      <c r="G5" s="180" t="s">
        <v>1986</v>
      </c>
      <c r="H5" s="228" t="s">
        <v>9</v>
      </c>
      <c r="I5" s="180" t="s">
        <v>1607</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58.4" x14ac:dyDescent="0.3">
      <c r="A6" s="180">
        <v>5</v>
      </c>
      <c r="B6" s="227" t="s">
        <v>1335</v>
      </c>
      <c r="C6" s="180" t="s">
        <v>342</v>
      </c>
      <c r="D6" s="180" t="s">
        <v>792</v>
      </c>
      <c r="E6" s="180" t="s">
        <v>689</v>
      </c>
      <c r="F6" s="180" t="s">
        <v>1336</v>
      </c>
      <c r="G6" s="180" t="s">
        <v>1986</v>
      </c>
      <c r="H6" s="228" t="s">
        <v>9</v>
      </c>
      <c r="I6" s="180" t="s">
        <v>1608</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3">
      <c r="A7" s="180">
        <v>6</v>
      </c>
      <c r="B7" s="227" t="s">
        <v>1337</v>
      </c>
      <c r="C7" s="180" t="s">
        <v>342</v>
      </c>
      <c r="D7" s="180" t="s">
        <v>792</v>
      </c>
      <c r="E7" s="180" t="s">
        <v>689</v>
      </c>
      <c r="F7" s="180" t="s">
        <v>1338</v>
      </c>
      <c r="G7" s="180" t="s">
        <v>1987</v>
      </c>
      <c r="H7" s="228" t="s">
        <v>9</v>
      </c>
      <c r="I7" s="180" t="s">
        <v>1609</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44" x14ac:dyDescent="0.3">
      <c r="A8" s="180">
        <v>7</v>
      </c>
      <c r="B8" s="227" t="s">
        <v>1339</v>
      </c>
      <c r="C8" s="180" t="s">
        <v>342</v>
      </c>
      <c r="D8" s="180" t="s">
        <v>792</v>
      </c>
      <c r="E8" s="180" t="s">
        <v>689</v>
      </c>
      <c r="F8" s="180" t="s">
        <v>1340</v>
      </c>
      <c r="G8" s="180" t="s">
        <v>1987</v>
      </c>
      <c r="H8" s="228" t="s">
        <v>9</v>
      </c>
      <c r="I8" s="180" t="s">
        <v>1610</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44" x14ac:dyDescent="0.3">
      <c r="A9" s="180">
        <v>8</v>
      </c>
      <c r="B9" s="227" t="s">
        <v>1341</v>
      </c>
      <c r="C9" s="180" t="s">
        <v>342</v>
      </c>
      <c r="D9" s="180" t="s">
        <v>792</v>
      </c>
      <c r="E9" s="180" t="s">
        <v>689</v>
      </c>
      <c r="F9" s="180" t="s">
        <v>1342</v>
      </c>
      <c r="G9" s="180" t="s">
        <v>1987</v>
      </c>
      <c r="H9" s="228" t="s">
        <v>9</v>
      </c>
      <c r="I9" s="180" t="s">
        <v>1611</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172.8" x14ac:dyDescent="0.3">
      <c r="A10" s="180">
        <v>9</v>
      </c>
      <c r="B10" s="227" t="s">
        <v>1343</v>
      </c>
      <c r="C10" s="180" t="s">
        <v>342</v>
      </c>
      <c r="D10" s="180" t="s">
        <v>792</v>
      </c>
      <c r="E10" s="180" t="s">
        <v>689</v>
      </c>
      <c r="F10" s="180" t="s">
        <v>1344</v>
      </c>
      <c r="G10" s="180" t="s">
        <v>1992</v>
      </c>
      <c r="H10" s="228" t="s">
        <v>9</v>
      </c>
      <c r="I10" s="180" t="s">
        <v>1612</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172.8" x14ac:dyDescent="0.3">
      <c r="A11" s="180">
        <v>10</v>
      </c>
      <c r="B11" s="227" t="s">
        <v>1345</v>
      </c>
      <c r="C11" s="180" t="s">
        <v>342</v>
      </c>
      <c r="D11" s="180" t="s">
        <v>792</v>
      </c>
      <c r="E11" s="180" t="s">
        <v>689</v>
      </c>
      <c r="F11" s="180" t="s">
        <v>1346</v>
      </c>
      <c r="G11" s="180" t="s">
        <v>1992</v>
      </c>
      <c r="H11" s="228" t="s">
        <v>9</v>
      </c>
      <c r="I11" s="180" t="s">
        <v>1613</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172.8" x14ac:dyDescent="0.3">
      <c r="A12" s="180">
        <v>11</v>
      </c>
      <c r="B12" s="227" t="s">
        <v>1347</v>
      </c>
      <c r="C12" s="180" t="s">
        <v>342</v>
      </c>
      <c r="D12" s="180" t="s">
        <v>792</v>
      </c>
      <c r="E12" s="180" t="s">
        <v>689</v>
      </c>
      <c r="F12" s="180" t="s">
        <v>1348</v>
      </c>
      <c r="G12" s="180" t="s">
        <v>1992</v>
      </c>
      <c r="H12" s="228" t="s">
        <v>9</v>
      </c>
      <c r="I12" s="180" t="s">
        <v>1614</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172.8" x14ac:dyDescent="0.3">
      <c r="A13" s="180">
        <v>12</v>
      </c>
      <c r="B13" s="227" t="s">
        <v>1349</v>
      </c>
      <c r="C13" s="180" t="s">
        <v>342</v>
      </c>
      <c r="D13" s="180" t="s">
        <v>792</v>
      </c>
      <c r="E13" s="180" t="s">
        <v>689</v>
      </c>
      <c r="F13" s="180" t="s">
        <v>1350</v>
      </c>
      <c r="G13" s="180" t="s">
        <v>1992</v>
      </c>
      <c r="H13" s="228" t="s">
        <v>9</v>
      </c>
      <c r="I13" s="180" t="s">
        <v>1615</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172.8" x14ac:dyDescent="0.3">
      <c r="A14" s="180">
        <v>13</v>
      </c>
      <c r="B14" s="227" t="s">
        <v>1351</v>
      </c>
      <c r="C14" s="180" t="s">
        <v>342</v>
      </c>
      <c r="D14" s="180" t="s">
        <v>792</v>
      </c>
      <c r="E14" s="180" t="s">
        <v>689</v>
      </c>
      <c r="F14" s="180" t="s">
        <v>1352</v>
      </c>
      <c r="G14" s="180" t="s">
        <v>1992</v>
      </c>
      <c r="H14" s="228" t="s">
        <v>9</v>
      </c>
      <c r="I14" s="180" t="s">
        <v>1616</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172.8" x14ac:dyDescent="0.3">
      <c r="A15" s="180">
        <v>14</v>
      </c>
      <c r="B15" s="227" t="s">
        <v>1353</v>
      </c>
      <c r="C15" s="180" t="s">
        <v>342</v>
      </c>
      <c r="D15" s="180" t="s">
        <v>792</v>
      </c>
      <c r="E15" s="180" t="s">
        <v>689</v>
      </c>
      <c r="F15" s="180" t="s">
        <v>1354</v>
      </c>
      <c r="G15" s="180" t="s">
        <v>1992</v>
      </c>
      <c r="H15" s="228" t="s">
        <v>9</v>
      </c>
      <c r="I15" s="180" t="s">
        <v>1617</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172.8" x14ac:dyDescent="0.3">
      <c r="A16" s="180">
        <v>15</v>
      </c>
      <c r="B16" s="227" t="s">
        <v>1355</v>
      </c>
      <c r="C16" s="180" t="s">
        <v>342</v>
      </c>
      <c r="D16" s="180" t="s">
        <v>792</v>
      </c>
      <c r="E16" s="180" t="s">
        <v>689</v>
      </c>
      <c r="F16" s="180" t="s">
        <v>1356</v>
      </c>
      <c r="G16" s="180" t="s">
        <v>1992</v>
      </c>
      <c r="H16" s="228" t="s">
        <v>9</v>
      </c>
      <c r="I16" s="180" t="s">
        <v>1618</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172.8" x14ac:dyDescent="0.3">
      <c r="A17" s="180">
        <v>16</v>
      </c>
      <c r="B17" s="227" t="s">
        <v>1357</v>
      </c>
      <c r="C17" s="180" t="s">
        <v>342</v>
      </c>
      <c r="D17" s="180" t="s">
        <v>792</v>
      </c>
      <c r="E17" s="180" t="s">
        <v>689</v>
      </c>
      <c r="F17" s="180" t="s">
        <v>1358</v>
      </c>
      <c r="G17" s="180" t="s">
        <v>1992</v>
      </c>
      <c r="H17" s="228" t="s">
        <v>9</v>
      </c>
      <c r="I17" s="180" t="s">
        <v>1619</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172.8" x14ac:dyDescent="0.3">
      <c r="A18" s="180">
        <v>17</v>
      </c>
      <c r="B18" s="227" t="s">
        <v>1359</v>
      </c>
      <c r="C18" s="180" t="s">
        <v>342</v>
      </c>
      <c r="D18" s="180" t="s">
        <v>792</v>
      </c>
      <c r="E18" s="180" t="s">
        <v>689</v>
      </c>
      <c r="F18" s="180" t="s">
        <v>1360</v>
      </c>
      <c r="G18" s="180" t="s">
        <v>1993</v>
      </c>
      <c r="H18" s="228" t="s">
        <v>9</v>
      </c>
      <c r="I18" s="180" t="s">
        <v>1620</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172.8" x14ac:dyDescent="0.3">
      <c r="A19" s="180">
        <v>18</v>
      </c>
      <c r="B19" s="227" t="s">
        <v>1361</v>
      </c>
      <c r="C19" s="180" t="s">
        <v>342</v>
      </c>
      <c r="D19" s="180" t="s">
        <v>792</v>
      </c>
      <c r="E19" s="180" t="s">
        <v>689</v>
      </c>
      <c r="F19" s="180" t="s">
        <v>1362</v>
      </c>
      <c r="G19" s="180" t="s">
        <v>1993</v>
      </c>
      <c r="H19" s="228" t="s">
        <v>9</v>
      </c>
      <c r="I19" s="180" t="s">
        <v>1621</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172.8" x14ac:dyDescent="0.3">
      <c r="A20" s="180">
        <v>19</v>
      </c>
      <c r="B20" s="227" t="s">
        <v>1363</v>
      </c>
      <c r="C20" s="180" t="s">
        <v>342</v>
      </c>
      <c r="D20" s="180" t="s">
        <v>792</v>
      </c>
      <c r="E20" s="180" t="s">
        <v>689</v>
      </c>
      <c r="F20" s="180" t="s">
        <v>1364</v>
      </c>
      <c r="G20" s="180" t="s">
        <v>1993</v>
      </c>
      <c r="H20" s="228" t="s">
        <v>9</v>
      </c>
      <c r="I20" s="180" t="s">
        <v>1622</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172.8" x14ac:dyDescent="0.3">
      <c r="A21" s="180">
        <v>20</v>
      </c>
      <c r="B21" s="227" t="s">
        <v>1365</v>
      </c>
      <c r="C21" s="180" t="s">
        <v>342</v>
      </c>
      <c r="D21" s="180" t="s">
        <v>792</v>
      </c>
      <c r="E21" s="180" t="s">
        <v>689</v>
      </c>
      <c r="F21" s="180" t="s">
        <v>1366</v>
      </c>
      <c r="G21" s="180" t="s">
        <v>1993</v>
      </c>
      <c r="H21" s="228" t="s">
        <v>9</v>
      </c>
      <c r="I21" s="180" t="s">
        <v>1623</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5"/>
  <sheetViews>
    <sheetView workbookViewId="0">
      <selection activeCell="H1" sqref="H1"/>
    </sheetView>
  </sheetViews>
  <sheetFormatPr defaultColWidth="9.109375" defaultRowHeight="14.4" x14ac:dyDescent="0.3"/>
  <cols>
    <col min="1" max="1" width="16.33203125" style="193" customWidth="1"/>
    <col min="2" max="2" width="31.88671875" style="193" customWidth="1"/>
    <col min="3" max="3" width="9.109375" style="193" customWidth="1"/>
    <col min="4" max="4" width="15" style="193" customWidth="1"/>
    <col min="5" max="5" width="29" style="193" customWidth="1"/>
    <col min="6" max="6" width="24.5546875" style="193" customWidth="1"/>
    <col min="7" max="7" width="6" style="193" customWidth="1"/>
    <col min="8" max="16384" width="9.109375" style="193"/>
  </cols>
  <sheetData>
    <row r="1" spans="1:7" x14ac:dyDescent="0.3">
      <c r="A1" s="110" t="s">
        <v>1325</v>
      </c>
      <c r="B1" s="198" t="s">
        <v>286</v>
      </c>
      <c r="C1" s="105" t="s">
        <v>341</v>
      </c>
      <c r="D1" s="144" t="s">
        <v>343</v>
      </c>
      <c r="E1" s="119" t="s">
        <v>345</v>
      </c>
      <c r="F1" s="96" t="s">
        <v>346</v>
      </c>
      <c r="G1" s="88" t="s">
        <v>348</v>
      </c>
    </row>
    <row r="2" spans="1:7" s="83" customFormat="1" x14ac:dyDescent="0.3">
      <c r="A2" s="193">
        <v>1</v>
      </c>
      <c r="B2" s="31" t="s">
        <v>1983</v>
      </c>
      <c r="C2" s="193" t="s">
        <v>342</v>
      </c>
      <c r="D2" s="193" t="s">
        <v>13</v>
      </c>
      <c r="E2" s="193" t="s">
        <v>688</v>
      </c>
      <c r="F2" s="199">
        <v>260529200100</v>
      </c>
      <c r="G2" s="212" t="s">
        <v>40</v>
      </c>
    </row>
    <row r="3" spans="1:7" s="83" customFormat="1" ht="28.8" x14ac:dyDescent="0.3">
      <c r="A3" s="193">
        <v>2</v>
      </c>
      <c r="B3" s="31" t="s">
        <v>1984</v>
      </c>
      <c r="C3" s="193" t="s">
        <v>342</v>
      </c>
      <c r="D3" s="193" t="s">
        <v>13</v>
      </c>
      <c r="E3" s="193" t="s">
        <v>688</v>
      </c>
      <c r="F3" s="199">
        <v>260529300270</v>
      </c>
      <c r="G3" s="212" t="s">
        <v>40</v>
      </c>
    </row>
    <row r="4" spans="1:7" s="83" customFormat="1" x14ac:dyDescent="0.3">
      <c r="A4" s="193">
        <v>3</v>
      </c>
      <c r="B4" s="31" t="s">
        <v>1985</v>
      </c>
      <c r="C4" s="193" t="s">
        <v>342</v>
      </c>
      <c r="D4" s="193" t="s">
        <v>13</v>
      </c>
      <c r="E4" s="193" t="s">
        <v>688</v>
      </c>
      <c r="F4" s="199">
        <v>262719101300</v>
      </c>
      <c r="G4" s="212" t="s">
        <v>6</v>
      </c>
    </row>
    <row r="5" spans="1:7" x14ac:dyDescent="0.3">
      <c r="A5" s="193">
        <v>11</v>
      </c>
      <c r="B5" s="31" t="s">
        <v>1367</v>
      </c>
      <c r="C5" s="193" t="s">
        <v>342</v>
      </c>
      <c r="D5" s="193" t="s">
        <v>13</v>
      </c>
      <c r="E5" s="193" t="s">
        <v>688</v>
      </c>
      <c r="F5" s="199">
        <v>260519900940</v>
      </c>
      <c r="G5" s="197" t="s">
        <v>21</v>
      </c>
    </row>
    <row r="6" spans="1:7" x14ac:dyDescent="0.3">
      <c r="A6" s="193">
        <v>12</v>
      </c>
      <c r="B6" s="31" t="s">
        <v>1368</v>
      </c>
      <c r="C6" s="193" t="s">
        <v>342</v>
      </c>
      <c r="D6" s="193" t="s">
        <v>13</v>
      </c>
      <c r="E6" s="193" t="s">
        <v>688</v>
      </c>
      <c r="F6" s="199">
        <v>260519900960</v>
      </c>
      <c r="G6" s="31" t="s">
        <v>21</v>
      </c>
    </row>
    <row r="7" spans="1:7" ht="28.8" x14ac:dyDescent="0.3">
      <c r="A7" s="193">
        <v>13</v>
      </c>
      <c r="B7" s="31" t="s">
        <v>1369</v>
      </c>
      <c r="C7" s="193" t="s">
        <v>342</v>
      </c>
      <c r="D7" s="193" t="s">
        <v>13</v>
      </c>
      <c r="E7" s="193" t="s">
        <v>688</v>
      </c>
      <c r="F7" s="199">
        <v>260533132500</v>
      </c>
      <c r="G7" s="193" t="s">
        <v>6</v>
      </c>
    </row>
    <row r="8" spans="1:7" ht="28.8" x14ac:dyDescent="0.3">
      <c r="A8" s="193">
        <v>14</v>
      </c>
      <c r="B8" s="31" t="s">
        <v>1370</v>
      </c>
      <c r="C8" s="193" t="s">
        <v>342</v>
      </c>
      <c r="D8" s="193" t="s">
        <v>13</v>
      </c>
      <c r="E8" s="193" t="s">
        <v>688</v>
      </c>
      <c r="F8" s="199">
        <v>260533160950</v>
      </c>
      <c r="G8" s="31" t="s">
        <v>40</v>
      </c>
    </row>
    <row r="9" spans="1:7" x14ac:dyDescent="0.3">
      <c r="A9" s="193">
        <v>15</v>
      </c>
      <c r="B9" s="31" t="s">
        <v>1371</v>
      </c>
      <c r="C9" s="193" t="s">
        <v>342</v>
      </c>
      <c r="D9" s="193" t="s">
        <v>13</v>
      </c>
      <c r="E9" s="193" t="s">
        <v>688</v>
      </c>
      <c r="F9" s="199">
        <v>260533161000</v>
      </c>
      <c r="G9" s="31" t="s">
        <v>40</v>
      </c>
    </row>
    <row r="10" spans="1:7" ht="43.2" x14ac:dyDescent="0.3">
      <c r="A10" s="193">
        <v>20</v>
      </c>
      <c r="B10" s="31" t="s">
        <v>1988</v>
      </c>
      <c r="C10" s="193" t="s">
        <v>342</v>
      </c>
      <c r="D10" s="193" t="s">
        <v>13</v>
      </c>
      <c r="E10" s="193" t="s">
        <v>688</v>
      </c>
      <c r="F10" s="199">
        <v>265113501501</v>
      </c>
      <c r="G10" s="31" t="s">
        <v>40</v>
      </c>
    </row>
    <row r="11" spans="1:7" ht="43.2" x14ac:dyDescent="0.3">
      <c r="A11" s="193">
        <v>21</v>
      </c>
      <c r="B11" s="31" t="s">
        <v>1989</v>
      </c>
      <c r="C11" s="193" t="s">
        <v>342</v>
      </c>
      <c r="D11" s="193" t="s">
        <v>13</v>
      </c>
      <c r="E11" s="193" t="s">
        <v>688</v>
      </c>
      <c r="F11" s="199">
        <v>265113501501</v>
      </c>
      <c r="G11" s="31" t="s">
        <v>40</v>
      </c>
    </row>
    <row r="12" spans="1:7" ht="28.8" x14ac:dyDescent="0.3">
      <c r="A12" s="193">
        <v>22</v>
      </c>
      <c r="B12" s="31" t="s">
        <v>1990</v>
      </c>
      <c r="C12" s="193" t="s">
        <v>342</v>
      </c>
      <c r="D12" s="193" t="s">
        <v>13</v>
      </c>
      <c r="E12" s="193" t="s">
        <v>688</v>
      </c>
      <c r="F12" s="199">
        <v>265113502954</v>
      </c>
      <c r="G12" s="31" t="s">
        <v>40</v>
      </c>
    </row>
    <row r="13" spans="1:7" ht="43.2" x14ac:dyDescent="0.3">
      <c r="A13" s="193">
        <v>23</v>
      </c>
      <c r="B13" s="31" t="s">
        <v>1991</v>
      </c>
      <c r="C13" s="193" t="s">
        <v>342</v>
      </c>
      <c r="D13" s="193" t="s">
        <v>13</v>
      </c>
      <c r="E13" s="193" t="s">
        <v>688</v>
      </c>
      <c r="F13" s="199">
        <v>265113502954</v>
      </c>
      <c r="G13" s="31" t="s">
        <v>40</v>
      </c>
    </row>
    <row r="14" spans="1:7" ht="57.6" x14ac:dyDescent="0.3">
      <c r="A14" s="193">
        <v>26</v>
      </c>
      <c r="B14" s="31" t="s">
        <v>1372</v>
      </c>
      <c r="C14" s="193" t="s">
        <v>342</v>
      </c>
      <c r="D14" s="193" t="s">
        <v>13</v>
      </c>
      <c r="E14" s="193" t="s">
        <v>688</v>
      </c>
      <c r="F14" s="199">
        <v>265113500960</v>
      </c>
      <c r="G14" s="31" t="s">
        <v>40</v>
      </c>
    </row>
    <row r="15" spans="1:7" ht="28.8" x14ac:dyDescent="0.3">
      <c r="A15" s="193">
        <v>27</v>
      </c>
      <c r="B15" s="31" t="s">
        <v>1373</v>
      </c>
      <c r="C15" s="193" t="s">
        <v>342</v>
      </c>
      <c r="D15" s="193" t="s">
        <v>13</v>
      </c>
      <c r="E15" s="193" t="s">
        <v>688</v>
      </c>
      <c r="F15" s="199">
        <v>265113502950</v>
      </c>
      <c r="G15" s="31" t="s">
        <v>40</v>
      </c>
    </row>
    <row r="16" spans="1:7" ht="57.6" x14ac:dyDescent="0.3">
      <c r="A16" s="193">
        <f t="shared" ref="A16:A43" si="0">A15+1</f>
        <v>28</v>
      </c>
      <c r="B16" s="31" t="s">
        <v>1398</v>
      </c>
      <c r="C16" s="193" t="s">
        <v>342</v>
      </c>
      <c r="D16" s="193" t="s">
        <v>13</v>
      </c>
      <c r="E16" s="193" t="s">
        <v>688</v>
      </c>
      <c r="F16" s="199">
        <v>265113500910</v>
      </c>
      <c r="G16" s="31" t="s">
        <v>40</v>
      </c>
    </row>
    <row r="17" spans="1:7" ht="57.6" x14ac:dyDescent="0.3">
      <c r="A17" s="193">
        <f t="shared" si="0"/>
        <v>29</v>
      </c>
      <c r="B17" s="31" t="s">
        <v>1399</v>
      </c>
      <c r="C17" s="193" t="s">
        <v>342</v>
      </c>
      <c r="D17" s="193" t="s">
        <v>13</v>
      </c>
      <c r="E17" s="193" t="s">
        <v>688</v>
      </c>
      <c r="F17" s="199">
        <v>265113500930</v>
      </c>
      <c r="G17" s="31" t="s">
        <v>40</v>
      </c>
    </row>
    <row r="18" spans="1:7" ht="57.6" x14ac:dyDescent="0.3">
      <c r="A18" s="193">
        <f t="shared" si="0"/>
        <v>30</v>
      </c>
      <c r="B18" s="31" t="s">
        <v>1400</v>
      </c>
      <c r="C18" s="193" t="s">
        <v>342</v>
      </c>
      <c r="D18" s="193" t="s">
        <v>13</v>
      </c>
      <c r="E18" s="193" t="s">
        <v>688</v>
      </c>
      <c r="F18" s="199">
        <v>265113500940</v>
      </c>
      <c r="G18" s="31" t="s">
        <v>40</v>
      </c>
    </row>
    <row r="19" spans="1:7" ht="57.6" x14ac:dyDescent="0.3">
      <c r="A19" s="193">
        <f t="shared" si="0"/>
        <v>31</v>
      </c>
      <c r="B19" s="31" t="s">
        <v>1401</v>
      </c>
      <c r="C19" s="193" t="s">
        <v>342</v>
      </c>
      <c r="D19" s="193" t="s">
        <v>13</v>
      </c>
      <c r="E19" s="193" t="s">
        <v>688</v>
      </c>
      <c r="F19" s="199">
        <v>265113500950</v>
      </c>
      <c r="G19" s="31" t="s">
        <v>40</v>
      </c>
    </row>
    <row r="20" spans="1:7" ht="57.6" x14ac:dyDescent="0.3">
      <c r="A20" s="193">
        <f t="shared" si="0"/>
        <v>32</v>
      </c>
      <c r="B20" s="31" t="s">
        <v>1402</v>
      </c>
      <c r="C20" s="193" t="s">
        <v>342</v>
      </c>
      <c r="D20" s="193" t="s">
        <v>13</v>
      </c>
      <c r="E20" s="193" t="s">
        <v>688</v>
      </c>
      <c r="F20" s="199">
        <v>265113500960</v>
      </c>
      <c r="G20" s="31" t="s">
        <v>40</v>
      </c>
    </row>
    <row r="21" spans="1:7" ht="57.6" x14ac:dyDescent="0.3">
      <c r="A21" s="193">
        <f t="shared" si="0"/>
        <v>33</v>
      </c>
      <c r="B21" s="31" t="s">
        <v>1403</v>
      </c>
      <c r="C21" s="193" t="s">
        <v>342</v>
      </c>
      <c r="D21" s="193" t="s">
        <v>13</v>
      </c>
      <c r="E21" s="193" t="s">
        <v>688</v>
      </c>
      <c r="F21" s="199">
        <v>265113502310</v>
      </c>
      <c r="G21" s="31" t="s">
        <v>40</v>
      </c>
    </row>
    <row r="22" spans="1:7" ht="57.6" x14ac:dyDescent="0.3">
      <c r="A22" s="193">
        <f t="shared" si="0"/>
        <v>34</v>
      </c>
      <c r="B22" s="31" t="s">
        <v>1404</v>
      </c>
      <c r="C22" s="193" t="s">
        <v>342</v>
      </c>
      <c r="D22" s="193" t="s">
        <v>13</v>
      </c>
      <c r="E22" s="193" t="s">
        <v>688</v>
      </c>
      <c r="F22" s="199">
        <v>265113502580</v>
      </c>
      <c r="G22" s="31" t="s">
        <v>40</v>
      </c>
    </row>
    <row r="23" spans="1:7" ht="57.6" x14ac:dyDescent="0.3">
      <c r="A23" s="193">
        <f t="shared" si="0"/>
        <v>35</v>
      </c>
      <c r="B23" s="31" t="s">
        <v>1405</v>
      </c>
      <c r="C23" s="193" t="s">
        <v>342</v>
      </c>
      <c r="D23" s="193" t="s">
        <v>13</v>
      </c>
      <c r="E23" s="193" t="s">
        <v>688</v>
      </c>
      <c r="F23" s="199">
        <v>265113502590</v>
      </c>
      <c r="G23" s="31" t="s">
        <v>40</v>
      </c>
    </row>
    <row r="24" spans="1:7" ht="57.6" x14ac:dyDescent="0.3">
      <c r="A24" s="193">
        <f t="shared" si="0"/>
        <v>36</v>
      </c>
      <c r="B24" s="31" t="s">
        <v>1406</v>
      </c>
      <c r="C24" s="193" t="s">
        <v>342</v>
      </c>
      <c r="D24" s="193" t="s">
        <v>13</v>
      </c>
      <c r="E24" s="193" t="s">
        <v>688</v>
      </c>
      <c r="F24" s="199">
        <v>265113502810</v>
      </c>
      <c r="G24" s="31" t="s">
        <v>40</v>
      </c>
    </row>
    <row r="25" spans="1:7" ht="57.6" x14ac:dyDescent="0.3">
      <c r="A25" s="193">
        <f t="shared" si="0"/>
        <v>37</v>
      </c>
      <c r="B25" s="31" t="s">
        <v>1407</v>
      </c>
      <c r="C25" s="193" t="s">
        <v>342</v>
      </c>
      <c r="D25" s="193" t="s">
        <v>13</v>
      </c>
      <c r="E25" s="193" t="s">
        <v>688</v>
      </c>
      <c r="F25" s="199">
        <v>265113502930</v>
      </c>
      <c r="G25" s="31" t="s">
        <v>40</v>
      </c>
    </row>
    <row r="26" spans="1:7" ht="57.6" x14ac:dyDescent="0.3">
      <c r="A26" s="193">
        <f t="shared" si="0"/>
        <v>38</v>
      </c>
      <c r="B26" s="31" t="s">
        <v>1408</v>
      </c>
      <c r="C26" s="193" t="s">
        <v>342</v>
      </c>
      <c r="D26" s="193" t="s">
        <v>13</v>
      </c>
      <c r="E26" s="193" t="s">
        <v>688</v>
      </c>
      <c r="F26" s="199">
        <v>265113502950</v>
      </c>
      <c r="G26" s="31" t="s">
        <v>40</v>
      </c>
    </row>
    <row r="27" spans="1:7" ht="57.6" x14ac:dyDescent="0.3">
      <c r="A27" s="193">
        <f t="shared" si="0"/>
        <v>39</v>
      </c>
      <c r="B27" s="31" t="s">
        <v>1409</v>
      </c>
      <c r="C27" s="193" t="s">
        <v>342</v>
      </c>
      <c r="D27" s="193" t="s">
        <v>13</v>
      </c>
      <c r="E27" s="193" t="s">
        <v>688</v>
      </c>
      <c r="F27" s="199">
        <v>265113502952</v>
      </c>
      <c r="G27" s="31" t="s">
        <v>40</v>
      </c>
    </row>
    <row r="28" spans="1:7" ht="57.6" x14ac:dyDescent="0.3">
      <c r="A28" s="193">
        <f t="shared" si="0"/>
        <v>40</v>
      </c>
      <c r="B28" s="31" t="s">
        <v>1410</v>
      </c>
      <c r="C28" s="193" t="s">
        <v>342</v>
      </c>
      <c r="D28" s="193" t="s">
        <v>13</v>
      </c>
      <c r="E28" s="193" t="s">
        <v>688</v>
      </c>
      <c r="F28" s="199">
        <v>265113502954</v>
      </c>
      <c r="G28" s="31" t="s">
        <v>40</v>
      </c>
    </row>
    <row r="29" spans="1:7" ht="72" x14ac:dyDescent="0.3">
      <c r="A29" s="193">
        <f t="shared" si="0"/>
        <v>41</v>
      </c>
      <c r="B29" s="31" t="s">
        <v>1411</v>
      </c>
      <c r="C29" s="193" t="s">
        <v>342</v>
      </c>
      <c r="D29" s="193" t="s">
        <v>13</v>
      </c>
      <c r="E29" s="193" t="s">
        <v>688</v>
      </c>
      <c r="F29" s="199">
        <v>265113503110</v>
      </c>
      <c r="G29" s="31" t="s">
        <v>40</v>
      </c>
    </row>
    <row r="30" spans="1:7" ht="72" x14ac:dyDescent="0.3">
      <c r="A30" s="193">
        <f t="shared" si="0"/>
        <v>42</v>
      </c>
      <c r="B30" s="31" t="s">
        <v>1412</v>
      </c>
      <c r="C30" s="193" t="s">
        <v>342</v>
      </c>
      <c r="D30" s="193" t="s">
        <v>13</v>
      </c>
      <c r="E30" s="193" t="s">
        <v>688</v>
      </c>
      <c r="F30" s="199">
        <v>265113503290</v>
      </c>
      <c r="G30" s="31" t="s">
        <v>40</v>
      </c>
    </row>
    <row r="31" spans="1:7" ht="57.6" x14ac:dyDescent="0.3">
      <c r="A31" s="193">
        <f t="shared" si="0"/>
        <v>43</v>
      </c>
      <c r="B31" s="31" t="s">
        <v>1413</v>
      </c>
      <c r="C31" s="193" t="s">
        <v>342</v>
      </c>
      <c r="D31" s="193" t="s">
        <v>13</v>
      </c>
      <c r="E31" s="193" t="s">
        <v>688</v>
      </c>
      <c r="F31" s="199">
        <v>265113503470</v>
      </c>
      <c r="G31" s="31" t="s">
        <v>40</v>
      </c>
    </row>
    <row r="32" spans="1:7" ht="57.6" x14ac:dyDescent="0.3">
      <c r="A32" s="193">
        <f t="shared" si="0"/>
        <v>44</v>
      </c>
      <c r="B32" s="31" t="s">
        <v>1414</v>
      </c>
      <c r="C32" s="193" t="s">
        <v>342</v>
      </c>
      <c r="D32" s="193" t="s">
        <v>13</v>
      </c>
      <c r="E32" s="193" t="s">
        <v>688</v>
      </c>
      <c r="F32" s="199">
        <v>265113503490</v>
      </c>
      <c r="G32" s="31" t="s">
        <v>40</v>
      </c>
    </row>
    <row r="33" spans="1:7" ht="57.6" x14ac:dyDescent="0.3">
      <c r="A33" s="193">
        <f t="shared" si="0"/>
        <v>45</v>
      </c>
      <c r="B33" s="31" t="s">
        <v>1415</v>
      </c>
      <c r="C33" s="193" t="s">
        <v>342</v>
      </c>
      <c r="D33" s="193" t="s">
        <v>13</v>
      </c>
      <c r="E33" s="193" t="s">
        <v>688</v>
      </c>
      <c r="F33" s="199">
        <v>265113503502</v>
      </c>
      <c r="G33" s="31" t="s">
        <v>40</v>
      </c>
    </row>
    <row r="34" spans="1:7" ht="57.6" x14ac:dyDescent="0.3">
      <c r="A34" s="193">
        <f t="shared" si="0"/>
        <v>46</v>
      </c>
      <c r="B34" s="31" t="s">
        <v>1416</v>
      </c>
      <c r="C34" s="193" t="s">
        <v>342</v>
      </c>
      <c r="D34" s="193" t="s">
        <v>13</v>
      </c>
      <c r="E34" s="193" t="s">
        <v>688</v>
      </c>
      <c r="F34" s="199">
        <v>265113503510</v>
      </c>
      <c r="G34" s="31" t="s">
        <v>40</v>
      </c>
    </row>
    <row r="35" spans="1:7" ht="57.6" x14ac:dyDescent="0.3">
      <c r="A35" s="193">
        <f t="shared" si="0"/>
        <v>47</v>
      </c>
      <c r="B35" s="31" t="s">
        <v>1417</v>
      </c>
      <c r="C35" s="193" t="s">
        <v>342</v>
      </c>
      <c r="D35" s="193" t="s">
        <v>13</v>
      </c>
      <c r="E35" s="193" t="s">
        <v>688</v>
      </c>
      <c r="F35" s="199">
        <v>265113503520</v>
      </c>
      <c r="G35" s="31" t="s">
        <v>40</v>
      </c>
    </row>
    <row r="36" spans="1:7" ht="57.6" x14ac:dyDescent="0.3">
      <c r="A36" s="193">
        <f t="shared" si="0"/>
        <v>48</v>
      </c>
      <c r="B36" s="31" t="s">
        <v>1418</v>
      </c>
      <c r="C36" s="193" t="s">
        <v>342</v>
      </c>
      <c r="D36" s="193" t="s">
        <v>13</v>
      </c>
      <c r="E36" s="193" t="s">
        <v>688</v>
      </c>
      <c r="F36" s="199">
        <v>265113503525</v>
      </c>
      <c r="G36" s="31" t="s">
        <v>40</v>
      </c>
    </row>
    <row r="37" spans="1:7" ht="57.6" x14ac:dyDescent="0.3">
      <c r="A37" s="193">
        <f t="shared" si="0"/>
        <v>49</v>
      </c>
      <c r="B37" s="31" t="s">
        <v>1419</v>
      </c>
      <c r="C37" s="193" t="s">
        <v>342</v>
      </c>
      <c r="D37" s="193" t="s">
        <v>13</v>
      </c>
      <c r="E37" s="193" t="s">
        <v>688</v>
      </c>
      <c r="F37" s="199">
        <v>265113503530</v>
      </c>
      <c r="G37" s="31" t="s">
        <v>40</v>
      </c>
    </row>
    <row r="38" spans="1:7" ht="57.6" x14ac:dyDescent="0.3">
      <c r="A38" s="193">
        <f t="shared" si="0"/>
        <v>50</v>
      </c>
      <c r="B38" s="31" t="s">
        <v>1420</v>
      </c>
      <c r="C38" s="193" t="s">
        <v>342</v>
      </c>
      <c r="D38" s="193" t="s">
        <v>13</v>
      </c>
      <c r="E38" s="193" t="s">
        <v>688</v>
      </c>
      <c r="F38" s="199">
        <v>265113503535</v>
      </c>
      <c r="G38" s="31" t="s">
        <v>40</v>
      </c>
    </row>
    <row r="39" spans="1:7" ht="43.2" x14ac:dyDescent="0.3">
      <c r="A39" s="193">
        <f t="shared" si="0"/>
        <v>51</v>
      </c>
      <c r="B39" s="31" t="s">
        <v>1421</v>
      </c>
      <c r="C39" s="193" t="s">
        <v>342</v>
      </c>
      <c r="D39" s="193" t="s">
        <v>13</v>
      </c>
      <c r="E39" s="193" t="s">
        <v>688</v>
      </c>
      <c r="F39" s="199">
        <v>265113503540</v>
      </c>
      <c r="G39" s="31" t="s">
        <v>40</v>
      </c>
    </row>
    <row r="40" spans="1:7" ht="57.6" x14ac:dyDescent="0.3">
      <c r="A40" s="193">
        <f t="shared" si="0"/>
        <v>52</v>
      </c>
      <c r="B40" s="31" t="s">
        <v>1422</v>
      </c>
      <c r="C40" s="193" t="s">
        <v>342</v>
      </c>
      <c r="D40" s="193" t="s">
        <v>13</v>
      </c>
      <c r="E40" s="193" t="s">
        <v>688</v>
      </c>
      <c r="F40" s="199">
        <v>265113503550</v>
      </c>
      <c r="G40" s="31" t="s">
        <v>40</v>
      </c>
    </row>
    <row r="41" spans="1:7" ht="57.6" x14ac:dyDescent="0.3">
      <c r="A41" s="193">
        <f t="shared" si="0"/>
        <v>53</v>
      </c>
      <c r="B41" s="31" t="s">
        <v>1423</v>
      </c>
      <c r="C41" s="193" t="s">
        <v>342</v>
      </c>
      <c r="D41" s="193" t="s">
        <v>13</v>
      </c>
      <c r="E41" s="193" t="s">
        <v>688</v>
      </c>
      <c r="F41" s="199">
        <v>265113503560</v>
      </c>
      <c r="G41" s="31" t="s">
        <v>40</v>
      </c>
    </row>
    <row r="42" spans="1:7" ht="57.6" x14ac:dyDescent="0.3">
      <c r="A42" s="193">
        <f t="shared" si="0"/>
        <v>54</v>
      </c>
      <c r="B42" s="31" t="s">
        <v>1424</v>
      </c>
      <c r="C42" s="193" t="s">
        <v>342</v>
      </c>
      <c r="D42" s="193" t="s">
        <v>13</v>
      </c>
      <c r="E42" s="193" t="s">
        <v>688</v>
      </c>
      <c r="F42" s="199">
        <v>265113503565</v>
      </c>
      <c r="G42" s="31" t="s">
        <v>40</v>
      </c>
    </row>
    <row r="43" spans="1:7" ht="57.6" x14ac:dyDescent="0.3">
      <c r="A43" s="193">
        <f t="shared" si="0"/>
        <v>55</v>
      </c>
      <c r="B43" s="31" t="s">
        <v>1425</v>
      </c>
      <c r="C43" s="193" t="s">
        <v>342</v>
      </c>
      <c r="D43" s="193" t="s">
        <v>13</v>
      </c>
      <c r="E43" s="193" t="s">
        <v>688</v>
      </c>
      <c r="F43" s="199">
        <v>265113503570</v>
      </c>
      <c r="G43" s="31" t="s">
        <v>40</v>
      </c>
    </row>
    <row r="44" spans="1:7" ht="43.2" x14ac:dyDescent="0.3">
      <c r="A44" s="193">
        <v>60</v>
      </c>
      <c r="B44" s="31" t="s">
        <v>1374</v>
      </c>
      <c r="C44" s="193" t="s">
        <v>342</v>
      </c>
      <c r="D44" s="193" t="s">
        <v>13</v>
      </c>
      <c r="E44" s="193" t="s">
        <v>688</v>
      </c>
      <c r="F44" s="199">
        <v>265113504300</v>
      </c>
      <c r="G44" s="31" t="s">
        <v>40</v>
      </c>
    </row>
    <row r="45" spans="1:7" ht="43.2" x14ac:dyDescent="0.3">
      <c r="A45" s="193">
        <f>A44+1</f>
        <v>61</v>
      </c>
      <c r="B45" s="31" t="s">
        <v>1995</v>
      </c>
      <c r="C45" s="193" t="s">
        <v>342</v>
      </c>
      <c r="D45" s="193" t="s">
        <v>13</v>
      </c>
      <c r="E45" s="193" t="s">
        <v>688</v>
      </c>
      <c r="F45" s="199">
        <v>265113504320</v>
      </c>
      <c r="G45" s="31" t="s">
        <v>40</v>
      </c>
    </row>
    <row r="46" spans="1:7" ht="43.2" x14ac:dyDescent="0.3">
      <c r="A46" s="193">
        <f t="shared" ref="A46:A61" si="1">A45+1</f>
        <v>62</v>
      </c>
      <c r="B46" s="31" t="s">
        <v>1994</v>
      </c>
      <c r="C46" s="193" t="s">
        <v>342</v>
      </c>
      <c r="D46" s="193" t="s">
        <v>13</v>
      </c>
      <c r="E46" s="193" t="s">
        <v>688</v>
      </c>
      <c r="F46" s="199">
        <v>265113504290</v>
      </c>
      <c r="G46" s="31" t="s">
        <v>40</v>
      </c>
    </row>
    <row r="47" spans="1:7" ht="43.2" x14ac:dyDescent="0.3">
      <c r="A47" s="193">
        <f t="shared" si="1"/>
        <v>63</v>
      </c>
      <c r="B47" s="31" t="s">
        <v>1996</v>
      </c>
      <c r="C47" s="193" t="s">
        <v>342</v>
      </c>
      <c r="D47" s="193" t="s">
        <v>13</v>
      </c>
      <c r="E47" s="193" t="s">
        <v>688</v>
      </c>
      <c r="F47" s="199">
        <v>265113504330</v>
      </c>
      <c r="G47" s="31" t="s">
        <v>40</v>
      </c>
    </row>
    <row r="48" spans="1:7" ht="43.2" x14ac:dyDescent="0.3">
      <c r="A48" s="193">
        <f t="shared" si="1"/>
        <v>64</v>
      </c>
      <c r="B48" s="31" t="s">
        <v>1393</v>
      </c>
      <c r="C48" s="193" t="s">
        <v>342</v>
      </c>
      <c r="D48" s="193" t="s">
        <v>13</v>
      </c>
      <c r="E48" s="193" t="s">
        <v>688</v>
      </c>
      <c r="F48" s="199">
        <v>265113401580</v>
      </c>
      <c r="G48" s="31" t="s">
        <v>40</v>
      </c>
    </row>
    <row r="49" spans="1:7" ht="43.2" x14ac:dyDescent="0.3">
      <c r="A49" s="193">
        <f t="shared" si="1"/>
        <v>65</v>
      </c>
      <c r="B49" s="31" t="s">
        <v>1394</v>
      </c>
      <c r="C49" s="193" t="s">
        <v>342</v>
      </c>
      <c r="D49" s="193" t="s">
        <v>13</v>
      </c>
      <c r="E49" s="193" t="s">
        <v>688</v>
      </c>
      <c r="F49" s="199">
        <v>265113401720</v>
      </c>
      <c r="G49" s="31" t="s">
        <v>40</v>
      </c>
    </row>
    <row r="50" spans="1:7" ht="43.2" x14ac:dyDescent="0.3">
      <c r="A50" s="193">
        <f t="shared" si="1"/>
        <v>66</v>
      </c>
      <c r="B50" s="31" t="s">
        <v>1395</v>
      </c>
      <c r="C50" s="193" t="s">
        <v>342</v>
      </c>
      <c r="D50" s="193" t="s">
        <v>13</v>
      </c>
      <c r="E50" s="193" t="s">
        <v>688</v>
      </c>
      <c r="F50" s="199">
        <v>265113401880</v>
      </c>
      <c r="G50" s="31" t="s">
        <v>40</v>
      </c>
    </row>
    <row r="51" spans="1:7" ht="43.2" x14ac:dyDescent="0.3">
      <c r="A51" s="193">
        <f t="shared" si="1"/>
        <v>67</v>
      </c>
      <c r="B51" s="31" t="s">
        <v>1396</v>
      </c>
      <c r="C51" s="193" t="s">
        <v>342</v>
      </c>
      <c r="D51" s="193" t="s">
        <v>13</v>
      </c>
      <c r="E51" s="193" t="s">
        <v>688</v>
      </c>
      <c r="F51" s="199">
        <v>265113401900</v>
      </c>
      <c r="G51" s="31" t="s">
        <v>40</v>
      </c>
    </row>
    <row r="52" spans="1:7" ht="43.2" x14ac:dyDescent="0.3">
      <c r="A52" s="193">
        <f t="shared" si="1"/>
        <v>68</v>
      </c>
      <c r="B52" s="31" t="s">
        <v>1397</v>
      </c>
      <c r="C52" s="193" t="s">
        <v>342</v>
      </c>
      <c r="D52" s="193" t="s">
        <v>13</v>
      </c>
      <c r="E52" s="193" t="s">
        <v>688</v>
      </c>
      <c r="F52" s="199">
        <v>265113401920</v>
      </c>
      <c r="G52" s="31" t="s">
        <v>40</v>
      </c>
    </row>
    <row r="53" spans="1:7" ht="72" x14ac:dyDescent="0.3">
      <c r="A53" s="193">
        <f t="shared" si="1"/>
        <v>69</v>
      </c>
      <c r="B53" s="31" t="s">
        <v>1426</v>
      </c>
      <c r="C53" s="193" t="s">
        <v>342</v>
      </c>
      <c r="D53" s="193" t="s">
        <v>13</v>
      </c>
      <c r="E53" s="193" t="s">
        <v>688</v>
      </c>
      <c r="F53" s="199">
        <v>265113504240</v>
      </c>
      <c r="G53" s="31" t="s">
        <v>40</v>
      </c>
    </row>
    <row r="54" spans="1:7" ht="72" x14ac:dyDescent="0.3">
      <c r="A54" s="193">
        <f t="shared" si="1"/>
        <v>70</v>
      </c>
      <c r="B54" s="31" t="s">
        <v>1427</v>
      </c>
      <c r="C54" s="193" t="s">
        <v>342</v>
      </c>
      <c r="D54" s="193" t="s">
        <v>13</v>
      </c>
      <c r="E54" s="193" t="s">
        <v>688</v>
      </c>
      <c r="F54" s="199">
        <v>265113504250</v>
      </c>
      <c r="G54" s="31" t="s">
        <v>40</v>
      </c>
    </row>
    <row r="55" spans="1:7" ht="72" x14ac:dyDescent="0.3">
      <c r="A55" s="193">
        <f t="shared" si="1"/>
        <v>71</v>
      </c>
      <c r="B55" s="31" t="s">
        <v>1428</v>
      </c>
      <c r="C55" s="193" t="s">
        <v>342</v>
      </c>
      <c r="D55" s="193" t="s">
        <v>13</v>
      </c>
      <c r="E55" s="193" t="s">
        <v>688</v>
      </c>
      <c r="F55" s="199">
        <v>265113504260</v>
      </c>
      <c r="G55" s="31" t="s">
        <v>40</v>
      </c>
    </row>
    <row r="56" spans="1:7" ht="72" x14ac:dyDescent="0.3">
      <c r="A56" s="193">
        <f t="shared" si="1"/>
        <v>72</v>
      </c>
      <c r="B56" s="31" t="s">
        <v>1429</v>
      </c>
      <c r="C56" s="193" t="s">
        <v>342</v>
      </c>
      <c r="D56" s="193" t="s">
        <v>13</v>
      </c>
      <c r="E56" s="193" t="s">
        <v>688</v>
      </c>
      <c r="F56" s="199">
        <v>265113504270</v>
      </c>
      <c r="G56" s="31" t="s">
        <v>40</v>
      </c>
    </row>
    <row r="57" spans="1:7" ht="72" x14ac:dyDescent="0.3">
      <c r="A57" s="193">
        <f t="shared" si="1"/>
        <v>73</v>
      </c>
      <c r="B57" s="31" t="s">
        <v>1430</v>
      </c>
      <c r="C57" s="193" t="s">
        <v>342</v>
      </c>
      <c r="D57" s="193" t="s">
        <v>13</v>
      </c>
      <c r="E57" s="193" t="s">
        <v>688</v>
      </c>
      <c r="F57" s="199">
        <v>265113504290</v>
      </c>
      <c r="G57" s="31" t="s">
        <v>40</v>
      </c>
    </row>
    <row r="58" spans="1:7" ht="72" x14ac:dyDescent="0.3">
      <c r="A58" s="193">
        <f t="shared" si="1"/>
        <v>74</v>
      </c>
      <c r="B58" s="31" t="s">
        <v>1431</v>
      </c>
      <c r="C58" s="193" t="s">
        <v>342</v>
      </c>
      <c r="D58" s="193" t="s">
        <v>13</v>
      </c>
      <c r="E58" s="193" t="s">
        <v>688</v>
      </c>
      <c r="F58" s="199">
        <v>265113504300</v>
      </c>
      <c r="G58" s="31" t="s">
        <v>40</v>
      </c>
    </row>
    <row r="59" spans="1:7" ht="72" x14ac:dyDescent="0.3">
      <c r="A59" s="193">
        <f t="shared" si="1"/>
        <v>75</v>
      </c>
      <c r="B59" s="31" t="s">
        <v>1432</v>
      </c>
      <c r="C59" s="193" t="s">
        <v>342</v>
      </c>
      <c r="D59" s="193" t="s">
        <v>13</v>
      </c>
      <c r="E59" s="193" t="s">
        <v>688</v>
      </c>
      <c r="F59" s="199">
        <v>265113504310</v>
      </c>
      <c r="G59" s="31" t="s">
        <v>40</v>
      </c>
    </row>
    <row r="60" spans="1:7" ht="57.6" x14ac:dyDescent="0.3">
      <c r="A60" s="193">
        <f t="shared" si="1"/>
        <v>76</v>
      </c>
      <c r="B60" s="31" t="s">
        <v>1433</v>
      </c>
      <c r="C60" s="193" t="s">
        <v>342</v>
      </c>
      <c r="D60" s="193" t="s">
        <v>13</v>
      </c>
      <c r="E60" s="193" t="s">
        <v>688</v>
      </c>
      <c r="F60" s="199">
        <v>265113504320</v>
      </c>
      <c r="G60" s="31" t="s">
        <v>40</v>
      </c>
    </row>
    <row r="61" spans="1:7" ht="57.6" x14ac:dyDescent="0.3">
      <c r="A61" s="193">
        <f t="shared" si="1"/>
        <v>77</v>
      </c>
      <c r="B61" s="31" t="s">
        <v>1434</v>
      </c>
      <c r="C61" s="193" t="s">
        <v>342</v>
      </c>
      <c r="D61" s="193" t="s">
        <v>13</v>
      </c>
      <c r="E61" s="193" t="s">
        <v>688</v>
      </c>
      <c r="F61" s="199">
        <v>265113504330</v>
      </c>
      <c r="G61" s="31" t="s">
        <v>40</v>
      </c>
    </row>
    <row r="62" spans="1:7" ht="43.2" x14ac:dyDescent="0.3">
      <c r="A62" s="193">
        <v>80</v>
      </c>
      <c r="B62" s="31" t="s">
        <v>1375</v>
      </c>
      <c r="C62" s="193" t="s">
        <v>342</v>
      </c>
      <c r="D62" s="193" t="s">
        <v>13</v>
      </c>
      <c r="E62" s="193" t="s">
        <v>688</v>
      </c>
      <c r="F62" s="199">
        <v>265113400760</v>
      </c>
      <c r="G62" s="31" t="s">
        <v>40</v>
      </c>
    </row>
    <row r="63" spans="1:7" ht="43.2" x14ac:dyDescent="0.3">
      <c r="A63" s="193">
        <f>A62+1</f>
        <v>81</v>
      </c>
      <c r="B63" s="31" t="s">
        <v>1376</v>
      </c>
      <c r="C63" s="193" t="s">
        <v>342</v>
      </c>
      <c r="D63" s="193" t="s">
        <v>13</v>
      </c>
      <c r="E63" s="193" t="s">
        <v>688</v>
      </c>
      <c r="F63" s="199">
        <v>265113400780</v>
      </c>
      <c r="G63" s="31" t="s">
        <v>40</v>
      </c>
    </row>
    <row r="64" spans="1:7" ht="43.2" x14ac:dyDescent="0.3">
      <c r="A64" s="193">
        <f t="shared" ref="A64:A79" si="2">A63+1</f>
        <v>82</v>
      </c>
      <c r="B64" s="31" t="s">
        <v>1377</v>
      </c>
      <c r="C64" s="193" t="s">
        <v>342</v>
      </c>
      <c r="D64" s="193" t="s">
        <v>13</v>
      </c>
      <c r="E64" s="193" t="s">
        <v>688</v>
      </c>
      <c r="F64" s="199">
        <v>265113400820</v>
      </c>
      <c r="G64" s="31" t="s">
        <v>40</v>
      </c>
    </row>
    <row r="65" spans="1:7" ht="43.2" x14ac:dyDescent="0.3">
      <c r="A65" s="193">
        <f t="shared" si="2"/>
        <v>83</v>
      </c>
      <c r="B65" s="31" t="s">
        <v>1378</v>
      </c>
      <c r="C65" s="193" t="s">
        <v>342</v>
      </c>
      <c r="D65" s="193" t="s">
        <v>13</v>
      </c>
      <c r="E65" s="193" t="s">
        <v>688</v>
      </c>
      <c r="F65" s="199">
        <v>265113400840</v>
      </c>
      <c r="G65" s="31" t="s">
        <v>40</v>
      </c>
    </row>
    <row r="66" spans="1:7" ht="43.2" x14ac:dyDescent="0.3">
      <c r="A66" s="193">
        <f t="shared" si="2"/>
        <v>84</v>
      </c>
      <c r="B66" s="31" t="s">
        <v>1379</v>
      </c>
      <c r="C66" s="193" t="s">
        <v>342</v>
      </c>
      <c r="D66" s="193" t="s">
        <v>13</v>
      </c>
      <c r="E66" s="193" t="s">
        <v>688</v>
      </c>
      <c r="F66" s="199">
        <v>265113400920</v>
      </c>
      <c r="G66" s="31" t="s">
        <v>40</v>
      </c>
    </row>
    <row r="67" spans="1:7" ht="43.2" x14ac:dyDescent="0.3">
      <c r="A67" s="193">
        <f t="shared" si="2"/>
        <v>85</v>
      </c>
      <c r="B67" s="31" t="s">
        <v>1380</v>
      </c>
      <c r="C67" s="193" t="s">
        <v>342</v>
      </c>
      <c r="D67" s="193" t="s">
        <v>13</v>
      </c>
      <c r="E67" s="193" t="s">
        <v>688</v>
      </c>
      <c r="F67" s="199">
        <v>265113400940</v>
      </c>
      <c r="G67" s="31" t="s">
        <v>40</v>
      </c>
    </row>
    <row r="68" spans="1:7" ht="43.2" x14ac:dyDescent="0.3">
      <c r="A68" s="193">
        <f t="shared" si="2"/>
        <v>86</v>
      </c>
      <c r="B68" s="31" t="s">
        <v>1381</v>
      </c>
      <c r="C68" s="193" t="s">
        <v>342</v>
      </c>
      <c r="D68" s="193" t="s">
        <v>13</v>
      </c>
      <c r="E68" s="193" t="s">
        <v>688</v>
      </c>
      <c r="F68" s="199">
        <v>265113400980</v>
      </c>
      <c r="G68" s="31" t="s">
        <v>40</v>
      </c>
    </row>
    <row r="69" spans="1:7" ht="43.2" x14ac:dyDescent="0.3">
      <c r="A69" s="193">
        <f t="shared" si="2"/>
        <v>87</v>
      </c>
      <c r="B69" s="31" t="s">
        <v>1382</v>
      </c>
      <c r="C69" s="193" t="s">
        <v>342</v>
      </c>
      <c r="D69" s="193" t="s">
        <v>13</v>
      </c>
      <c r="E69" s="193" t="s">
        <v>688</v>
      </c>
      <c r="F69" s="199">
        <v>265113401100</v>
      </c>
      <c r="G69" s="31" t="s">
        <v>40</v>
      </c>
    </row>
    <row r="70" spans="1:7" ht="43.2" x14ac:dyDescent="0.3">
      <c r="A70" s="193">
        <f t="shared" si="2"/>
        <v>88</v>
      </c>
      <c r="B70" s="31" t="s">
        <v>1383</v>
      </c>
      <c r="C70" s="193" t="s">
        <v>342</v>
      </c>
      <c r="D70" s="193" t="s">
        <v>13</v>
      </c>
      <c r="E70" s="193" t="s">
        <v>688</v>
      </c>
      <c r="F70" s="199">
        <v>265113401120</v>
      </c>
      <c r="G70" s="31" t="s">
        <v>40</v>
      </c>
    </row>
    <row r="71" spans="1:7" ht="43.2" x14ac:dyDescent="0.3">
      <c r="A71" s="193">
        <f t="shared" si="2"/>
        <v>89</v>
      </c>
      <c r="B71" s="31" t="s">
        <v>1384</v>
      </c>
      <c r="C71" s="193" t="s">
        <v>342</v>
      </c>
      <c r="D71" s="193" t="s">
        <v>13</v>
      </c>
      <c r="E71" s="193" t="s">
        <v>688</v>
      </c>
      <c r="F71" s="199">
        <v>265113401140</v>
      </c>
      <c r="G71" s="31" t="s">
        <v>40</v>
      </c>
    </row>
    <row r="72" spans="1:7" ht="43.2" x14ac:dyDescent="0.3">
      <c r="A72" s="193">
        <f t="shared" si="2"/>
        <v>90</v>
      </c>
      <c r="B72" s="31" t="s">
        <v>1385</v>
      </c>
      <c r="C72" s="193" t="s">
        <v>342</v>
      </c>
      <c r="D72" s="193" t="s">
        <v>13</v>
      </c>
      <c r="E72" s="193" t="s">
        <v>688</v>
      </c>
      <c r="F72" s="199">
        <v>265113401160</v>
      </c>
      <c r="G72" s="31" t="s">
        <v>40</v>
      </c>
    </row>
    <row r="73" spans="1:7" ht="43.2" x14ac:dyDescent="0.3">
      <c r="A73" s="193">
        <f t="shared" si="2"/>
        <v>91</v>
      </c>
      <c r="B73" s="31" t="s">
        <v>1386</v>
      </c>
      <c r="C73" s="193" t="s">
        <v>342</v>
      </c>
      <c r="D73" s="193" t="s">
        <v>13</v>
      </c>
      <c r="E73" s="193" t="s">
        <v>688</v>
      </c>
      <c r="F73" s="199">
        <v>265113401180</v>
      </c>
      <c r="G73" s="31" t="s">
        <v>40</v>
      </c>
    </row>
    <row r="74" spans="1:7" ht="43.2" x14ac:dyDescent="0.3">
      <c r="A74" s="193">
        <f t="shared" si="2"/>
        <v>92</v>
      </c>
      <c r="B74" s="31" t="s">
        <v>1387</v>
      </c>
      <c r="C74" s="193" t="s">
        <v>342</v>
      </c>
      <c r="D74" s="193" t="s">
        <v>13</v>
      </c>
      <c r="E74" s="193" t="s">
        <v>688</v>
      </c>
      <c r="F74" s="199">
        <v>265113401300</v>
      </c>
      <c r="G74" s="31" t="s">
        <v>40</v>
      </c>
    </row>
    <row r="75" spans="1:7" ht="43.2" x14ac:dyDescent="0.3">
      <c r="A75" s="193">
        <f t="shared" si="2"/>
        <v>93</v>
      </c>
      <c r="B75" s="31" t="s">
        <v>1388</v>
      </c>
      <c r="C75" s="193" t="s">
        <v>342</v>
      </c>
      <c r="D75" s="193" t="s">
        <v>13</v>
      </c>
      <c r="E75" s="193" t="s">
        <v>688</v>
      </c>
      <c r="F75" s="199">
        <v>265113401320</v>
      </c>
      <c r="G75" s="31" t="s">
        <v>40</v>
      </c>
    </row>
    <row r="76" spans="1:7" ht="43.2" x14ac:dyDescent="0.3">
      <c r="A76" s="193">
        <f t="shared" si="2"/>
        <v>94</v>
      </c>
      <c r="B76" s="31" t="s">
        <v>1389</v>
      </c>
      <c r="C76" s="193" t="s">
        <v>342</v>
      </c>
      <c r="D76" s="193" t="s">
        <v>13</v>
      </c>
      <c r="E76" s="193" t="s">
        <v>688</v>
      </c>
      <c r="F76" s="199">
        <v>265113401340</v>
      </c>
      <c r="G76" s="31" t="s">
        <v>40</v>
      </c>
    </row>
    <row r="77" spans="1:7" ht="43.2" x14ac:dyDescent="0.3">
      <c r="A77" s="193">
        <f t="shared" si="2"/>
        <v>95</v>
      </c>
      <c r="B77" s="31" t="s">
        <v>1390</v>
      </c>
      <c r="C77" s="193" t="s">
        <v>342</v>
      </c>
      <c r="D77" s="193" t="s">
        <v>13</v>
      </c>
      <c r="E77" s="193" t="s">
        <v>688</v>
      </c>
      <c r="F77" s="199">
        <v>265113401360</v>
      </c>
      <c r="G77" s="31" t="s">
        <v>40</v>
      </c>
    </row>
    <row r="78" spans="1:7" ht="43.2" x14ac:dyDescent="0.3">
      <c r="A78" s="193">
        <f t="shared" si="2"/>
        <v>96</v>
      </c>
      <c r="B78" s="31" t="s">
        <v>1391</v>
      </c>
      <c r="C78" s="193" t="s">
        <v>342</v>
      </c>
      <c r="D78" s="193" t="s">
        <v>13</v>
      </c>
      <c r="E78" s="193" t="s">
        <v>688</v>
      </c>
      <c r="F78" s="199">
        <v>265113401380</v>
      </c>
      <c r="G78" s="31" t="s">
        <v>40</v>
      </c>
    </row>
    <row r="79" spans="1:7" ht="43.2" x14ac:dyDescent="0.3">
      <c r="A79" s="193">
        <f t="shared" si="2"/>
        <v>97</v>
      </c>
      <c r="B79" s="31" t="s">
        <v>1392</v>
      </c>
      <c r="C79" s="193" t="s">
        <v>342</v>
      </c>
      <c r="D79" s="193" t="s">
        <v>13</v>
      </c>
      <c r="E79" s="193" t="s">
        <v>688</v>
      </c>
      <c r="F79" s="199">
        <v>265113401400</v>
      </c>
      <c r="G79" s="31" t="s">
        <v>40</v>
      </c>
    </row>
    <row r="80" spans="1:7" ht="72" x14ac:dyDescent="0.3">
      <c r="A80" s="193">
        <f>A61+1</f>
        <v>78</v>
      </c>
      <c r="B80" s="31" t="s">
        <v>1435</v>
      </c>
      <c r="C80" s="193" t="s">
        <v>342</v>
      </c>
      <c r="D80" s="193" t="s">
        <v>13</v>
      </c>
      <c r="E80" s="193" t="s">
        <v>688</v>
      </c>
      <c r="F80" s="199">
        <v>265113504360</v>
      </c>
      <c r="G80" s="31" t="s">
        <v>40</v>
      </c>
    </row>
    <row r="81" spans="1:7" ht="72" x14ac:dyDescent="0.3">
      <c r="A81" s="193">
        <f t="shared" ref="A81:A86" si="3">A80+1</f>
        <v>79</v>
      </c>
      <c r="B81" s="31" t="s">
        <v>1436</v>
      </c>
      <c r="C81" s="193" t="s">
        <v>342</v>
      </c>
      <c r="D81" s="193" t="s">
        <v>13</v>
      </c>
      <c r="E81" s="193" t="s">
        <v>688</v>
      </c>
      <c r="F81" s="199">
        <v>265113504370</v>
      </c>
      <c r="G81" s="31" t="s">
        <v>40</v>
      </c>
    </row>
    <row r="82" spans="1:7" ht="72" x14ac:dyDescent="0.3">
      <c r="A82" s="193">
        <f t="shared" si="3"/>
        <v>80</v>
      </c>
      <c r="B82" s="31" t="s">
        <v>1437</v>
      </c>
      <c r="C82" s="193" t="s">
        <v>342</v>
      </c>
      <c r="D82" s="193" t="s">
        <v>13</v>
      </c>
      <c r="E82" s="193" t="s">
        <v>688</v>
      </c>
      <c r="F82" s="199">
        <v>265113504380</v>
      </c>
      <c r="G82" s="31" t="s">
        <v>40</v>
      </c>
    </row>
    <row r="83" spans="1:7" ht="72" x14ac:dyDescent="0.3">
      <c r="A83" s="193">
        <f t="shared" si="3"/>
        <v>81</v>
      </c>
      <c r="B83" s="31" t="s">
        <v>1438</v>
      </c>
      <c r="C83" s="193" t="s">
        <v>342</v>
      </c>
      <c r="D83" s="193" t="s">
        <v>13</v>
      </c>
      <c r="E83" s="193" t="s">
        <v>688</v>
      </c>
      <c r="F83" s="199">
        <v>265113504390</v>
      </c>
      <c r="G83" s="31" t="s">
        <v>40</v>
      </c>
    </row>
    <row r="84" spans="1:7" ht="72" x14ac:dyDescent="0.3">
      <c r="A84" s="193">
        <f t="shared" si="3"/>
        <v>82</v>
      </c>
      <c r="B84" s="31" t="s">
        <v>1439</v>
      </c>
      <c r="C84" s="193" t="s">
        <v>342</v>
      </c>
      <c r="D84" s="193" t="s">
        <v>13</v>
      </c>
      <c r="E84" s="193" t="s">
        <v>688</v>
      </c>
      <c r="F84" s="199">
        <v>265113504410</v>
      </c>
      <c r="G84" s="31" t="s">
        <v>40</v>
      </c>
    </row>
    <row r="85" spans="1:7" ht="72" x14ac:dyDescent="0.3">
      <c r="A85" s="193">
        <f t="shared" si="3"/>
        <v>83</v>
      </c>
      <c r="B85" s="31" t="s">
        <v>1440</v>
      </c>
      <c r="C85" s="193" t="s">
        <v>342</v>
      </c>
      <c r="D85" s="193" t="s">
        <v>13</v>
      </c>
      <c r="E85" s="193" t="s">
        <v>688</v>
      </c>
      <c r="F85" s="199">
        <v>265113504430</v>
      </c>
      <c r="G85" s="31" t="s">
        <v>40</v>
      </c>
    </row>
    <row r="86" spans="1:7" ht="57.6" x14ac:dyDescent="0.3">
      <c r="A86" s="193">
        <f t="shared" si="3"/>
        <v>84</v>
      </c>
      <c r="B86" s="31" t="s">
        <v>1441</v>
      </c>
      <c r="C86" s="193" t="s">
        <v>342</v>
      </c>
      <c r="D86" s="193" t="s">
        <v>13</v>
      </c>
      <c r="E86" s="193" t="s">
        <v>688</v>
      </c>
      <c r="F86" s="199">
        <v>265113504440</v>
      </c>
      <c r="G86" s="31" t="s">
        <v>40</v>
      </c>
    </row>
    <row r="87" spans="1:7" ht="43.2" x14ac:dyDescent="0.3">
      <c r="A87" s="193">
        <v>90</v>
      </c>
      <c r="B87" s="31" t="s">
        <v>1442</v>
      </c>
      <c r="C87" s="193" t="s">
        <v>342</v>
      </c>
      <c r="D87" s="193" t="s">
        <v>13</v>
      </c>
      <c r="E87" s="193" t="s">
        <v>688</v>
      </c>
      <c r="F87" s="199">
        <v>265113504445</v>
      </c>
      <c r="G87" s="31" t="s">
        <v>40</v>
      </c>
    </row>
    <row r="88" spans="1:7" ht="57.6" x14ac:dyDescent="0.3">
      <c r="A88" s="193">
        <v>100</v>
      </c>
      <c r="B88" s="31" t="s">
        <v>1450</v>
      </c>
      <c r="C88" s="193" t="s">
        <v>342</v>
      </c>
      <c r="D88" s="193" t="s">
        <v>13</v>
      </c>
      <c r="E88" s="193" t="s">
        <v>688</v>
      </c>
      <c r="F88" s="199">
        <v>265113550100</v>
      </c>
      <c r="G88" s="31" t="s">
        <v>40</v>
      </c>
    </row>
    <row r="89" spans="1:7" ht="57.6" x14ac:dyDescent="0.3">
      <c r="A89" s="193">
        <f t="shared" ref="A89:A119" si="4">A88+1</f>
        <v>101</v>
      </c>
      <c r="B89" s="31" t="s">
        <v>1451</v>
      </c>
      <c r="C89" s="193" t="s">
        <v>342</v>
      </c>
      <c r="D89" s="193" t="s">
        <v>13</v>
      </c>
      <c r="E89" s="193" t="s">
        <v>688</v>
      </c>
      <c r="F89" s="199">
        <v>265113550120</v>
      </c>
      <c r="G89" s="31" t="s">
        <v>40</v>
      </c>
    </row>
    <row r="90" spans="1:7" ht="43.2" x14ac:dyDescent="0.3">
      <c r="A90" s="193">
        <f t="shared" si="4"/>
        <v>102</v>
      </c>
      <c r="B90" s="31" t="s">
        <v>1452</v>
      </c>
      <c r="C90" s="193" t="s">
        <v>342</v>
      </c>
      <c r="D90" s="193" t="s">
        <v>13</v>
      </c>
      <c r="E90" s="193" t="s">
        <v>688</v>
      </c>
      <c r="F90" s="199">
        <v>265113550160</v>
      </c>
      <c r="G90" s="31" t="s">
        <v>40</v>
      </c>
    </row>
    <row r="91" spans="1:7" ht="43.2" x14ac:dyDescent="0.3">
      <c r="A91" s="193">
        <f t="shared" si="4"/>
        <v>103</v>
      </c>
      <c r="B91" s="31" t="s">
        <v>1453</v>
      </c>
      <c r="C91" s="193" t="s">
        <v>342</v>
      </c>
      <c r="D91" s="193" t="s">
        <v>13</v>
      </c>
      <c r="E91" s="193" t="s">
        <v>688</v>
      </c>
      <c r="F91" s="199">
        <v>265113550180</v>
      </c>
      <c r="G91" s="31" t="s">
        <v>40</v>
      </c>
    </row>
    <row r="92" spans="1:7" ht="57.6" x14ac:dyDescent="0.3">
      <c r="A92" s="193">
        <f t="shared" si="4"/>
        <v>104</v>
      </c>
      <c r="B92" s="31" t="s">
        <v>1454</v>
      </c>
      <c r="C92" s="193" t="s">
        <v>342</v>
      </c>
      <c r="D92" s="193" t="s">
        <v>13</v>
      </c>
      <c r="E92" s="193" t="s">
        <v>688</v>
      </c>
      <c r="F92" s="199">
        <v>265113551000</v>
      </c>
      <c r="G92" s="31" t="s">
        <v>40</v>
      </c>
    </row>
    <row r="93" spans="1:7" ht="57.6" x14ac:dyDescent="0.3">
      <c r="A93" s="193">
        <f t="shared" si="4"/>
        <v>105</v>
      </c>
      <c r="B93" s="31" t="s">
        <v>1455</v>
      </c>
      <c r="C93" s="193" t="s">
        <v>342</v>
      </c>
      <c r="D93" s="193" t="s">
        <v>13</v>
      </c>
      <c r="E93" s="193" t="s">
        <v>688</v>
      </c>
      <c r="F93" s="199">
        <v>265113551010</v>
      </c>
      <c r="G93" s="31" t="s">
        <v>40</v>
      </c>
    </row>
    <row r="94" spans="1:7" ht="57.6" x14ac:dyDescent="0.3">
      <c r="A94" s="193">
        <f t="shared" si="4"/>
        <v>106</v>
      </c>
      <c r="B94" s="31" t="s">
        <v>1456</v>
      </c>
      <c r="C94" s="193" t="s">
        <v>342</v>
      </c>
      <c r="D94" s="193" t="s">
        <v>13</v>
      </c>
      <c r="E94" s="193" t="s">
        <v>688</v>
      </c>
      <c r="F94" s="199">
        <v>265113551020</v>
      </c>
      <c r="G94" s="31" t="s">
        <v>40</v>
      </c>
    </row>
    <row r="95" spans="1:7" ht="43.2" x14ac:dyDescent="0.3">
      <c r="A95" s="193">
        <f t="shared" si="4"/>
        <v>107</v>
      </c>
      <c r="B95" s="31" t="s">
        <v>1457</v>
      </c>
      <c r="C95" s="193" t="s">
        <v>342</v>
      </c>
      <c r="D95" s="193" t="s">
        <v>13</v>
      </c>
      <c r="E95" s="193" t="s">
        <v>688</v>
      </c>
      <c r="F95" s="199">
        <v>265113551100</v>
      </c>
      <c r="G95" s="31" t="s">
        <v>40</v>
      </c>
    </row>
    <row r="96" spans="1:7" ht="43.2" x14ac:dyDescent="0.3">
      <c r="A96" s="193">
        <f t="shared" si="4"/>
        <v>108</v>
      </c>
      <c r="B96" s="31" t="s">
        <v>1458</v>
      </c>
      <c r="C96" s="193" t="s">
        <v>342</v>
      </c>
      <c r="D96" s="193" t="s">
        <v>13</v>
      </c>
      <c r="E96" s="193" t="s">
        <v>688</v>
      </c>
      <c r="F96" s="199">
        <v>265113551110</v>
      </c>
      <c r="G96" s="31" t="s">
        <v>40</v>
      </c>
    </row>
    <row r="97" spans="1:7" ht="43.2" x14ac:dyDescent="0.3">
      <c r="A97" s="193">
        <f t="shared" si="4"/>
        <v>109</v>
      </c>
      <c r="B97" s="31" t="s">
        <v>1459</v>
      </c>
      <c r="C97" s="193" t="s">
        <v>342</v>
      </c>
      <c r="D97" s="193" t="s">
        <v>13</v>
      </c>
      <c r="E97" s="193" t="s">
        <v>688</v>
      </c>
      <c r="F97" s="199">
        <v>265113551120</v>
      </c>
      <c r="G97" s="31" t="s">
        <v>40</v>
      </c>
    </row>
    <row r="98" spans="1:7" ht="57.6" x14ac:dyDescent="0.3">
      <c r="A98" s="193">
        <f t="shared" si="4"/>
        <v>110</v>
      </c>
      <c r="B98" s="31" t="s">
        <v>1460</v>
      </c>
      <c r="C98" s="193" t="s">
        <v>342</v>
      </c>
      <c r="D98" s="193" t="s">
        <v>13</v>
      </c>
      <c r="E98" s="193" t="s">
        <v>688</v>
      </c>
      <c r="F98" s="199">
        <v>265113551200</v>
      </c>
      <c r="G98" s="31" t="s">
        <v>40</v>
      </c>
    </row>
    <row r="99" spans="1:7" ht="57.6" x14ac:dyDescent="0.3">
      <c r="A99" s="193">
        <f t="shared" si="4"/>
        <v>111</v>
      </c>
      <c r="B99" s="31" t="s">
        <v>1461</v>
      </c>
      <c r="C99" s="193" t="s">
        <v>342</v>
      </c>
      <c r="D99" s="193" t="s">
        <v>13</v>
      </c>
      <c r="E99" s="193" t="s">
        <v>688</v>
      </c>
      <c r="F99" s="199">
        <v>265113552000</v>
      </c>
      <c r="G99" s="31" t="s">
        <v>40</v>
      </c>
    </row>
    <row r="100" spans="1:7" ht="57.6" x14ac:dyDescent="0.3">
      <c r="A100" s="193">
        <f t="shared" si="4"/>
        <v>112</v>
      </c>
      <c r="B100" s="31" t="s">
        <v>1462</v>
      </c>
      <c r="C100" s="193" t="s">
        <v>342</v>
      </c>
      <c r="D100" s="193" t="s">
        <v>13</v>
      </c>
      <c r="E100" s="193" t="s">
        <v>688</v>
      </c>
      <c r="F100" s="199">
        <v>265113552010</v>
      </c>
      <c r="G100" s="31" t="s">
        <v>40</v>
      </c>
    </row>
    <row r="101" spans="1:7" ht="57.6" x14ac:dyDescent="0.3">
      <c r="A101" s="193">
        <f t="shared" si="4"/>
        <v>113</v>
      </c>
      <c r="B101" s="31" t="s">
        <v>1463</v>
      </c>
      <c r="C101" s="193" t="s">
        <v>342</v>
      </c>
      <c r="D101" s="193" t="s">
        <v>13</v>
      </c>
      <c r="E101" s="193" t="s">
        <v>688</v>
      </c>
      <c r="F101" s="199">
        <v>265113552020</v>
      </c>
      <c r="G101" s="31" t="s">
        <v>40</v>
      </c>
    </row>
    <row r="102" spans="1:7" ht="57.6" x14ac:dyDescent="0.3">
      <c r="A102" s="193">
        <f t="shared" si="4"/>
        <v>114</v>
      </c>
      <c r="B102" s="31" t="s">
        <v>1464</v>
      </c>
      <c r="C102" s="193" t="s">
        <v>342</v>
      </c>
      <c r="D102" s="193" t="s">
        <v>13</v>
      </c>
      <c r="E102" s="193" t="s">
        <v>688</v>
      </c>
      <c r="F102" s="199">
        <v>265113553000</v>
      </c>
      <c r="G102" s="31" t="s">
        <v>40</v>
      </c>
    </row>
    <row r="103" spans="1:7" ht="57.6" x14ac:dyDescent="0.3">
      <c r="A103" s="193">
        <f t="shared" si="4"/>
        <v>115</v>
      </c>
      <c r="B103" s="31" t="s">
        <v>1465</v>
      </c>
      <c r="C103" s="193" t="s">
        <v>342</v>
      </c>
      <c r="D103" s="193" t="s">
        <v>13</v>
      </c>
      <c r="E103" s="193" t="s">
        <v>688</v>
      </c>
      <c r="F103" s="199">
        <v>265113553010</v>
      </c>
      <c r="G103" s="31" t="s">
        <v>40</v>
      </c>
    </row>
    <row r="104" spans="1:7" ht="57.6" x14ac:dyDescent="0.3">
      <c r="A104" s="193">
        <f t="shared" si="4"/>
        <v>116</v>
      </c>
      <c r="B104" s="31" t="s">
        <v>1466</v>
      </c>
      <c r="C104" s="193" t="s">
        <v>342</v>
      </c>
      <c r="D104" s="193" t="s">
        <v>13</v>
      </c>
      <c r="E104" s="193" t="s">
        <v>688</v>
      </c>
      <c r="F104" s="199">
        <v>265113553020</v>
      </c>
      <c r="G104" s="31" t="s">
        <v>40</v>
      </c>
    </row>
    <row r="105" spans="1:7" ht="57.6" x14ac:dyDescent="0.3">
      <c r="A105" s="193">
        <f t="shared" si="4"/>
        <v>117</v>
      </c>
      <c r="B105" s="31" t="s">
        <v>1467</v>
      </c>
      <c r="C105" s="193" t="s">
        <v>342</v>
      </c>
      <c r="D105" s="193" t="s">
        <v>13</v>
      </c>
      <c r="E105" s="193" t="s">
        <v>688</v>
      </c>
      <c r="F105" s="199">
        <v>265113553030</v>
      </c>
      <c r="G105" s="31" t="s">
        <v>40</v>
      </c>
    </row>
    <row r="106" spans="1:7" ht="28.8" x14ac:dyDescent="0.3">
      <c r="A106" s="193">
        <f t="shared" si="4"/>
        <v>118</v>
      </c>
      <c r="B106" s="31" t="s">
        <v>1468</v>
      </c>
      <c r="C106" s="193" t="s">
        <v>342</v>
      </c>
      <c r="D106" s="193" t="s">
        <v>13</v>
      </c>
      <c r="E106" s="193" t="s">
        <v>688</v>
      </c>
      <c r="F106" s="199">
        <v>265113554000</v>
      </c>
      <c r="G106" s="31" t="s">
        <v>40</v>
      </c>
    </row>
    <row r="107" spans="1:7" ht="28.8" x14ac:dyDescent="0.3">
      <c r="A107" s="193">
        <f t="shared" si="4"/>
        <v>119</v>
      </c>
      <c r="B107" s="31" t="s">
        <v>1469</v>
      </c>
      <c r="C107" s="193" t="s">
        <v>342</v>
      </c>
      <c r="D107" s="193" t="s">
        <v>13</v>
      </c>
      <c r="E107" s="193" t="s">
        <v>688</v>
      </c>
      <c r="F107" s="199">
        <v>265113554010</v>
      </c>
      <c r="G107" s="31" t="s">
        <v>40</v>
      </c>
    </row>
    <row r="108" spans="1:7" ht="43.2" x14ac:dyDescent="0.3">
      <c r="A108" s="193">
        <f t="shared" si="4"/>
        <v>120</v>
      </c>
      <c r="B108" s="31" t="s">
        <v>1470</v>
      </c>
      <c r="C108" s="193" t="s">
        <v>342</v>
      </c>
      <c r="D108" s="193" t="s">
        <v>13</v>
      </c>
      <c r="E108" s="193" t="s">
        <v>688</v>
      </c>
      <c r="F108" s="199">
        <v>265113554020</v>
      </c>
      <c r="G108" s="31" t="s">
        <v>40</v>
      </c>
    </row>
    <row r="109" spans="1:7" ht="28.8" x14ac:dyDescent="0.3">
      <c r="A109" s="193">
        <f t="shared" si="4"/>
        <v>121</v>
      </c>
      <c r="B109" s="31" t="s">
        <v>1471</v>
      </c>
      <c r="C109" s="193" t="s">
        <v>342</v>
      </c>
      <c r="D109" s="193" t="s">
        <v>13</v>
      </c>
      <c r="E109" s="193" t="s">
        <v>688</v>
      </c>
      <c r="F109" s="199">
        <v>265113554030</v>
      </c>
      <c r="G109" s="31" t="s">
        <v>40</v>
      </c>
    </row>
    <row r="110" spans="1:7" ht="28.8" x14ac:dyDescent="0.3">
      <c r="A110" s="193">
        <f t="shared" si="4"/>
        <v>122</v>
      </c>
      <c r="B110" s="31" t="s">
        <v>1472</v>
      </c>
      <c r="C110" s="193" t="s">
        <v>342</v>
      </c>
      <c r="D110" s="193" t="s">
        <v>13</v>
      </c>
      <c r="E110" s="193" t="s">
        <v>688</v>
      </c>
      <c r="F110" s="199">
        <v>265113554040</v>
      </c>
      <c r="G110" s="31" t="s">
        <v>40</v>
      </c>
    </row>
    <row r="111" spans="1:7" ht="28.8" x14ac:dyDescent="0.3">
      <c r="A111" s="193">
        <f t="shared" si="4"/>
        <v>123</v>
      </c>
      <c r="B111" s="31" t="s">
        <v>1473</v>
      </c>
      <c r="C111" s="193" t="s">
        <v>342</v>
      </c>
      <c r="D111" s="193" t="s">
        <v>13</v>
      </c>
      <c r="E111" s="193" t="s">
        <v>688</v>
      </c>
      <c r="F111" s="199">
        <v>265113554050</v>
      </c>
      <c r="G111" s="31" t="s">
        <v>40</v>
      </c>
    </row>
    <row r="112" spans="1:7" ht="28.8" x14ac:dyDescent="0.3">
      <c r="A112" s="193">
        <f t="shared" si="4"/>
        <v>124</v>
      </c>
      <c r="B112" s="31" t="s">
        <v>1474</v>
      </c>
      <c r="C112" s="193" t="s">
        <v>342</v>
      </c>
      <c r="D112" s="193" t="s">
        <v>13</v>
      </c>
      <c r="E112" s="193" t="s">
        <v>688</v>
      </c>
      <c r="F112" s="199">
        <v>265113554060</v>
      </c>
      <c r="G112" s="31" t="s">
        <v>40</v>
      </c>
    </row>
    <row r="113" spans="1:7" ht="28.8" x14ac:dyDescent="0.3">
      <c r="A113" s="193">
        <f t="shared" si="4"/>
        <v>125</v>
      </c>
      <c r="B113" s="31" t="s">
        <v>1475</v>
      </c>
      <c r="C113" s="193" t="s">
        <v>342</v>
      </c>
      <c r="D113" s="193" t="s">
        <v>13</v>
      </c>
      <c r="E113" s="193" t="s">
        <v>688</v>
      </c>
      <c r="F113" s="199">
        <v>265113554070</v>
      </c>
      <c r="G113" s="31" t="s">
        <v>40</v>
      </c>
    </row>
    <row r="114" spans="1:7" ht="28.8" x14ac:dyDescent="0.3">
      <c r="A114" s="193">
        <f t="shared" si="4"/>
        <v>126</v>
      </c>
      <c r="B114" s="31" t="s">
        <v>1476</v>
      </c>
      <c r="C114" s="193" t="s">
        <v>342</v>
      </c>
      <c r="D114" s="193" t="s">
        <v>13</v>
      </c>
      <c r="E114" s="193" t="s">
        <v>688</v>
      </c>
      <c r="F114" s="199">
        <v>265113555000</v>
      </c>
      <c r="G114" s="31" t="s">
        <v>40</v>
      </c>
    </row>
    <row r="115" spans="1:7" ht="28.8" x14ac:dyDescent="0.3">
      <c r="A115" s="193">
        <f t="shared" si="4"/>
        <v>127</v>
      </c>
      <c r="B115" s="31" t="s">
        <v>1477</v>
      </c>
      <c r="C115" s="193" t="s">
        <v>342</v>
      </c>
      <c r="D115" s="193" t="s">
        <v>13</v>
      </c>
      <c r="E115" s="193" t="s">
        <v>688</v>
      </c>
      <c r="F115" s="199">
        <v>265113555010</v>
      </c>
      <c r="G115" s="31" t="s">
        <v>40</v>
      </c>
    </row>
    <row r="116" spans="1:7" ht="28.8" x14ac:dyDescent="0.3">
      <c r="A116" s="193">
        <f t="shared" si="4"/>
        <v>128</v>
      </c>
      <c r="B116" s="31" t="s">
        <v>1478</v>
      </c>
      <c r="C116" s="193" t="s">
        <v>342</v>
      </c>
      <c r="D116" s="193" t="s">
        <v>13</v>
      </c>
      <c r="E116" s="193" t="s">
        <v>688</v>
      </c>
      <c r="F116" s="199">
        <v>265113556000</v>
      </c>
      <c r="G116" s="31" t="s">
        <v>40</v>
      </c>
    </row>
    <row r="117" spans="1:7" ht="28.8" x14ac:dyDescent="0.3">
      <c r="A117" s="193">
        <f t="shared" si="4"/>
        <v>129</v>
      </c>
      <c r="B117" s="31" t="s">
        <v>1479</v>
      </c>
      <c r="C117" s="193" t="s">
        <v>342</v>
      </c>
      <c r="D117" s="193" t="s">
        <v>13</v>
      </c>
      <c r="E117" s="193" t="s">
        <v>688</v>
      </c>
      <c r="F117" s="199">
        <v>265113556100</v>
      </c>
      <c r="G117" s="31" t="s">
        <v>40</v>
      </c>
    </row>
    <row r="118" spans="1:7" ht="28.8" x14ac:dyDescent="0.3">
      <c r="A118" s="193">
        <f t="shared" si="4"/>
        <v>130</v>
      </c>
      <c r="B118" s="31" t="s">
        <v>1480</v>
      </c>
      <c r="C118" s="193" t="s">
        <v>342</v>
      </c>
      <c r="D118" s="193" t="s">
        <v>13</v>
      </c>
      <c r="E118" s="193" t="s">
        <v>688</v>
      </c>
      <c r="F118" s="199">
        <v>265113556200</v>
      </c>
      <c r="G118" s="31" t="s">
        <v>40</v>
      </c>
    </row>
    <row r="119" spans="1:7" ht="28.8" x14ac:dyDescent="0.3">
      <c r="A119" s="193">
        <f t="shared" si="4"/>
        <v>131</v>
      </c>
      <c r="B119" s="31" t="s">
        <v>1481</v>
      </c>
      <c r="C119" s="193" t="s">
        <v>342</v>
      </c>
      <c r="D119" s="193" t="s">
        <v>13</v>
      </c>
      <c r="E119" s="193" t="s">
        <v>688</v>
      </c>
      <c r="F119" s="199">
        <v>265113556300</v>
      </c>
      <c r="G119" s="31" t="s">
        <v>40</v>
      </c>
    </row>
    <row r="120" spans="1:7" ht="43.2" x14ac:dyDescent="0.3">
      <c r="A120" s="193">
        <v>150</v>
      </c>
      <c r="B120" s="31" t="s">
        <v>1482</v>
      </c>
      <c r="C120" s="193" t="s">
        <v>342</v>
      </c>
      <c r="D120" s="193" t="s">
        <v>13</v>
      </c>
      <c r="E120" s="193" t="s">
        <v>688</v>
      </c>
      <c r="F120" s="199">
        <v>265113700400</v>
      </c>
      <c r="G120" s="31" t="s">
        <v>40</v>
      </c>
    </row>
    <row r="121" spans="1:7" ht="43.2" x14ac:dyDescent="0.3">
      <c r="A121" s="193">
        <f>A120+1</f>
        <v>151</v>
      </c>
      <c r="B121" s="31" t="s">
        <v>1483</v>
      </c>
      <c r="C121" s="193" t="s">
        <v>342</v>
      </c>
      <c r="D121" s="193" t="s">
        <v>13</v>
      </c>
      <c r="E121" s="193" t="s">
        <v>688</v>
      </c>
      <c r="F121" s="199">
        <v>265113700500</v>
      </c>
      <c r="G121" s="31" t="s">
        <v>40</v>
      </c>
    </row>
    <row r="122" spans="1:7" ht="43.2" x14ac:dyDescent="0.3">
      <c r="A122" s="193">
        <f>A121+1</f>
        <v>152</v>
      </c>
      <c r="B122" s="31" t="s">
        <v>1484</v>
      </c>
      <c r="C122" s="193" t="s">
        <v>342</v>
      </c>
      <c r="D122" s="193" t="s">
        <v>13</v>
      </c>
      <c r="E122" s="193" t="s">
        <v>688</v>
      </c>
      <c r="F122" s="199">
        <v>265113700700</v>
      </c>
      <c r="G122" s="31" t="s">
        <v>40</v>
      </c>
    </row>
    <row r="123" spans="1:7" ht="43.2" x14ac:dyDescent="0.3">
      <c r="A123" s="193">
        <f>A122+1</f>
        <v>153</v>
      </c>
      <c r="B123" s="31" t="s">
        <v>1485</v>
      </c>
      <c r="C123" s="193" t="s">
        <v>342</v>
      </c>
      <c r="D123" s="193" t="s">
        <v>13</v>
      </c>
      <c r="E123" s="193" t="s">
        <v>688</v>
      </c>
      <c r="F123" s="199">
        <v>265113700900</v>
      </c>
      <c r="G123" s="31" t="s">
        <v>40</v>
      </c>
    </row>
    <row r="124" spans="1:7" ht="43.2" x14ac:dyDescent="0.3">
      <c r="A124" s="193">
        <v>160</v>
      </c>
      <c r="B124" s="31" t="s">
        <v>1443</v>
      </c>
      <c r="C124" s="193" t="s">
        <v>342</v>
      </c>
      <c r="D124" s="193" t="s">
        <v>13</v>
      </c>
      <c r="E124" s="193" t="s">
        <v>688</v>
      </c>
      <c r="F124" s="199">
        <v>265113507520</v>
      </c>
      <c r="G124" s="31" t="s">
        <v>40</v>
      </c>
    </row>
    <row r="125" spans="1:7" ht="43.2" x14ac:dyDescent="0.3">
      <c r="A125" s="193">
        <f t="shared" ref="A125:A148" si="5">A124+1</f>
        <v>161</v>
      </c>
      <c r="B125" s="31" t="s">
        <v>1444</v>
      </c>
      <c r="C125" s="193" t="s">
        <v>342</v>
      </c>
      <c r="D125" s="193" t="s">
        <v>13</v>
      </c>
      <c r="E125" s="193" t="s">
        <v>688</v>
      </c>
      <c r="F125" s="199">
        <v>265113507540</v>
      </c>
      <c r="G125" s="31" t="s">
        <v>40</v>
      </c>
    </row>
    <row r="126" spans="1:7" ht="43.2" x14ac:dyDescent="0.3">
      <c r="A126" s="193">
        <f t="shared" si="5"/>
        <v>162</v>
      </c>
      <c r="B126" s="31" t="s">
        <v>1445</v>
      </c>
      <c r="C126" s="193" t="s">
        <v>342</v>
      </c>
      <c r="D126" s="193" t="s">
        <v>13</v>
      </c>
      <c r="E126" s="193" t="s">
        <v>688</v>
      </c>
      <c r="F126" s="199">
        <v>265113507560</v>
      </c>
      <c r="G126" s="31" t="s">
        <v>40</v>
      </c>
    </row>
    <row r="127" spans="1:7" ht="43.2" x14ac:dyDescent="0.3">
      <c r="A127" s="193">
        <f t="shared" si="5"/>
        <v>163</v>
      </c>
      <c r="B127" s="31" t="s">
        <v>1446</v>
      </c>
      <c r="C127" s="193" t="s">
        <v>342</v>
      </c>
      <c r="D127" s="193" t="s">
        <v>13</v>
      </c>
      <c r="E127" s="193" t="s">
        <v>688</v>
      </c>
      <c r="F127" s="199">
        <v>265113507630</v>
      </c>
      <c r="G127" s="31" t="s">
        <v>40</v>
      </c>
    </row>
    <row r="128" spans="1:7" ht="43.2" x14ac:dyDescent="0.3">
      <c r="A128" s="193">
        <f t="shared" si="5"/>
        <v>164</v>
      </c>
      <c r="B128" s="31" t="s">
        <v>1447</v>
      </c>
      <c r="C128" s="193" t="s">
        <v>342</v>
      </c>
      <c r="D128" s="193" t="s">
        <v>13</v>
      </c>
      <c r="E128" s="193" t="s">
        <v>688</v>
      </c>
      <c r="F128" s="199">
        <v>265113507640</v>
      </c>
      <c r="G128" s="31" t="s">
        <v>40</v>
      </c>
    </row>
    <row r="129" spans="1:7" ht="43.2" x14ac:dyDescent="0.3">
      <c r="A129" s="193">
        <f t="shared" si="5"/>
        <v>165</v>
      </c>
      <c r="B129" s="31" t="s">
        <v>1448</v>
      </c>
      <c r="C129" s="193" t="s">
        <v>342</v>
      </c>
      <c r="D129" s="193" t="s">
        <v>13</v>
      </c>
      <c r="E129" s="193" t="s">
        <v>688</v>
      </c>
      <c r="F129" s="199">
        <v>265113507650</v>
      </c>
      <c r="G129" s="31" t="s">
        <v>40</v>
      </c>
    </row>
    <row r="130" spans="1:7" ht="28.8" x14ac:dyDescent="0.3">
      <c r="A130" s="193">
        <f t="shared" si="5"/>
        <v>166</v>
      </c>
      <c r="B130" s="31" t="s">
        <v>1449</v>
      </c>
      <c r="C130" s="193" t="s">
        <v>342</v>
      </c>
      <c r="D130" s="193" t="s">
        <v>13</v>
      </c>
      <c r="E130" s="193" t="s">
        <v>688</v>
      </c>
      <c r="F130" s="199">
        <v>265113507690</v>
      </c>
      <c r="G130" s="31" t="s">
        <v>40</v>
      </c>
    </row>
    <row r="131" spans="1:7" ht="43.2" x14ac:dyDescent="0.3">
      <c r="A131" s="193">
        <f t="shared" si="5"/>
        <v>167</v>
      </c>
      <c r="B131" s="31" t="s">
        <v>1486</v>
      </c>
      <c r="C131" s="193" t="s">
        <v>342</v>
      </c>
      <c r="D131" s="193" t="s">
        <v>13</v>
      </c>
      <c r="E131" s="193" t="s">
        <v>688</v>
      </c>
      <c r="F131" s="199">
        <v>265113907510</v>
      </c>
      <c r="G131" s="31" t="s">
        <v>40</v>
      </c>
    </row>
    <row r="132" spans="1:7" ht="28.8" x14ac:dyDescent="0.3">
      <c r="A132" s="193">
        <f t="shared" si="5"/>
        <v>168</v>
      </c>
      <c r="B132" s="31" t="s">
        <v>1487</v>
      </c>
      <c r="C132" s="193" t="s">
        <v>342</v>
      </c>
      <c r="D132" s="193" t="s">
        <v>13</v>
      </c>
      <c r="E132" s="193" t="s">
        <v>688</v>
      </c>
      <c r="F132" s="199">
        <v>265113907550</v>
      </c>
      <c r="G132" s="31" t="s">
        <v>40</v>
      </c>
    </row>
    <row r="133" spans="1:7" ht="28.8" x14ac:dyDescent="0.3">
      <c r="A133" s="193">
        <f t="shared" si="5"/>
        <v>169</v>
      </c>
      <c r="B133" s="31" t="s">
        <v>1488</v>
      </c>
      <c r="C133" s="193" t="s">
        <v>342</v>
      </c>
      <c r="D133" s="193" t="s">
        <v>13</v>
      </c>
      <c r="E133" s="193" t="s">
        <v>688</v>
      </c>
      <c r="F133" s="199">
        <v>265113907560</v>
      </c>
      <c r="G133" s="31" t="s">
        <v>40</v>
      </c>
    </row>
    <row r="134" spans="1:7" ht="28.8" x14ac:dyDescent="0.3">
      <c r="A134" s="193">
        <f t="shared" si="5"/>
        <v>170</v>
      </c>
      <c r="B134" s="31" t="s">
        <v>1489</v>
      </c>
      <c r="C134" s="193" t="s">
        <v>342</v>
      </c>
      <c r="D134" s="193" t="s">
        <v>13</v>
      </c>
      <c r="E134" s="193" t="s">
        <v>688</v>
      </c>
      <c r="F134" s="199">
        <v>265113907570</v>
      </c>
      <c r="G134" s="31" t="s">
        <v>40</v>
      </c>
    </row>
    <row r="135" spans="1:7" ht="28.8" x14ac:dyDescent="0.3">
      <c r="A135" s="193">
        <f t="shared" si="5"/>
        <v>171</v>
      </c>
      <c r="B135" s="31" t="s">
        <v>1490</v>
      </c>
      <c r="C135" s="193" t="s">
        <v>342</v>
      </c>
      <c r="D135" s="193" t="s">
        <v>13</v>
      </c>
      <c r="E135" s="193" t="s">
        <v>688</v>
      </c>
      <c r="F135" s="199">
        <v>265113907580</v>
      </c>
      <c r="G135" s="31" t="s">
        <v>40</v>
      </c>
    </row>
    <row r="136" spans="1:7" ht="28.8" x14ac:dyDescent="0.3">
      <c r="A136" s="193">
        <f t="shared" si="5"/>
        <v>172</v>
      </c>
      <c r="B136" s="31" t="s">
        <v>1491</v>
      </c>
      <c r="C136" s="193" t="s">
        <v>342</v>
      </c>
      <c r="D136" s="193" t="s">
        <v>13</v>
      </c>
      <c r="E136" s="193" t="s">
        <v>688</v>
      </c>
      <c r="F136" s="199">
        <v>265113907590</v>
      </c>
      <c r="G136" s="31" t="s">
        <v>40</v>
      </c>
    </row>
    <row r="137" spans="1:7" ht="28.8" x14ac:dyDescent="0.3">
      <c r="A137" s="193">
        <f t="shared" si="5"/>
        <v>173</v>
      </c>
      <c r="B137" s="31" t="s">
        <v>1492</v>
      </c>
      <c r="C137" s="193" t="s">
        <v>342</v>
      </c>
      <c r="D137" s="193" t="s">
        <v>13</v>
      </c>
      <c r="E137" s="193" t="s">
        <v>688</v>
      </c>
      <c r="F137" s="199">
        <v>265113907600</v>
      </c>
      <c r="G137" s="31" t="s">
        <v>40</v>
      </c>
    </row>
    <row r="138" spans="1:7" ht="28.8" x14ac:dyDescent="0.3">
      <c r="A138" s="193">
        <f t="shared" si="5"/>
        <v>174</v>
      </c>
      <c r="B138" s="31" t="s">
        <v>1493</v>
      </c>
      <c r="C138" s="193" t="s">
        <v>342</v>
      </c>
      <c r="D138" s="193" t="s">
        <v>13</v>
      </c>
      <c r="E138" s="193" t="s">
        <v>688</v>
      </c>
      <c r="F138" s="199">
        <v>265113907610</v>
      </c>
      <c r="G138" s="31" t="s">
        <v>40</v>
      </c>
    </row>
    <row r="139" spans="1:7" ht="28.8" x14ac:dyDescent="0.3">
      <c r="A139" s="193">
        <f t="shared" si="5"/>
        <v>175</v>
      </c>
      <c r="B139" s="31" t="s">
        <v>1494</v>
      </c>
      <c r="C139" s="193" t="s">
        <v>342</v>
      </c>
      <c r="D139" s="193" t="s">
        <v>13</v>
      </c>
      <c r="E139" s="193" t="s">
        <v>688</v>
      </c>
      <c r="F139" s="199">
        <v>265113907620</v>
      </c>
      <c r="G139" s="31" t="s">
        <v>40</v>
      </c>
    </row>
    <row r="140" spans="1:7" ht="28.8" x14ac:dyDescent="0.3">
      <c r="A140" s="193">
        <f t="shared" si="5"/>
        <v>176</v>
      </c>
      <c r="B140" s="31" t="s">
        <v>1495</v>
      </c>
      <c r="C140" s="193" t="s">
        <v>342</v>
      </c>
      <c r="D140" s="193" t="s">
        <v>13</v>
      </c>
      <c r="E140" s="193" t="s">
        <v>688</v>
      </c>
      <c r="F140" s="199">
        <v>265113907630</v>
      </c>
      <c r="G140" s="31" t="s">
        <v>40</v>
      </c>
    </row>
    <row r="141" spans="1:7" ht="28.8" x14ac:dyDescent="0.3">
      <c r="A141" s="193">
        <f t="shared" si="5"/>
        <v>177</v>
      </c>
      <c r="B141" s="31" t="s">
        <v>1496</v>
      </c>
      <c r="C141" s="193" t="s">
        <v>342</v>
      </c>
      <c r="D141" s="193" t="s">
        <v>13</v>
      </c>
      <c r="E141" s="193" t="s">
        <v>688</v>
      </c>
      <c r="F141" s="199">
        <v>265113907640</v>
      </c>
      <c r="G141" s="31" t="s">
        <v>40</v>
      </c>
    </row>
    <row r="142" spans="1:7" ht="28.8" x14ac:dyDescent="0.3">
      <c r="A142" s="193">
        <f t="shared" si="5"/>
        <v>178</v>
      </c>
      <c r="B142" s="31" t="s">
        <v>1497</v>
      </c>
      <c r="C142" s="193" t="s">
        <v>342</v>
      </c>
      <c r="D142" s="193" t="s">
        <v>13</v>
      </c>
      <c r="E142" s="193" t="s">
        <v>688</v>
      </c>
      <c r="F142" s="199">
        <v>265113907650</v>
      </c>
      <c r="G142" s="31" t="s">
        <v>40</v>
      </c>
    </row>
    <row r="143" spans="1:7" ht="28.8" x14ac:dyDescent="0.3">
      <c r="A143" s="193">
        <v>180</v>
      </c>
      <c r="B143" s="31" t="s">
        <v>1498</v>
      </c>
      <c r="C143" s="193" t="s">
        <v>342</v>
      </c>
      <c r="D143" s="193" t="s">
        <v>13</v>
      </c>
      <c r="E143" s="193" t="s">
        <v>688</v>
      </c>
      <c r="F143" s="199">
        <v>265313100080</v>
      </c>
      <c r="G143" s="31" t="s">
        <v>40</v>
      </c>
    </row>
    <row r="144" spans="1:7" ht="28.8" x14ac:dyDescent="0.3">
      <c r="A144" s="193">
        <f t="shared" si="5"/>
        <v>181</v>
      </c>
      <c r="B144" s="31" t="s">
        <v>1499</v>
      </c>
      <c r="C144" s="193" t="s">
        <v>342</v>
      </c>
      <c r="D144" s="193" t="s">
        <v>13</v>
      </c>
      <c r="E144" s="193" t="s">
        <v>688</v>
      </c>
      <c r="F144" s="199">
        <v>265313100100</v>
      </c>
      <c r="G144" s="31" t="s">
        <v>40</v>
      </c>
    </row>
    <row r="145" spans="1:7" ht="43.2" x14ac:dyDescent="0.3">
      <c r="A145" s="193">
        <f t="shared" si="5"/>
        <v>182</v>
      </c>
      <c r="B145" s="31" t="s">
        <v>1500</v>
      </c>
      <c r="C145" s="193" t="s">
        <v>342</v>
      </c>
      <c r="D145" s="193" t="s">
        <v>13</v>
      </c>
      <c r="E145" s="193" t="s">
        <v>688</v>
      </c>
      <c r="F145" s="199">
        <v>265313100120</v>
      </c>
      <c r="G145" s="31" t="s">
        <v>40</v>
      </c>
    </row>
    <row r="146" spans="1:7" ht="28.8" x14ac:dyDescent="0.3">
      <c r="A146" s="193">
        <f t="shared" si="5"/>
        <v>183</v>
      </c>
      <c r="B146" s="31" t="s">
        <v>1501</v>
      </c>
      <c r="C146" s="193" t="s">
        <v>342</v>
      </c>
      <c r="D146" s="193" t="s">
        <v>13</v>
      </c>
      <c r="E146" s="193" t="s">
        <v>688</v>
      </c>
      <c r="F146" s="199">
        <v>265313100150</v>
      </c>
      <c r="G146" s="31" t="s">
        <v>40</v>
      </c>
    </row>
    <row r="147" spans="1:7" ht="28.8" x14ac:dyDescent="0.3">
      <c r="A147" s="193">
        <f t="shared" si="5"/>
        <v>184</v>
      </c>
      <c r="B147" s="31" t="s">
        <v>1502</v>
      </c>
      <c r="C147" s="193" t="s">
        <v>342</v>
      </c>
      <c r="D147" s="193" t="s">
        <v>13</v>
      </c>
      <c r="E147" s="193" t="s">
        <v>688</v>
      </c>
      <c r="F147" s="199">
        <v>265313100160</v>
      </c>
      <c r="G147" s="31" t="s">
        <v>40</v>
      </c>
    </row>
    <row r="148" spans="1:7" ht="28.8" x14ac:dyDescent="0.3">
      <c r="A148" s="193">
        <f t="shared" si="5"/>
        <v>185</v>
      </c>
      <c r="B148" s="31" t="s">
        <v>1503</v>
      </c>
      <c r="C148" s="193" t="s">
        <v>342</v>
      </c>
      <c r="D148" s="193" t="s">
        <v>13</v>
      </c>
      <c r="E148" s="193" t="s">
        <v>688</v>
      </c>
      <c r="F148" s="199">
        <v>265313100200</v>
      </c>
      <c r="G148" s="31" t="s">
        <v>40</v>
      </c>
    </row>
    <row r="149" spans="1:7" ht="28.8" x14ac:dyDescent="0.3">
      <c r="A149" s="193">
        <f t="shared" ref="A149:A216" si="6">A148+1</f>
        <v>186</v>
      </c>
      <c r="B149" s="31" t="s">
        <v>1504</v>
      </c>
      <c r="C149" s="193" t="s">
        <v>342</v>
      </c>
      <c r="D149" s="193" t="s">
        <v>13</v>
      </c>
      <c r="E149" s="193" t="s">
        <v>688</v>
      </c>
      <c r="F149" s="199">
        <v>265313100220</v>
      </c>
      <c r="G149" s="31" t="s">
        <v>40</v>
      </c>
    </row>
    <row r="150" spans="1:7" ht="43.2" x14ac:dyDescent="0.3">
      <c r="A150" s="193">
        <f t="shared" si="6"/>
        <v>187</v>
      </c>
      <c r="B150" s="31" t="s">
        <v>1505</v>
      </c>
      <c r="C150" s="193" t="s">
        <v>342</v>
      </c>
      <c r="D150" s="193" t="s">
        <v>13</v>
      </c>
      <c r="E150" s="193" t="s">
        <v>688</v>
      </c>
      <c r="F150" s="199">
        <v>265313100230</v>
      </c>
      <c r="G150" s="31" t="s">
        <v>40</v>
      </c>
    </row>
    <row r="151" spans="1:7" ht="28.8" x14ac:dyDescent="0.3">
      <c r="A151" s="193">
        <f t="shared" si="6"/>
        <v>188</v>
      </c>
      <c r="B151" s="31" t="s">
        <v>1506</v>
      </c>
      <c r="C151" s="193" t="s">
        <v>342</v>
      </c>
      <c r="D151" s="193" t="s">
        <v>13</v>
      </c>
      <c r="E151" s="193" t="s">
        <v>688</v>
      </c>
      <c r="F151" s="199">
        <v>265313100240</v>
      </c>
      <c r="G151" s="31" t="s">
        <v>40</v>
      </c>
    </row>
    <row r="152" spans="1:7" ht="28.8" x14ac:dyDescent="0.3">
      <c r="A152" s="193">
        <f t="shared" si="6"/>
        <v>189</v>
      </c>
      <c r="B152" s="31" t="s">
        <v>1507</v>
      </c>
      <c r="C152" s="193" t="s">
        <v>342</v>
      </c>
      <c r="D152" s="193" t="s">
        <v>13</v>
      </c>
      <c r="E152" s="193" t="s">
        <v>688</v>
      </c>
      <c r="F152" s="199">
        <v>265313100260</v>
      </c>
      <c r="G152" s="31" t="s">
        <v>40</v>
      </c>
    </row>
    <row r="153" spans="1:7" ht="43.2" x14ac:dyDescent="0.3">
      <c r="A153" s="193">
        <f t="shared" si="6"/>
        <v>190</v>
      </c>
      <c r="B153" s="31" t="s">
        <v>1508</v>
      </c>
      <c r="C153" s="193" t="s">
        <v>342</v>
      </c>
      <c r="D153" s="193" t="s">
        <v>13</v>
      </c>
      <c r="E153" s="193" t="s">
        <v>688</v>
      </c>
      <c r="F153" s="199">
        <v>265313100262</v>
      </c>
      <c r="G153" s="31" t="s">
        <v>40</v>
      </c>
    </row>
    <row r="154" spans="1:7" ht="28.8" x14ac:dyDescent="0.3">
      <c r="A154" s="193">
        <f t="shared" si="6"/>
        <v>191</v>
      </c>
      <c r="B154" s="31" t="s">
        <v>1509</v>
      </c>
      <c r="C154" s="193" t="s">
        <v>342</v>
      </c>
      <c r="D154" s="193" t="s">
        <v>13</v>
      </c>
      <c r="E154" s="193" t="s">
        <v>688</v>
      </c>
      <c r="F154" s="199">
        <v>265313100270</v>
      </c>
      <c r="G154" s="31" t="s">
        <v>40</v>
      </c>
    </row>
    <row r="155" spans="1:7" x14ac:dyDescent="0.3">
      <c r="A155" s="193">
        <f t="shared" si="6"/>
        <v>192</v>
      </c>
      <c r="B155" s="31" t="s">
        <v>1510</v>
      </c>
      <c r="C155" s="193" t="s">
        <v>342</v>
      </c>
      <c r="D155" s="193" t="s">
        <v>13</v>
      </c>
      <c r="E155" s="193" t="s">
        <v>688</v>
      </c>
      <c r="F155" s="199">
        <v>265313100290</v>
      </c>
      <c r="G155" s="31" t="s">
        <v>40</v>
      </c>
    </row>
    <row r="156" spans="1:7" ht="43.2" x14ac:dyDescent="0.3">
      <c r="A156" s="193">
        <v>200</v>
      </c>
      <c r="B156" s="31" t="s">
        <v>1511</v>
      </c>
      <c r="C156" s="193" t="s">
        <v>342</v>
      </c>
      <c r="D156" s="193" t="s">
        <v>13</v>
      </c>
      <c r="E156" s="193" t="s">
        <v>688</v>
      </c>
      <c r="F156" s="199">
        <v>265623101100</v>
      </c>
      <c r="G156" s="31" t="s">
        <v>40</v>
      </c>
    </row>
    <row r="157" spans="1:7" ht="43.2" x14ac:dyDescent="0.3">
      <c r="A157" s="193">
        <f t="shared" si="6"/>
        <v>201</v>
      </c>
      <c r="B157" s="31" t="s">
        <v>1512</v>
      </c>
      <c r="C157" s="193" t="s">
        <v>342</v>
      </c>
      <c r="D157" s="193" t="s">
        <v>13</v>
      </c>
      <c r="E157" s="193" t="s">
        <v>688</v>
      </c>
      <c r="F157" s="199">
        <v>265623101150</v>
      </c>
      <c r="G157" s="31" t="s">
        <v>40</v>
      </c>
    </row>
    <row r="158" spans="1:7" ht="43.2" x14ac:dyDescent="0.3">
      <c r="A158" s="193">
        <f t="shared" si="6"/>
        <v>202</v>
      </c>
      <c r="B158" s="31" t="s">
        <v>1513</v>
      </c>
      <c r="C158" s="193" t="s">
        <v>342</v>
      </c>
      <c r="D158" s="193" t="s">
        <v>13</v>
      </c>
      <c r="E158" s="193" t="s">
        <v>688</v>
      </c>
      <c r="F158" s="199">
        <v>265623101160</v>
      </c>
      <c r="G158" s="31" t="s">
        <v>40</v>
      </c>
    </row>
    <row r="159" spans="1:7" ht="43.2" x14ac:dyDescent="0.3">
      <c r="A159" s="193">
        <f t="shared" si="6"/>
        <v>203</v>
      </c>
      <c r="B159" s="31" t="s">
        <v>1514</v>
      </c>
      <c r="C159" s="193" t="s">
        <v>342</v>
      </c>
      <c r="D159" s="193" t="s">
        <v>13</v>
      </c>
      <c r="E159" s="193" t="s">
        <v>688</v>
      </c>
      <c r="F159" s="199">
        <v>265623101170</v>
      </c>
      <c r="G159" s="31" t="s">
        <v>40</v>
      </c>
    </row>
    <row r="160" spans="1:7" ht="28.8" x14ac:dyDescent="0.3">
      <c r="A160" s="193">
        <f t="shared" si="6"/>
        <v>204</v>
      </c>
      <c r="B160" s="31" t="s">
        <v>1515</v>
      </c>
      <c r="C160" s="193" t="s">
        <v>342</v>
      </c>
      <c r="D160" s="193" t="s">
        <v>13</v>
      </c>
      <c r="E160" s="193" t="s">
        <v>688</v>
      </c>
      <c r="F160" s="199">
        <v>265623101180</v>
      </c>
      <c r="G160" s="31" t="s">
        <v>40</v>
      </c>
    </row>
    <row r="161" spans="1:7" ht="28.8" x14ac:dyDescent="0.3">
      <c r="A161" s="193">
        <f t="shared" si="6"/>
        <v>205</v>
      </c>
      <c r="B161" s="31" t="s">
        <v>1516</v>
      </c>
      <c r="C161" s="193" t="s">
        <v>342</v>
      </c>
      <c r="D161" s="193" t="s">
        <v>13</v>
      </c>
      <c r="E161" s="193" t="s">
        <v>688</v>
      </c>
      <c r="F161" s="199">
        <v>265623101190</v>
      </c>
      <c r="G161" s="31" t="s">
        <v>40</v>
      </c>
    </row>
    <row r="162" spans="1:7" ht="28.8" x14ac:dyDescent="0.3">
      <c r="A162" s="193">
        <f t="shared" si="6"/>
        <v>206</v>
      </c>
      <c r="B162" s="31" t="s">
        <v>1517</v>
      </c>
      <c r="C162" s="193" t="s">
        <v>342</v>
      </c>
      <c r="D162" s="193" t="s">
        <v>13</v>
      </c>
      <c r="E162" s="193" t="s">
        <v>688</v>
      </c>
      <c r="F162" s="199">
        <v>265623101195</v>
      </c>
      <c r="G162" s="31" t="s">
        <v>40</v>
      </c>
    </row>
    <row r="163" spans="1:7" ht="28.8" x14ac:dyDescent="0.3">
      <c r="A163" s="193">
        <f t="shared" si="6"/>
        <v>207</v>
      </c>
      <c r="B163" s="31" t="s">
        <v>1518</v>
      </c>
      <c r="C163" s="193" t="s">
        <v>342</v>
      </c>
      <c r="D163" s="193" t="s">
        <v>13</v>
      </c>
      <c r="E163" s="193" t="s">
        <v>688</v>
      </c>
      <c r="F163" s="199">
        <v>265623101278</v>
      </c>
      <c r="G163" s="31" t="s">
        <v>40</v>
      </c>
    </row>
    <row r="164" spans="1:7" ht="28.8" x14ac:dyDescent="0.3">
      <c r="A164" s="193">
        <f t="shared" si="6"/>
        <v>208</v>
      </c>
      <c r="B164" s="31" t="s">
        <v>1519</v>
      </c>
      <c r="C164" s="193" t="s">
        <v>342</v>
      </c>
      <c r="D164" s="193" t="s">
        <v>13</v>
      </c>
      <c r="E164" s="193" t="s">
        <v>688</v>
      </c>
      <c r="F164" s="199">
        <v>265623101280</v>
      </c>
      <c r="G164" s="31" t="s">
        <v>40</v>
      </c>
    </row>
    <row r="165" spans="1:7" ht="28.8" x14ac:dyDescent="0.3">
      <c r="A165" s="193">
        <f t="shared" si="6"/>
        <v>209</v>
      </c>
      <c r="B165" s="31" t="s">
        <v>1520</v>
      </c>
      <c r="C165" s="193" t="s">
        <v>342</v>
      </c>
      <c r="D165" s="193" t="s">
        <v>13</v>
      </c>
      <c r="E165" s="193" t="s">
        <v>688</v>
      </c>
      <c r="F165" s="199">
        <v>265623101500</v>
      </c>
      <c r="G165" s="31" t="s">
        <v>40</v>
      </c>
    </row>
    <row r="166" spans="1:7" ht="28.8" x14ac:dyDescent="0.3">
      <c r="A166" s="193">
        <f t="shared" si="6"/>
        <v>210</v>
      </c>
      <c r="B166" s="31" t="s">
        <v>1521</v>
      </c>
      <c r="C166" s="193" t="s">
        <v>342</v>
      </c>
      <c r="D166" s="193" t="s">
        <v>13</v>
      </c>
      <c r="E166" s="193" t="s">
        <v>688</v>
      </c>
      <c r="F166" s="199">
        <v>265623550100</v>
      </c>
      <c r="G166" s="31" t="s">
        <v>40</v>
      </c>
    </row>
    <row r="167" spans="1:7" ht="28.8" x14ac:dyDescent="0.3">
      <c r="A167" s="193">
        <f t="shared" si="6"/>
        <v>211</v>
      </c>
      <c r="B167" s="31" t="s">
        <v>1522</v>
      </c>
      <c r="C167" s="193" t="s">
        <v>342</v>
      </c>
      <c r="D167" s="193" t="s">
        <v>13</v>
      </c>
      <c r="E167" s="193" t="s">
        <v>688</v>
      </c>
      <c r="F167" s="199">
        <v>265623550110</v>
      </c>
      <c r="G167" s="31" t="s">
        <v>40</v>
      </c>
    </row>
    <row r="168" spans="1:7" ht="28.8" x14ac:dyDescent="0.3">
      <c r="A168" s="193">
        <f t="shared" si="6"/>
        <v>212</v>
      </c>
      <c r="B168" s="31" t="s">
        <v>1523</v>
      </c>
      <c r="C168" s="193" t="s">
        <v>342</v>
      </c>
      <c r="D168" s="193" t="s">
        <v>13</v>
      </c>
      <c r="E168" s="193" t="s">
        <v>688</v>
      </c>
      <c r="F168" s="199">
        <v>265623550120</v>
      </c>
      <c r="G168" s="31" t="s">
        <v>40</v>
      </c>
    </row>
    <row r="169" spans="1:7" ht="28.8" x14ac:dyDescent="0.3">
      <c r="A169" s="193">
        <f t="shared" si="6"/>
        <v>213</v>
      </c>
      <c r="B169" s="31" t="s">
        <v>1524</v>
      </c>
      <c r="C169" s="193" t="s">
        <v>342</v>
      </c>
      <c r="D169" s="193" t="s">
        <v>13</v>
      </c>
      <c r="E169" s="193" t="s">
        <v>688</v>
      </c>
      <c r="F169" s="199">
        <v>265623550200</v>
      </c>
      <c r="G169" s="31" t="s">
        <v>40</v>
      </c>
    </row>
    <row r="170" spans="1:7" ht="28.8" x14ac:dyDescent="0.3">
      <c r="A170" s="193">
        <f t="shared" si="6"/>
        <v>214</v>
      </c>
      <c r="B170" s="31" t="s">
        <v>1525</v>
      </c>
      <c r="C170" s="193" t="s">
        <v>342</v>
      </c>
      <c r="D170" s="193" t="s">
        <v>13</v>
      </c>
      <c r="E170" s="193" t="s">
        <v>688</v>
      </c>
      <c r="F170" s="199">
        <v>265623550210</v>
      </c>
      <c r="G170" s="31" t="s">
        <v>40</v>
      </c>
    </row>
    <row r="171" spans="1:7" ht="28.8" x14ac:dyDescent="0.3">
      <c r="A171" s="193">
        <f t="shared" si="6"/>
        <v>215</v>
      </c>
      <c r="B171" s="31" t="s">
        <v>1526</v>
      </c>
      <c r="C171" s="193" t="s">
        <v>342</v>
      </c>
      <c r="D171" s="193" t="s">
        <v>13</v>
      </c>
      <c r="E171" s="193" t="s">
        <v>688</v>
      </c>
      <c r="F171" s="199">
        <v>265623550300</v>
      </c>
      <c r="G171" s="31" t="s">
        <v>40</v>
      </c>
    </row>
    <row r="172" spans="1:7" ht="28.8" x14ac:dyDescent="0.3">
      <c r="A172" s="193">
        <f t="shared" si="6"/>
        <v>216</v>
      </c>
      <c r="B172" s="31" t="s">
        <v>1527</v>
      </c>
      <c r="C172" s="193" t="s">
        <v>342</v>
      </c>
      <c r="D172" s="193" t="s">
        <v>13</v>
      </c>
      <c r="E172" s="193" t="s">
        <v>688</v>
      </c>
      <c r="F172" s="199">
        <v>265623550310</v>
      </c>
      <c r="G172" s="31" t="s">
        <v>40</v>
      </c>
    </row>
    <row r="173" spans="1:7" ht="28.8" x14ac:dyDescent="0.3">
      <c r="A173" s="193">
        <f t="shared" si="6"/>
        <v>217</v>
      </c>
      <c r="B173" s="31" t="s">
        <v>1528</v>
      </c>
      <c r="C173" s="193" t="s">
        <v>342</v>
      </c>
      <c r="D173" s="193" t="s">
        <v>13</v>
      </c>
      <c r="E173" s="193" t="s">
        <v>688</v>
      </c>
      <c r="F173" s="199">
        <v>265623550320</v>
      </c>
      <c r="G173" s="31" t="s">
        <v>40</v>
      </c>
    </row>
    <row r="174" spans="1:7" ht="28.8" x14ac:dyDescent="0.3">
      <c r="A174" s="193">
        <f t="shared" si="6"/>
        <v>218</v>
      </c>
      <c r="B174" s="31" t="s">
        <v>1529</v>
      </c>
      <c r="C174" s="193" t="s">
        <v>342</v>
      </c>
      <c r="D174" s="193" t="s">
        <v>13</v>
      </c>
      <c r="E174" s="193" t="s">
        <v>688</v>
      </c>
      <c r="F174" s="199">
        <v>265623550330</v>
      </c>
      <c r="G174" s="31" t="s">
        <v>40</v>
      </c>
    </row>
    <row r="175" spans="1:7" ht="28.8" x14ac:dyDescent="0.3">
      <c r="A175" s="193">
        <f t="shared" si="6"/>
        <v>219</v>
      </c>
      <c r="B175" s="31" t="s">
        <v>1530</v>
      </c>
      <c r="C175" s="193" t="s">
        <v>342</v>
      </c>
      <c r="D175" s="193" t="s">
        <v>13</v>
      </c>
      <c r="E175" s="193" t="s">
        <v>688</v>
      </c>
      <c r="F175" s="199">
        <v>265623550340</v>
      </c>
      <c r="G175" s="31" t="s">
        <v>40</v>
      </c>
    </row>
    <row r="176" spans="1:7" ht="28.8" x14ac:dyDescent="0.3">
      <c r="A176" s="193">
        <f t="shared" si="6"/>
        <v>220</v>
      </c>
      <c r="B176" s="31" t="s">
        <v>1531</v>
      </c>
      <c r="C176" s="193" t="s">
        <v>342</v>
      </c>
      <c r="D176" s="193" t="s">
        <v>13</v>
      </c>
      <c r="E176" s="193" t="s">
        <v>688</v>
      </c>
      <c r="F176" s="199">
        <v>265623550350</v>
      </c>
      <c r="G176" s="31" t="s">
        <v>40</v>
      </c>
    </row>
    <row r="177" spans="1:7" ht="28.8" x14ac:dyDescent="0.3">
      <c r="A177" s="193">
        <f t="shared" si="6"/>
        <v>221</v>
      </c>
      <c r="B177" s="31" t="s">
        <v>1532</v>
      </c>
      <c r="C177" s="193" t="s">
        <v>342</v>
      </c>
      <c r="D177" s="193" t="s">
        <v>13</v>
      </c>
      <c r="E177" s="193" t="s">
        <v>688</v>
      </c>
      <c r="F177" s="199">
        <v>265623550360</v>
      </c>
      <c r="G177" s="31" t="s">
        <v>40</v>
      </c>
    </row>
    <row r="178" spans="1:7" ht="28.8" x14ac:dyDescent="0.3">
      <c r="A178" s="193">
        <f t="shared" si="6"/>
        <v>222</v>
      </c>
      <c r="B178" s="31" t="s">
        <v>1533</v>
      </c>
      <c r="C178" s="193" t="s">
        <v>342</v>
      </c>
      <c r="D178" s="193" t="s">
        <v>13</v>
      </c>
      <c r="E178" s="193" t="s">
        <v>688</v>
      </c>
      <c r="F178" s="199">
        <v>265623550370</v>
      </c>
      <c r="G178" s="31" t="s">
        <v>40</v>
      </c>
    </row>
    <row r="179" spans="1:7" ht="28.8" x14ac:dyDescent="0.3">
      <c r="A179" s="193">
        <f t="shared" si="6"/>
        <v>223</v>
      </c>
      <c r="B179" s="31" t="s">
        <v>1534</v>
      </c>
      <c r="C179" s="193" t="s">
        <v>342</v>
      </c>
      <c r="D179" s="193" t="s">
        <v>13</v>
      </c>
      <c r="E179" s="193" t="s">
        <v>688</v>
      </c>
      <c r="F179" s="199">
        <v>265623550400</v>
      </c>
      <c r="G179" s="31" t="s">
        <v>40</v>
      </c>
    </row>
    <row r="180" spans="1:7" ht="28.8" x14ac:dyDescent="0.3">
      <c r="A180" s="193">
        <f t="shared" si="6"/>
        <v>224</v>
      </c>
      <c r="B180" s="31" t="s">
        <v>1535</v>
      </c>
      <c r="C180" s="193" t="s">
        <v>342</v>
      </c>
      <c r="D180" s="193" t="s">
        <v>13</v>
      </c>
      <c r="E180" s="193" t="s">
        <v>688</v>
      </c>
      <c r="F180" s="199">
        <v>265623550410</v>
      </c>
      <c r="G180" s="31" t="s">
        <v>40</v>
      </c>
    </row>
    <row r="181" spans="1:7" ht="28.8" x14ac:dyDescent="0.3">
      <c r="A181" s="193">
        <f t="shared" si="6"/>
        <v>225</v>
      </c>
      <c r="B181" s="31" t="s">
        <v>1536</v>
      </c>
      <c r="C181" s="193" t="s">
        <v>342</v>
      </c>
      <c r="D181" s="193" t="s">
        <v>13</v>
      </c>
      <c r="E181" s="193" t="s">
        <v>688</v>
      </c>
      <c r="F181" s="199">
        <v>265623550420</v>
      </c>
      <c r="G181" s="31" t="s">
        <v>40</v>
      </c>
    </row>
    <row r="182" spans="1:7" ht="28.8" x14ac:dyDescent="0.3">
      <c r="A182" s="193">
        <f t="shared" si="6"/>
        <v>226</v>
      </c>
      <c r="B182" s="31" t="s">
        <v>1537</v>
      </c>
      <c r="C182" s="193" t="s">
        <v>342</v>
      </c>
      <c r="D182" s="193" t="s">
        <v>13</v>
      </c>
      <c r="E182" s="193" t="s">
        <v>688</v>
      </c>
      <c r="F182" s="199">
        <v>265623550430</v>
      </c>
      <c r="G182" s="31" t="s">
        <v>40</v>
      </c>
    </row>
    <row r="183" spans="1:7" ht="28.8" x14ac:dyDescent="0.3">
      <c r="A183" s="193">
        <f t="shared" si="6"/>
        <v>227</v>
      </c>
      <c r="B183" s="31" t="s">
        <v>1538</v>
      </c>
      <c r="C183" s="193" t="s">
        <v>342</v>
      </c>
      <c r="D183" s="193" t="s">
        <v>13</v>
      </c>
      <c r="E183" s="193" t="s">
        <v>688</v>
      </c>
      <c r="F183" s="199">
        <v>265623550440</v>
      </c>
      <c r="G183" s="31" t="s">
        <v>40</v>
      </c>
    </row>
    <row r="184" spans="1:7" ht="28.8" x14ac:dyDescent="0.3">
      <c r="A184" s="193">
        <v>228</v>
      </c>
      <c r="B184" s="31" t="s">
        <v>1997</v>
      </c>
      <c r="C184" s="193" t="s">
        <v>342</v>
      </c>
      <c r="D184" s="193" t="s">
        <v>13</v>
      </c>
      <c r="E184" s="193" t="s">
        <v>688</v>
      </c>
      <c r="F184" s="199">
        <v>265616550100</v>
      </c>
      <c r="G184" s="31" t="s">
        <v>40</v>
      </c>
    </row>
    <row r="185" spans="1:7" ht="28.8" x14ac:dyDescent="0.3">
      <c r="A185" s="193">
        <v>229</v>
      </c>
      <c r="B185" s="31" t="s">
        <v>1998</v>
      </c>
      <c r="C185" s="193" t="s">
        <v>342</v>
      </c>
      <c r="D185" s="193" t="s">
        <v>13</v>
      </c>
      <c r="E185" s="193" t="s">
        <v>688</v>
      </c>
      <c r="F185" s="199">
        <v>265633550100</v>
      </c>
      <c r="G185" s="31" t="s">
        <v>40</v>
      </c>
    </row>
    <row r="186" spans="1:7" ht="28.8" x14ac:dyDescent="0.3">
      <c r="A186" s="193">
        <v>230</v>
      </c>
      <c r="B186" s="31" t="s">
        <v>1999</v>
      </c>
      <c r="C186" s="193" t="s">
        <v>342</v>
      </c>
      <c r="D186" s="193" t="s">
        <v>13</v>
      </c>
      <c r="E186" s="193" t="s">
        <v>688</v>
      </c>
      <c r="F186" s="199">
        <v>265633550110</v>
      </c>
      <c r="G186" s="31" t="s">
        <v>40</v>
      </c>
    </row>
    <row r="187" spans="1:7" ht="28.8" x14ac:dyDescent="0.3">
      <c r="A187" s="193">
        <v>231</v>
      </c>
      <c r="B187" s="31" t="s">
        <v>2000</v>
      </c>
      <c r="C187" s="193" t="s">
        <v>342</v>
      </c>
      <c r="D187" s="193" t="s">
        <v>13</v>
      </c>
      <c r="E187" s="193" t="s">
        <v>688</v>
      </c>
      <c r="F187" s="199">
        <v>265633550120</v>
      </c>
      <c r="G187" s="31" t="s">
        <v>40</v>
      </c>
    </row>
    <row r="188" spans="1:7" ht="28.8" x14ac:dyDescent="0.3">
      <c r="A188" s="193">
        <v>250</v>
      </c>
      <c r="B188" s="31" t="s">
        <v>1539</v>
      </c>
      <c r="C188" s="193" t="s">
        <v>342</v>
      </c>
      <c r="D188" s="193" t="s">
        <v>13</v>
      </c>
      <c r="E188" s="193" t="s">
        <v>688</v>
      </c>
      <c r="F188" s="199">
        <v>266123100080</v>
      </c>
      <c r="G188" s="31" t="s">
        <v>40</v>
      </c>
    </row>
    <row r="189" spans="1:7" ht="28.8" x14ac:dyDescent="0.3">
      <c r="A189" s="193">
        <f t="shared" si="6"/>
        <v>251</v>
      </c>
      <c r="B189" s="31" t="s">
        <v>1540</v>
      </c>
      <c r="C189" s="193" t="s">
        <v>342</v>
      </c>
      <c r="D189" s="193" t="s">
        <v>13</v>
      </c>
      <c r="E189" s="193" t="s">
        <v>688</v>
      </c>
      <c r="F189" s="199">
        <v>266123100100</v>
      </c>
      <c r="G189" s="31" t="s">
        <v>40</v>
      </c>
    </row>
    <row r="190" spans="1:7" ht="28.8" x14ac:dyDescent="0.3">
      <c r="A190" s="193">
        <f t="shared" si="6"/>
        <v>252</v>
      </c>
      <c r="B190" s="31" t="s">
        <v>1541</v>
      </c>
      <c r="C190" s="193" t="s">
        <v>342</v>
      </c>
      <c r="D190" s="193" t="s">
        <v>13</v>
      </c>
      <c r="E190" s="193" t="s">
        <v>688</v>
      </c>
      <c r="F190" s="199">
        <v>266123100120</v>
      </c>
      <c r="G190" s="31" t="s">
        <v>40</v>
      </c>
    </row>
    <row r="191" spans="1:7" ht="28.8" x14ac:dyDescent="0.3">
      <c r="A191" s="193">
        <f t="shared" si="6"/>
        <v>253</v>
      </c>
      <c r="B191" s="31" t="s">
        <v>1542</v>
      </c>
      <c r="C191" s="193" t="s">
        <v>342</v>
      </c>
      <c r="D191" s="193" t="s">
        <v>13</v>
      </c>
      <c r="E191" s="193" t="s">
        <v>688</v>
      </c>
      <c r="F191" s="199">
        <v>266123100125</v>
      </c>
      <c r="G191" s="31" t="s">
        <v>40</v>
      </c>
    </row>
    <row r="192" spans="1:7" ht="28.8" x14ac:dyDescent="0.3">
      <c r="A192" s="193">
        <f t="shared" si="6"/>
        <v>254</v>
      </c>
      <c r="B192" s="31" t="s">
        <v>1543</v>
      </c>
      <c r="C192" s="193" t="s">
        <v>342</v>
      </c>
      <c r="D192" s="193" t="s">
        <v>13</v>
      </c>
      <c r="E192" s="193" t="s">
        <v>688</v>
      </c>
      <c r="F192" s="199">
        <v>266123100150</v>
      </c>
      <c r="G192" s="31" t="s">
        <v>40</v>
      </c>
    </row>
    <row r="193" spans="1:7" ht="28.8" x14ac:dyDescent="0.3">
      <c r="A193" s="193">
        <f t="shared" si="6"/>
        <v>255</v>
      </c>
      <c r="B193" s="31" t="s">
        <v>1544</v>
      </c>
      <c r="C193" s="193" t="s">
        <v>342</v>
      </c>
      <c r="D193" s="193" t="s">
        <v>13</v>
      </c>
      <c r="E193" s="193" t="s">
        <v>688</v>
      </c>
      <c r="F193" s="199">
        <v>266123100155</v>
      </c>
      <c r="G193" s="31" t="s">
        <v>40</v>
      </c>
    </row>
    <row r="194" spans="1:7" ht="43.2" x14ac:dyDescent="0.3">
      <c r="A194" s="193">
        <f t="shared" si="6"/>
        <v>256</v>
      </c>
      <c r="B194" s="31" t="s">
        <v>1545</v>
      </c>
      <c r="C194" s="193" t="s">
        <v>342</v>
      </c>
      <c r="D194" s="193" t="s">
        <v>13</v>
      </c>
      <c r="E194" s="193" t="s">
        <v>688</v>
      </c>
      <c r="F194" s="199">
        <v>266123100170</v>
      </c>
      <c r="G194" s="31" t="s">
        <v>40</v>
      </c>
    </row>
    <row r="195" spans="1:7" ht="28.8" x14ac:dyDescent="0.3">
      <c r="A195" s="193">
        <f t="shared" si="6"/>
        <v>257</v>
      </c>
      <c r="B195" s="31" t="s">
        <v>1546</v>
      </c>
      <c r="C195" s="193" t="s">
        <v>342</v>
      </c>
      <c r="D195" s="193" t="s">
        <v>13</v>
      </c>
      <c r="E195" s="193" t="s">
        <v>688</v>
      </c>
      <c r="F195" s="199">
        <v>266123100176</v>
      </c>
      <c r="G195" s="31" t="s">
        <v>40</v>
      </c>
    </row>
    <row r="196" spans="1:7" ht="28.8" x14ac:dyDescent="0.3">
      <c r="A196" s="193">
        <f t="shared" si="6"/>
        <v>258</v>
      </c>
      <c r="B196" s="31" t="s">
        <v>1547</v>
      </c>
      <c r="C196" s="193" t="s">
        <v>342</v>
      </c>
      <c r="D196" s="193" t="s">
        <v>13</v>
      </c>
      <c r="E196" s="193" t="s">
        <v>688</v>
      </c>
      <c r="F196" s="199">
        <v>266123100178</v>
      </c>
      <c r="G196" s="31" t="s">
        <v>40</v>
      </c>
    </row>
    <row r="197" spans="1:7" ht="28.8" x14ac:dyDescent="0.3">
      <c r="A197" s="193">
        <f t="shared" si="6"/>
        <v>259</v>
      </c>
      <c r="B197" s="31" t="s">
        <v>1548</v>
      </c>
      <c r="C197" s="193" t="s">
        <v>342</v>
      </c>
      <c r="D197" s="193" t="s">
        <v>13</v>
      </c>
      <c r="E197" s="193" t="s">
        <v>688</v>
      </c>
      <c r="F197" s="199">
        <v>266123100180</v>
      </c>
      <c r="G197" s="31" t="s">
        <v>40</v>
      </c>
    </row>
    <row r="198" spans="1:7" ht="28.8" x14ac:dyDescent="0.3">
      <c r="A198" s="193">
        <f t="shared" si="6"/>
        <v>260</v>
      </c>
      <c r="B198" s="31" t="s">
        <v>1549</v>
      </c>
      <c r="C198" s="193" t="s">
        <v>342</v>
      </c>
      <c r="D198" s="193" t="s">
        <v>13</v>
      </c>
      <c r="E198" s="193" t="s">
        <v>688</v>
      </c>
      <c r="F198" s="199">
        <v>266123100200</v>
      </c>
      <c r="G198" s="31" t="s">
        <v>40</v>
      </c>
    </row>
    <row r="199" spans="1:7" ht="28.8" x14ac:dyDescent="0.3">
      <c r="A199" s="193">
        <f t="shared" si="6"/>
        <v>261</v>
      </c>
      <c r="B199" s="31" t="s">
        <v>1550</v>
      </c>
      <c r="C199" s="193" t="s">
        <v>342</v>
      </c>
      <c r="D199" s="193" t="s">
        <v>13</v>
      </c>
      <c r="E199" s="193" t="s">
        <v>688</v>
      </c>
      <c r="F199" s="199">
        <v>266123100210</v>
      </c>
      <c r="G199" s="31" t="s">
        <v>40</v>
      </c>
    </row>
    <row r="200" spans="1:7" ht="28.8" x14ac:dyDescent="0.3">
      <c r="A200" s="193">
        <f t="shared" si="6"/>
        <v>262</v>
      </c>
      <c r="B200" s="31" t="s">
        <v>1551</v>
      </c>
      <c r="C200" s="193" t="s">
        <v>342</v>
      </c>
      <c r="D200" s="193" t="s">
        <v>13</v>
      </c>
      <c r="E200" s="193" t="s">
        <v>688</v>
      </c>
      <c r="F200" s="199">
        <v>266123100300</v>
      </c>
      <c r="G200" s="31" t="s">
        <v>40</v>
      </c>
    </row>
    <row r="201" spans="1:7" ht="28.8" x14ac:dyDescent="0.3">
      <c r="A201" s="193">
        <f t="shared" si="6"/>
        <v>263</v>
      </c>
      <c r="B201" s="31" t="s">
        <v>1552</v>
      </c>
      <c r="C201" s="193" t="s">
        <v>342</v>
      </c>
      <c r="D201" s="193" t="s">
        <v>13</v>
      </c>
      <c r="E201" s="193" t="s">
        <v>688</v>
      </c>
      <c r="F201" s="199">
        <v>266123100350</v>
      </c>
      <c r="G201" s="31" t="s">
        <v>40</v>
      </c>
    </row>
    <row r="202" spans="1:7" ht="28.8" x14ac:dyDescent="0.3">
      <c r="A202" s="193">
        <f t="shared" si="6"/>
        <v>264</v>
      </c>
      <c r="B202" s="31" t="s">
        <v>1553</v>
      </c>
      <c r="C202" s="193" t="s">
        <v>342</v>
      </c>
      <c r="D202" s="193" t="s">
        <v>13</v>
      </c>
      <c r="E202" s="193" t="s">
        <v>688</v>
      </c>
      <c r="F202" s="199">
        <v>266123100400</v>
      </c>
      <c r="G202" s="31" t="s">
        <v>40</v>
      </c>
    </row>
    <row r="203" spans="1:7" ht="28.8" x14ac:dyDescent="0.3">
      <c r="A203" s="193">
        <f t="shared" si="6"/>
        <v>265</v>
      </c>
      <c r="B203" s="31" t="s">
        <v>1554</v>
      </c>
      <c r="C203" s="193" t="s">
        <v>342</v>
      </c>
      <c r="D203" s="193" t="s">
        <v>13</v>
      </c>
      <c r="E203" s="193" t="s">
        <v>688</v>
      </c>
      <c r="F203" s="199">
        <v>266123100410</v>
      </c>
      <c r="G203" s="31" t="s">
        <v>40</v>
      </c>
    </row>
    <row r="204" spans="1:7" ht="28.8" x14ac:dyDescent="0.3">
      <c r="A204" s="193">
        <f t="shared" si="6"/>
        <v>266</v>
      </c>
      <c r="B204" s="31" t="s">
        <v>1555</v>
      </c>
      <c r="C204" s="193" t="s">
        <v>342</v>
      </c>
      <c r="D204" s="193" t="s">
        <v>13</v>
      </c>
      <c r="E204" s="193" t="s">
        <v>688</v>
      </c>
      <c r="F204" s="199">
        <v>266123100500</v>
      </c>
      <c r="G204" s="31" t="s">
        <v>40</v>
      </c>
    </row>
    <row r="205" spans="1:7" ht="28.8" x14ac:dyDescent="0.3">
      <c r="A205" s="193">
        <f t="shared" si="6"/>
        <v>267</v>
      </c>
      <c r="B205" s="31" t="s">
        <v>1556</v>
      </c>
      <c r="C205" s="193" t="s">
        <v>342</v>
      </c>
      <c r="D205" s="193" t="s">
        <v>13</v>
      </c>
      <c r="E205" s="193" t="s">
        <v>688</v>
      </c>
      <c r="F205" s="199">
        <v>266123100512</v>
      </c>
      <c r="G205" s="31" t="s">
        <v>40</v>
      </c>
    </row>
    <row r="206" spans="1:7" ht="28.8" x14ac:dyDescent="0.3">
      <c r="A206" s="193">
        <f t="shared" si="6"/>
        <v>268</v>
      </c>
      <c r="B206" s="31" t="s">
        <v>1557</v>
      </c>
      <c r="C206" s="193" t="s">
        <v>342</v>
      </c>
      <c r="D206" s="193" t="s">
        <v>13</v>
      </c>
      <c r="E206" s="193" t="s">
        <v>688</v>
      </c>
      <c r="F206" s="199">
        <v>266123100514</v>
      </c>
      <c r="G206" s="31" t="s">
        <v>40</v>
      </c>
    </row>
    <row r="207" spans="1:7" ht="28.8" x14ac:dyDescent="0.3">
      <c r="A207" s="193">
        <f t="shared" si="6"/>
        <v>269</v>
      </c>
      <c r="B207" s="31" t="s">
        <v>1558</v>
      </c>
      <c r="C207" s="193" t="s">
        <v>342</v>
      </c>
      <c r="D207" s="193" t="s">
        <v>13</v>
      </c>
      <c r="E207" s="193" t="s">
        <v>688</v>
      </c>
      <c r="F207" s="199">
        <v>266123100516</v>
      </c>
      <c r="G207" s="31" t="s">
        <v>40</v>
      </c>
    </row>
    <row r="208" spans="1:7" ht="28.8" x14ac:dyDescent="0.3">
      <c r="A208" s="193">
        <f t="shared" si="6"/>
        <v>270</v>
      </c>
      <c r="B208" s="31" t="s">
        <v>1559</v>
      </c>
      <c r="C208" s="193" t="s">
        <v>342</v>
      </c>
      <c r="D208" s="193" t="s">
        <v>13</v>
      </c>
      <c r="E208" s="193" t="s">
        <v>688</v>
      </c>
      <c r="F208" s="199">
        <v>266123100517</v>
      </c>
      <c r="G208" s="31" t="s">
        <v>40</v>
      </c>
    </row>
    <row r="209" spans="1:7" ht="28.8" x14ac:dyDescent="0.3">
      <c r="A209" s="193">
        <f t="shared" si="6"/>
        <v>271</v>
      </c>
      <c r="B209" s="31" t="s">
        <v>1560</v>
      </c>
      <c r="C209" s="193" t="s">
        <v>342</v>
      </c>
      <c r="D209" s="193" t="s">
        <v>13</v>
      </c>
      <c r="E209" s="193" t="s">
        <v>688</v>
      </c>
      <c r="F209" s="199">
        <v>266123100520</v>
      </c>
      <c r="G209" s="31" t="s">
        <v>40</v>
      </c>
    </row>
    <row r="210" spans="1:7" ht="28.8" x14ac:dyDescent="0.3">
      <c r="A210" s="193">
        <f t="shared" si="6"/>
        <v>272</v>
      </c>
      <c r="B210" s="31" t="s">
        <v>1561</v>
      </c>
      <c r="C210" s="193" t="s">
        <v>342</v>
      </c>
      <c r="D210" s="193" t="s">
        <v>13</v>
      </c>
      <c r="E210" s="193" t="s">
        <v>688</v>
      </c>
      <c r="F210" s="199">
        <v>266123100525</v>
      </c>
      <c r="G210" s="31" t="s">
        <v>40</v>
      </c>
    </row>
    <row r="211" spans="1:7" ht="28.8" x14ac:dyDescent="0.3">
      <c r="A211" s="193">
        <f t="shared" si="6"/>
        <v>273</v>
      </c>
      <c r="B211" s="31" t="s">
        <v>1562</v>
      </c>
      <c r="C211" s="193" t="s">
        <v>342</v>
      </c>
      <c r="D211" s="193" t="s">
        <v>13</v>
      </c>
      <c r="E211" s="193" t="s">
        <v>688</v>
      </c>
      <c r="F211" s="199">
        <v>266123100550</v>
      </c>
      <c r="G211" s="31" t="s">
        <v>40</v>
      </c>
    </row>
    <row r="212" spans="1:7" ht="28.8" x14ac:dyDescent="0.3">
      <c r="A212" s="193">
        <f t="shared" si="6"/>
        <v>274</v>
      </c>
      <c r="B212" s="31" t="s">
        <v>1563</v>
      </c>
      <c r="C212" s="193" t="s">
        <v>342</v>
      </c>
      <c r="D212" s="193" t="s">
        <v>13</v>
      </c>
      <c r="E212" s="193" t="s">
        <v>688</v>
      </c>
      <c r="F212" s="199">
        <v>266123100554</v>
      </c>
      <c r="G212" s="31" t="s">
        <v>40</v>
      </c>
    </row>
    <row r="213" spans="1:7" ht="28.8" x14ac:dyDescent="0.3">
      <c r="A213" s="193">
        <f t="shared" si="6"/>
        <v>275</v>
      </c>
      <c r="B213" s="31" t="s">
        <v>1564</v>
      </c>
      <c r="C213" s="193" t="s">
        <v>342</v>
      </c>
      <c r="D213" s="193" t="s">
        <v>13</v>
      </c>
      <c r="E213" s="193" t="s">
        <v>688</v>
      </c>
      <c r="F213" s="199">
        <v>266123100556</v>
      </c>
      <c r="G213" s="31" t="s">
        <v>40</v>
      </c>
    </row>
    <row r="214" spans="1:7" ht="28.8" x14ac:dyDescent="0.3">
      <c r="A214" s="193">
        <f t="shared" si="6"/>
        <v>276</v>
      </c>
      <c r="B214" s="31" t="s">
        <v>1565</v>
      </c>
      <c r="C214" s="193" t="s">
        <v>342</v>
      </c>
      <c r="D214" s="193" t="s">
        <v>13</v>
      </c>
      <c r="E214" s="193" t="s">
        <v>688</v>
      </c>
      <c r="F214" s="199">
        <v>266123100558</v>
      </c>
      <c r="G214" s="31" t="s">
        <v>40</v>
      </c>
    </row>
    <row r="215" spans="1:7" ht="28.8" x14ac:dyDescent="0.3">
      <c r="A215" s="193">
        <f t="shared" si="6"/>
        <v>277</v>
      </c>
      <c r="B215" s="31" t="s">
        <v>1566</v>
      </c>
      <c r="C215" s="193" t="s">
        <v>342</v>
      </c>
      <c r="D215" s="193" t="s">
        <v>13</v>
      </c>
      <c r="E215" s="193" t="s">
        <v>688</v>
      </c>
      <c r="F215" s="199">
        <v>266123100560</v>
      </c>
      <c r="G215" s="31" t="s">
        <v>40</v>
      </c>
    </row>
    <row r="216" spans="1:7" ht="28.8" x14ac:dyDescent="0.3">
      <c r="A216" s="193">
        <f t="shared" si="6"/>
        <v>278</v>
      </c>
      <c r="B216" s="31" t="s">
        <v>1567</v>
      </c>
      <c r="C216" s="193" t="s">
        <v>342</v>
      </c>
      <c r="D216" s="193" t="s">
        <v>13</v>
      </c>
      <c r="E216" s="193" t="s">
        <v>688</v>
      </c>
      <c r="F216" s="199">
        <v>266123100570</v>
      </c>
      <c r="G216" s="31" t="s">
        <v>40</v>
      </c>
    </row>
    <row r="217" spans="1:7" ht="28.8" x14ac:dyDescent="0.3">
      <c r="A217" s="193">
        <f t="shared" ref="A217:A247" si="7">A216+1</f>
        <v>279</v>
      </c>
      <c r="B217" s="31" t="s">
        <v>1568</v>
      </c>
      <c r="C217" s="193" t="s">
        <v>342</v>
      </c>
      <c r="D217" s="193" t="s">
        <v>13</v>
      </c>
      <c r="E217" s="193" t="s">
        <v>688</v>
      </c>
      <c r="F217" s="199">
        <v>266123101000</v>
      </c>
      <c r="G217" s="31" t="s">
        <v>40</v>
      </c>
    </row>
    <row r="218" spans="1:7" ht="28.8" x14ac:dyDescent="0.3">
      <c r="A218" s="193">
        <f t="shared" si="7"/>
        <v>280</v>
      </c>
      <c r="B218" s="31" t="s">
        <v>1569</v>
      </c>
      <c r="C218" s="193" t="s">
        <v>342</v>
      </c>
      <c r="D218" s="193" t="s">
        <v>13</v>
      </c>
      <c r="E218" s="193" t="s">
        <v>688</v>
      </c>
      <c r="F218" s="199">
        <v>266123101100</v>
      </c>
      <c r="G218" s="31" t="s">
        <v>40</v>
      </c>
    </row>
    <row r="219" spans="1:7" ht="28.8" x14ac:dyDescent="0.3">
      <c r="A219" s="193">
        <f t="shared" si="7"/>
        <v>281</v>
      </c>
      <c r="B219" s="31" t="s">
        <v>1570</v>
      </c>
      <c r="C219" s="193" t="s">
        <v>342</v>
      </c>
      <c r="D219" s="193" t="s">
        <v>13</v>
      </c>
      <c r="E219" s="193" t="s">
        <v>688</v>
      </c>
      <c r="F219" s="199">
        <v>266123101200</v>
      </c>
      <c r="G219" s="31" t="s">
        <v>40</v>
      </c>
    </row>
    <row r="220" spans="1:7" ht="28.8" x14ac:dyDescent="0.3">
      <c r="A220" s="193">
        <f t="shared" si="7"/>
        <v>282</v>
      </c>
      <c r="B220" s="31" t="s">
        <v>1571</v>
      </c>
      <c r="C220" s="193" t="s">
        <v>342</v>
      </c>
      <c r="D220" s="193" t="s">
        <v>13</v>
      </c>
      <c r="E220" s="193" t="s">
        <v>688</v>
      </c>
      <c r="F220" s="199">
        <v>266123101300</v>
      </c>
      <c r="G220" s="31" t="s">
        <v>40</v>
      </c>
    </row>
    <row r="221" spans="1:7" ht="28.8" x14ac:dyDescent="0.3">
      <c r="A221" s="193">
        <f t="shared" si="7"/>
        <v>283</v>
      </c>
      <c r="B221" s="31" t="s">
        <v>1572</v>
      </c>
      <c r="C221" s="193" t="s">
        <v>342</v>
      </c>
      <c r="D221" s="193" t="s">
        <v>13</v>
      </c>
      <c r="E221" s="193" t="s">
        <v>688</v>
      </c>
      <c r="F221" s="199">
        <v>266123101320</v>
      </c>
      <c r="G221" s="31" t="s">
        <v>40</v>
      </c>
    </row>
    <row r="222" spans="1:7" ht="28.8" x14ac:dyDescent="0.3">
      <c r="A222" s="193">
        <f t="shared" si="7"/>
        <v>284</v>
      </c>
      <c r="B222" s="31" t="s">
        <v>1573</v>
      </c>
      <c r="C222" s="193" t="s">
        <v>342</v>
      </c>
      <c r="D222" s="193" t="s">
        <v>13</v>
      </c>
      <c r="E222" s="193" t="s">
        <v>688</v>
      </c>
      <c r="F222" s="199">
        <v>266123101330</v>
      </c>
      <c r="G222" s="31" t="s">
        <v>40</v>
      </c>
    </row>
    <row r="223" spans="1:7" ht="28.8" x14ac:dyDescent="0.3">
      <c r="A223" s="193">
        <f t="shared" si="7"/>
        <v>285</v>
      </c>
      <c r="B223" s="31" t="s">
        <v>1574</v>
      </c>
      <c r="C223" s="193" t="s">
        <v>342</v>
      </c>
      <c r="D223" s="193" t="s">
        <v>13</v>
      </c>
      <c r="E223" s="193" t="s">
        <v>688</v>
      </c>
      <c r="F223" s="199">
        <v>266123101350</v>
      </c>
      <c r="G223" s="31" t="s">
        <v>40</v>
      </c>
    </row>
    <row r="224" spans="1:7" ht="28.8" x14ac:dyDescent="0.3">
      <c r="A224" s="193">
        <f t="shared" si="7"/>
        <v>286</v>
      </c>
      <c r="B224" s="31" t="s">
        <v>1575</v>
      </c>
      <c r="C224" s="193" t="s">
        <v>342</v>
      </c>
      <c r="D224" s="193" t="s">
        <v>13</v>
      </c>
      <c r="E224" s="193" t="s">
        <v>688</v>
      </c>
      <c r="F224" s="199">
        <v>266123101360</v>
      </c>
      <c r="G224" s="31" t="s">
        <v>40</v>
      </c>
    </row>
    <row r="225" spans="1:7" ht="28.8" x14ac:dyDescent="0.3">
      <c r="A225" s="193">
        <f t="shared" si="7"/>
        <v>287</v>
      </c>
      <c r="B225" s="31" t="s">
        <v>1576</v>
      </c>
      <c r="C225" s="193" t="s">
        <v>342</v>
      </c>
      <c r="D225" s="193" t="s">
        <v>13</v>
      </c>
      <c r="E225" s="193" t="s">
        <v>688</v>
      </c>
      <c r="F225" s="199">
        <v>266123101370</v>
      </c>
      <c r="G225" s="31" t="s">
        <v>40</v>
      </c>
    </row>
    <row r="226" spans="1:7" ht="28.8" x14ac:dyDescent="0.3">
      <c r="A226" s="193">
        <f t="shared" si="7"/>
        <v>288</v>
      </c>
      <c r="B226" s="31" t="s">
        <v>1577</v>
      </c>
      <c r="C226" s="193" t="s">
        <v>342</v>
      </c>
      <c r="D226" s="193" t="s">
        <v>13</v>
      </c>
      <c r="E226" s="193" t="s">
        <v>688</v>
      </c>
      <c r="F226" s="199">
        <v>266123101380</v>
      </c>
      <c r="G226" s="31" t="s">
        <v>40</v>
      </c>
    </row>
    <row r="227" spans="1:7" ht="28.8" x14ac:dyDescent="0.3">
      <c r="A227" s="193">
        <f t="shared" si="7"/>
        <v>289</v>
      </c>
      <c r="B227" s="31" t="s">
        <v>1578</v>
      </c>
      <c r="C227" s="193" t="s">
        <v>342</v>
      </c>
      <c r="D227" s="193" t="s">
        <v>13</v>
      </c>
      <c r="E227" s="193" t="s">
        <v>688</v>
      </c>
      <c r="F227" s="199">
        <v>266123101400</v>
      </c>
      <c r="G227" s="31" t="s">
        <v>40</v>
      </c>
    </row>
    <row r="228" spans="1:7" ht="28.8" x14ac:dyDescent="0.3">
      <c r="A228" s="193">
        <f t="shared" si="7"/>
        <v>290</v>
      </c>
      <c r="B228" s="31" t="s">
        <v>1579</v>
      </c>
      <c r="C228" s="193" t="s">
        <v>342</v>
      </c>
      <c r="D228" s="193" t="s">
        <v>13</v>
      </c>
      <c r="E228" s="193" t="s">
        <v>688</v>
      </c>
      <c r="F228" s="199">
        <v>266123101450</v>
      </c>
      <c r="G228" s="31" t="s">
        <v>40</v>
      </c>
    </row>
    <row r="229" spans="1:7" ht="28.8" x14ac:dyDescent="0.3">
      <c r="A229" s="193">
        <f t="shared" si="7"/>
        <v>291</v>
      </c>
      <c r="B229" s="31" t="s">
        <v>1580</v>
      </c>
      <c r="C229" s="193" t="s">
        <v>342</v>
      </c>
      <c r="D229" s="193" t="s">
        <v>13</v>
      </c>
      <c r="E229" s="193" t="s">
        <v>688</v>
      </c>
      <c r="F229" s="199">
        <v>266123101500</v>
      </c>
      <c r="G229" s="31" t="s">
        <v>40</v>
      </c>
    </row>
    <row r="230" spans="1:7" ht="28.8" x14ac:dyDescent="0.3">
      <c r="A230" s="193">
        <f t="shared" si="7"/>
        <v>292</v>
      </c>
      <c r="B230" s="31" t="s">
        <v>1581</v>
      </c>
      <c r="C230" s="193" t="s">
        <v>342</v>
      </c>
      <c r="D230" s="193" t="s">
        <v>13</v>
      </c>
      <c r="E230" s="193" t="s">
        <v>688</v>
      </c>
      <c r="F230" s="199">
        <v>266123101550</v>
      </c>
      <c r="G230" s="31" t="s">
        <v>40</v>
      </c>
    </row>
    <row r="231" spans="1:7" ht="28.8" x14ac:dyDescent="0.3">
      <c r="A231" s="193">
        <f t="shared" si="7"/>
        <v>293</v>
      </c>
      <c r="B231" s="31" t="s">
        <v>1582</v>
      </c>
      <c r="C231" s="193" t="s">
        <v>342</v>
      </c>
      <c r="D231" s="193" t="s">
        <v>13</v>
      </c>
      <c r="E231" s="193" t="s">
        <v>688</v>
      </c>
      <c r="F231" s="199">
        <v>266123101600</v>
      </c>
      <c r="G231" s="31" t="s">
        <v>40</v>
      </c>
    </row>
    <row r="232" spans="1:7" ht="28.8" x14ac:dyDescent="0.3">
      <c r="A232" s="193">
        <f t="shared" si="7"/>
        <v>294</v>
      </c>
      <c r="B232" s="31" t="s">
        <v>1583</v>
      </c>
      <c r="C232" s="193" t="s">
        <v>342</v>
      </c>
      <c r="D232" s="193" t="s">
        <v>13</v>
      </c>
      <c r="E232" s="193" t="s">
        <v>688</v>
      </c>
      <c r="F232" s="199">
        <v>266123101650</v>
      </c>
      <c r="G232" s="31" t="s">
        <v>40</v>
      </c>
    </row>
    <row r="233" spans="1:7" ht="28.8" x14ac:dyDescent="0.3">
      <c r="A233" s="193">
        <f t="shared" si="7"/>
        <v>295</v>
      </c>
      <c r="B233" s="31" t="s">
        <v>1584</v>
      </c>
      <c r="C233" s="193" t="s">
        <v>342</v>
      </c>
      <c r="D233" s="193" t="s">
        <v>13</v>
      </c>
      <c r="E233" s="193" t="s">
        <v>688</v>
      </c>
      <c r="F233" s="199">
        <v>266123101700</v>
      </c>
      <c r="G233" s="31" t="s">
        <v>40</v>
      </c>
    </row>
    <row r="234" spans="1:7" x14ac:dyDescent="0.3">
      <c r="A234" s="193">
        <f t="shared" si="7"/>
        <v>296</v>
      </c>
      <c r="B234" s="31" t="s">
        <v>1585</v>
      </c>
      <c r="C234" s="193" t="s">
        <v>342</v>
      </c>
      <c r="D234" s="193" t="s">
        <v>13</v>
      </c>
      <c r="E234" s="193" t="s">
        <v>688</v>
      </c>
      <c r="F234" s="199">
        <v>266123101750</v>
      </c>
      <c r="G234" s="31" t="s">
        <v>40</v>
      </c>
    </row>
    <row r="235" spans="1:7" x14ac:dyDescent="0.3">
      <c r="A235" s="193">
        <f t="shared" si="7"/>
        <v>297</v>
      </c>
      <c r="B235" s="31" t="s">
        <v>1586</v>
      </c>
      <c r="C235" s="193" t="s">
        <v>342</v>
      </c>
      <c r="D235" s="193" t="s">
        <v>13</v>
      </c>
      <c r="E235" s="193" t="s">
        <v>688</v>
      </c>
      <c r="F235" s="199">
        <v>266123101760</v>
      </c>
      <c r="G235" s="31" t="s">
        <v>40</v>
      </c>
    </row>
    <row r="236" spans="1:7" ht="28.8" x14ac:dyDescent="0.3">
      <c r="A236" s="193">
        <f t="shared" si="7"/>
        <v>298</v>
      </c>
      <c r="B236" s="31" t="s">
        <v>1587</v>
      </c>
      <c r="C236" s="193" t="s">
        <v>342</v>
      </c>
      <c r="D236" s="193" t="s">
        <v>13</v>
      </c>
      <c r="E236" s="193" t="s">
        <v>688</v>
      </c>
      <c r="F236" s="199">
        <v>266123101762</v>
      </c>
      <c r="G236" s="31" t="s">
        <v>40</v>
      </c>
    </row>
    <row r="237" spans="1:7" ht="28.8" x14ac:dyDescent="0.3">
      <c r="A237" s="193">
        <f t="shared" si="7"/>
        <v>299</v>
      </c>
      <c r="B237" s="31" t="s">
        <v>1588</v>
      </c>
      <c r="C237" s="193" t="s">
        <v>342</v>
      </c>
      <c r="D237" s="193" t="s">
        <v>13</v>
      </c>
      <c r="E237" s="193" t="s">
        <v>688</v>
      </c>
      <c r="F237" s="199">
        <v>266123101770</v>
      </c>
      <c r="G237" s="31" t="s">
        <v>40</v>
      </c>
    </row>
    <row r="238" spans="1:7" ht="28.8" x14ac:dyDescent="0.3">
      <c r="A238" s="193">
        <f t="shared" si="7"/>
        <v>300</v>
      </c>
      <c r="B238" s="31" t="s">
        <v>1589</v>
      </c>
      <c r="C238" s="193" t="s">
        <v>342</v>
      </c>
      <c r="D238" s="193" t="s">
        <v>13</v>
      </c>
      <c r="E238" s="193" t="s">
        <v>688</v>
      </c>
      <c r="F238" s="199">
        <v>266123101775</v>
      </c>
      <c r="G238" s="31" t="s">
        <v>40</v>
      </c>
    </row>
    <row r="239" spans="1:7" x14ac:dyDescent="0.3">
      <c r="A239" s="193">
        <f t="shared" si="7"/>
        <v>301</v>
      </c>
      <c r="B239" s="31" t="s">
        <v>1590</v>
      </c>
      <c r="C239" s="193" t="s">
        <v>342</v>
      </c>
      <c r="D239" s="193" t="s">
        <v>13</v>
      </c>
      <c r="E239" s="193" t="s">
        <v>688</v>
      </c>
      <c r="F239" s="199">
        <v>266123101778</v>
      </c>
      <c r="G239" s="31" t="s">
        <v>40</v>
      </c>
    </row>
    <row r="240" spans="1:7" x14ac:dyDescent="0.3">
      <c r="A240" s="193">
        <f t="shared" si="7"/>
        <v>302</v>
      </c>
      <c r="B240" s="31" t="s">
        <v>1591</v>
      </c>
      <c r="C240" s="193" t="s">
        <v>342</v>
      </c>
      <c r="D240" s="193" t="s">
        <v>13</v>
      </c>
      <c r="E240" s="193" t="s">
        <v>688</v>
      </c>
      <c r="F240" s="199">
        <v>266123101780</v>
      </c>
      <c r="G240" s="31" t="s">
        <v>40</v>
      </c>
    </row>
    <row r="241" spans="1:7" ht="28.8" x14ac:dyDescent="0.3">
      <c r="A241" s="193">
        <f t="shared" si="7"/>
        <v>303</v>
      </c>
      <c r="B241" s="31" t="s">
        <v>1592</v>
      </c>
      <c r="C241" s="193" t="s">
        <v>342</v>
      </c>
      <c r="D241" s="193" t="s">
        <v>13</v>
      </c>
      <c r="E241" s="193" t="s">
        <v>688</v>
      </c>
      <c r="F241" s="199">
        <v>266123550100</v>
      </c>
      <c r="G241" s="31" t="s">
        <v>40</v>
      </c>
    </row>
    <row r="242" spans="1:7" ht="28.8" x14ac:dyDescent="0.3">
      <c r="A242" s="193">
        <f t="shared" si="7"/>
        <v>304</v>
      </c>
      <c r="B242" s="31" t="s">
        <v>1593</v>
      </c>
      <c r="C242" s="193" t="s">
        <v>342</v>
      </c>
      <c r="D242" s="193" t="s">
        <v>13</v>
      </c>
      <c r="E242" s="193" t="s">
        <v>688</v>
      </c>
      <c r="F242" s="199">
        <v>266123550200</v>
      </c>
      <c r="G242" s="31" t="s">
        <v>40</v>
      </c>
    </row>
    <row r="243" spans="1:7" ht="28.8" x14ac:dyDescent="0.3">
      <c r="A243" s="193">
        <f t="shared" si="7"/>
        <v>305</v>
      </c>
      <c r="B243" s="31" t="s">
        <v>1594</v>
      </c>
      <c r="C243" s="193" t="s">
        <v>342</v>
      </c>
      <c r="D243" s="193" t="s">
        <v>13</v>
      </c>
      <c r="E243" s="193" t="s">
        <v>688</v>
      </c>
      <c r="F243" s="199">
        <v>266123550300</v>
      </c>
      <c r="G243" s="31" t="s">
        <v>40</v>
      </c>
    </row>
    <row r="244" spans="1:7" ht="28.8" x14ac:dyDescent="0.3">
      <c r="A244" s="193">
        <f t="shared" si="7"/>
        <v>306</v>
      </c>
      <c r="B244" s="31" t="s">
        <v>1595</v>
      </c>
      <c r="C244" s="193" t="s">
        <v>342</v>
      </c>
      <c r="D244" s="193" t="s">
        <v>13</v>
      </c>
      <c r="E244" s="193" t="s">
        <v>688</v>
      </c>
      <c r="F244" s="199">
        <v>266123551100</v>
      </c>
      <c r="G244" s="31" t="s">
        <v>40</v>
      </c>
    </row>
    <row r="245" spans="1:7" ht="28.8" x14ac:dyDescent="0.3">
      <c r="A245" s="193">
        <f t="shared" si="7"/>
        <v>307</v>
      </c>
      <c r="B245" s="31" t="s">
        <v>1596</v>
      </c>
      <c r="C245" s="193" t="s">
        <v>342</v>
      </c>
      <c r="D245" s="193" t="s">
        <v>13</v>
      </c>
      <c r="E245" s="193" t="s">
        <v>688</v>
      </c>
      <c r="F245" s="199">
        <v>266123551200</v>
      </c>
      <c r="G245" s="31" t="s">
        <v>40</v>
      </c>
    </row>
    <row r="246" spans="1:7" ht="28.8" x14ac:dyDescent="0.3">
      <c r="A246" s="193">
        <f t="shared" si="7"/>
        <v>308</v>
      </c>
      <c r="B246" s="31" t="s">
        <v>1597</v>
      </c>
      <c r="C246" s="193" t="s">
        <v>342</v>
      </c>
      <c r="D246" s="193" t="s">
        <v>13</v>
      </c>
      <c r="E246" s="193" t="s">
        <v>688</v>
      </c>
      <c r="F246" s="199">
        <v>266123552100</v>
      </c>
      <c r="G246" s="31" t="s">
        <v>40</v>
      </c>
    </row>
    <row r="247" spans="1:7" ht="28.8" x14ac:dyDescent="0.3">
      <c r="A247" s="193">
        <f t="shared" si="7"/>
        <v>309</v>
      </c>
      <c r="B247" s="31" t="s">
        <v>1598</v>
      </c>
      <c r="C247" s="193" t="s">
        <v>342</v>
      </c>
      <c r="D247" s="193" t="s">
        <v>13</v>
      </c>
      <c r="E247" s="193" t="s">
        <v>688</v>
      </c>
      <c r="F247" s="199">
        <v>266123552200</v>
      </c>
      <c r="G247" s="31" t="s">
        <v>40</v>
      </c>
    </row>
    <row r="248" spans="1:7" x14ac:dyDescent="0.3">
      <c r="A248" s="193">
        <f t="shared" ref="A248" si="8">A247+1</f>
        <v>310</v>
      </c>
      <c r="B248" s="31" t="s">
        <v>2001</v>
      </c>
      <c r="C248" s="193" t="s">
        <v>342</v>
      </c>
      <c r="D248" s="193" t="s">
        <v>13</v>
      </c>
      <c r="E248" s="193" t="s">
        <v>688</v>
      </c>
      <c r="F248" s="199">
        <v>266123552210</v>
      </c>
      <c r="G248" s="31" t="s">
        <v>40</v>
      </c>
    </row>
    <row r="249" spans="1:7" x14ac:dyDescent="0.3">
      <c r="A249" s="193">
        <f t="shared" ref="A249" si="9">A248+1</f>
        <v>311</v>
      </c>
      <c r="B249" s="31" t="s">
        <v>2002</v>
      </c>
      <c r="C249" s="193" t="s">
        <v>342</v>
      </c>
      <c r="D249" s="193" t="s">
        <v>13</v>
      </c>
      <c r="E249" s="193" t="s">
        <v>688</v>
      </c>
      <c r="F249" s="199">
        <v>266123552220</v>
      </c>
      <c r="G249" s="31" t="s">
        <v>40</v>
      </c>
    </row>
    <row r="250" spans="1:7" x14ac:dyDescent="0.3">
      <c r="A250" s="193">
        <f t="shared" ref="A250" si="10">A249+1</f>
        <v>312</v>
      </c>
      <c r="B250" s="31" t="s">
        <v>2003</v>
      </c>
      <c r="C250" s="193" t="s">
        <v>342</v>
      </c>
      <c r="D250" s="193" t="s">
        <v>13</v>
      </c>
      <c r="E250" s="193" t="s">
        <v>688</v>
      </c>
      <c r="F250" s="199">
        <v>266123552225</v>
      </c>
      <c r="G250" s="31" t="s">
        <v>40</v>
      </c>
    </row>
    <row r="251" spans="1:7" ht="28.8" x14ac:dyDescent="0.3">
      <c r="A251" s="193">
        <f t="shared" ref="A251" si="11">A250+1</f>
        <v>313</v>
      </c>
      <c r="B251" s="31" t="s">
        <v>2004</v>
      </c>
      <c r="C251" s="193" t="s">
        <v>342</v>
      </c>
      <c r="D251" s="193" t="s">
        <v>13</v>
      </c>
      <c r="E251" s="193" t="s">
        <v>688</v>
      </c>
      <c r="F251" s="199">
        <v>266123558040</v>
      </c>
      <c r="G251" s="31" t="s">
        <v>40</v>
      </c>
    </row>
    <row r="252" spans="1:7" ht="28.8" x14ac:dyDescent="0.3">
      <c r="A252" s="193">
        <f t="shared" ref="A252" si="12">A251+1</f>
        <v>314</v>
      </c>
      <c r="B252" s="31" t="s">
        <v>2005</v>
      </c>
      <c r="C252" s="193" t="s">
        <v>342</v>
      </c>
      <c r="D252" s="193" t="s">
        <v>13</v>
      </c>
      <c r="E252" s="193" t="s">
        <v>688</v>
      </c>
      <c r="F252" s="199">
        <v>266123558070</v>
      </c>
      <c r="G252" s="31" t="s">
        <v>40</v>
      </c>
    </row>
    <row r="253" spans="1:7" ht="28.8" x14ac:dyDescent="0.3">
      <c r="A253" s="193">
        <f t="shared" ref="A253:A254" si="13">A252+1</f>
        <v>315</v>
      </c>
      <c r="B253" s="31" t="s">
        <v>2006</v>
      </c>
      <c r="C253" s="193" t="s">
        <v>342</v>
      </c>
      <c r="D253" s="193" t="s">
        <v>13</v>
      </c>
      <c r="E253" s="193" t="s">
        <v>688</v>
      </c>
      <c r="F253" s="199">
        <v>266123558090</v>
      </c>
      <c r="G253" s="31" t="s">
        <v>40</v>
      </c>
    </row>
    <row r="254" spans="1:7" ht="28.8" x14ac:dyDescent="0.3">
      <c r="A254" s="193">
        <f t="shared" si="13"/>
        <v>316</v>
      </c>
      <c r="B254" s="31" t="s">
        <v>2007</v>
      </c>
      <c r="C254" s="193" t="s">
        <v>342</v>
      </c>
      <c r="D254" s="193" t="s">
        <v>13</v>
      </c>
      <c r="E254" s="193" t="s">
        <v>688</v>
      </c>
      <c r="F254" s="199">
        <v>266123558105</v>
      </c>
      <c r="G254" s="31" t="s">
        <v>40</v>
      </c>
    </row>
    <row r="255" spans="1:7" ht="28.8" x14ac:dyDescent="0.3">
      <c r="A255" s="193">
        <f t="shared" ref="A255" si="14">A254+1</f>
        <v>317</v>
      </c>
      <c r="B255" s="31" t="s">
        <v>2008</v>
      </c>
      <c r="C255" s="193" t="s">
        <v>342</v>
      </c>
      <c r="D255" s="193" t="s">
        <v>13</v>
      </c>
      <c r="E255" s="193" t="s">
        <v>688</v>
      </c>
      <c r="F255" s="199">
        <v>266123558140</v>
      </c>
      <c r="G255"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4.4" x14ac:dyDescent="0.3"/>
  <cols>
    <col min="1" max="5" width="8.88671875" style="193"/>
    <col min="6" max="8" width="0" style="193" hidden="1" customWidth="1"/>
    <col min="9" max="9" width="40" style="193" hidden="1" customWidth="1"/>
    <col min="10" max="10" width="0" style="193" hidden="1" customWidth="1"/>
    <col min="11" max="11" width="66.33203125" style="240" customWidth="1"/>
    <col min="12" max="12" width="5.88671875" style="193" hidden="1" customWidth="1"/>
    <col min="13" max="13" width="4.44140625" style="193" hidden="1" customWidth="1"/>
    <col min="14" max="14" width="29" style="193" customWidth="1"/>
    <col min="15" max="16" width="8.88671875" style="193"/>
  </cols>
  <sheetData>
    <row r="1" spans="1:16" ht="28.8" x14ac:dyDescent="0.3">
      <c r="A1" s="110" t="s">
        <v>3186</v>
      </c>
      <c r="B1" s="110" t="s">
        <v>3187</v>
      </c>
      <c r="C1" s="110" t="s">
        <v>3188</v>
      </c>
      <c r="D1" s="110" t="s">
        <v>3189</v>
      </c>
      <c r="E1" s="110" t="s">
        <v>3190</v>
      </c>
      <c r="F1" s="198" t="s">
        <v>286</v>
      </c>
      <c r="G1" s="105" t="s">
        <v>341</v>
      </c>
      <c r="H1" s="144" t="s">
        <v>343</v>
      </c>
      <c r="I1" s="119" t="s">
        <v>345</v>
      </c>
      <c r="J1" s="96" t="s">
        <v>346</v>
      </c>
      <c r="K1" s="239" t="s">
        <v>1326</v>
      </c>
      <c r="L1" s="88" t="s">
        <v>348</v>
      </c>
      <c r="M1" s="88" t="s">
        <v>1602</v>
      </c>
      <c r="N1" s="88" t="s">
        <v>1604</v>
      </c>
      <c r="O1" s="88" t="s">
        <v>349</v>
      </c>
      <c r="P1" s="88" t="s">
        <v>1602</v>
      </c>
    </row>
    <row r="2" spans="1:16" x14ac:dyDescent="0.3">
      <c r="B2" s="193">
        <v>1</v>
      </c>
      <c r="C2" s="193">
        <v>1000</v>
      </c>
      <c r="D2" s="193" t="s">
        <v>3191</v>
      </c>
      <c r="E2" s="193" t="s">
        <v>3192</v>
      </c>
      <c r="G2" s="193" t="s">
        <v>342</v>
      </c>
      <c r="H2" s="193" t="s">
        <v>3193</v>
      </c>
      <c r="I2" s="120" t="s">
        <v>688</v>
      </c>
      <c r="K2" s="240">
        <v>301850851</v>
      </c>
      <c r="N2" s="193" t="s">
        <v>3194</v>
      </c>
      <c r="P2" s="193" t="e">
        <f>layerlookup(K2,[1]materials_hvac!A$2:I$1014,2)</f>
        <v>#VALUE!</v>
      </c>
    </row>
    <row r="3" spans="1:16" x14ac:dyDescent="0.3">
      <c r="B3" s="193">
        <v>1</v>
      </c>
      <c r="C3" s="193">
        <v>1000</v>
      </c>
      <c r="D3" s="193" t="s">
        <v>3191</v>
      </c>
      <c r="E3" s="193" t="s">
        <v>2935</v>
      </c>
      <c r="G3" s="193" t="s">
        <v>342</v>
      </c>
      <c r="H3" s="193" t="s">
        <v>3193</v>
      </c>
      <c r="I3" s="120" t="s">
        <v>688</v>
      </c>
      <c r="K3" s="240">
        <v>301850851</v>
      </c>
      <c r="N3" s="193" t="s">
        <v>3194</v>
      </c>
      <c r="P3" s="231"/>
    </row>
    <row r="4" spans="1:16" x14ac:dyDescent="0.3">
      <c r="B4" s="193">
        <v>1</v>
      </c>
      <c r="C4" s="193">
        <v>1000</v>
      </c>
      <c r="D4" s="193" t="s">
        <v>3191</v>
      </c>
      <c r="E4" s="193" t="s">
        <v>3195</v>
      </c>
      <c r="G4" s="193" t="s">
        <v>342</v>
      </c>
      <c r="H4" s="193" t="s">
        <v>3193</v>
      </c>
      <c r="I4" s="120" t="s">
        <v>688</v>
      </c>
      <c r="K4" s="240">
        <v>301850851</v>
      </c>
      <c r="N4" s="193" t="s">
        <v>3194</v>
      </c>
    </row>
    <row r="5" spans="1:16" x14ac:dyDescent="0.3">
      <c r="B5" s="193">
        <v>1</v>
      </c>
      <c r="C5" s="193">
        <v>1000</v>
      </c>
      <c r="D5" s="193" t="s">
        <v>3191</v>
      </c>
      <c r="E5" s="193" t="s">
        <v>3196</v>
      </c>
      <c r="G5" s="193" t="s">
        <v>342</v>
      </c>
      <c r="H5" s="193" t="s">
        <v>3193</v>
      </c>
      <c r="I5" s="120" t="s">
        <v>688</v>
      </c>
      <c r="K5" s="240">
        <v>301850851</v>
      </c>
      <c r="N5" s="193" t="s">
        <v>3194</v>
      </c>
    </row>
    <row r="6" spans="1:16" x14ac:dyDescent="0.3">
      <c r="B6" s="193">
        <v>1</v>
      </c>
      <c r="C6" s="193">
        <v>1000</v>
      </c>
      <c r="D6" s="193" t="s">
        <v>3196</v>
      </c>
      <c r="E6" s="193" t="s">
        <v>2935</v>
      </c>
      <c r="G6" s="193" t="s">
        <v>342</v>
      </c>
      <c r="H6" s="193" t="s">
        <v>3193</v>
      </c>
      <c r="I6" s="120" t="s">
        <v>688</v>
      </c>
      <c r="K6" s="240">
        <v>301850851</v>
      </c>
      <c r="N6" s="193" t="s">
        <v>3194</v>
      </c>
    </row>
    <row r="7" spans="1:16" x14ac:dyDescent="0.3">
      <c r="B7" s="193">
        <v>1</v>
      </c>
      <c r="C7" s="193">
        <v>1000</v>
      </c>
      <c r="D7" s="193" t="s">
        <v>3196</v>
      </c>
      <c r="E7" s="193" t="s">
        <v>3192</v>
      </c>
      <c r="G7" s="193" t="s">
        <v>342</v>
      </c>
      <c r="H7" s="193" t="s">
        <v>3193</v>
      </c>
      <c r="I7" s="120" t="s">
        <v>688</v>
      </c>
      <c r="K7" s="240">
        <v>301850851</v>
      </c>
      <c r="N7" s="193" t="s">
        <v>3194</v>
      </c>
    </row>
    <row r="8" spans="1:16" x14ac:dyDescent="0.3">
      <c r="B8" s="193">
        <v>1</v>
      </c>
      <c r="C8" s="193">
        <v>1000</v>
      </c>
      <c r="D8" s="193" t="s">
        <v>3196</v>
      </c>
      <c r="E8" s="193" t="s">
        <v>3195</v>
      </c>
      <c r="G8" s="193" t="s">
        <v>342</v>
      </c>
      <c r="H8" s="193" t="s">
        <v>3193</v>
      </c>
      <c r="I8" s="120" t="s">
        <v>688</v>
      </c>
      <c r="K8" s="240">
        <v>301850851</v>
      </c>
      <c r="N8" s="193" t="s">
        <v>3194</v>
      </c>
    </row>
    <row r="9" spans="1:16" x14ac:dyDescent="0.3">
      <c r="B9" s="193">
        <v>1</v>
      </c>
      <c r="C9" s="193">
        <v>1000</v>
      </c>
      <c r="D9" s="193" t="s">
        <v>3196</v>
      </c>
      <c r="E9" s="193" t="s">
        <v>3196</v>
      </c>
      <c r="G9" s="193" t="s">
        <v>342</v>
      </c>
      <c r="H9" s="193" t="s">
        <v>3193</v>
      </c>
      <c r="I9" s="120" t="s">
        <v>688</v>
      </c>
      <c r="K9" s="240">
        <v>301850851</v>
      </c>
      <c r="N9" s="193" t="s">
        <v>3194</v>
      </c>
    </row>
    <row r="10" spans="1:16" x14ac:dyDescent="0.3">
      <c r="B10" s="193">
        <v>1</v>
      </c>
      <c r="C10" s="193">
        <v>1000</v>
      </c>
      <c r="D10" s="193" t="s">
        <v>3197</v>
      </c>
      <c r="E10" s="193" t="s">
        <v>3192</v>
      </c>
      <c r="G10" s="193" t="s">
        <v>342</v>
      </c>
      <c r="H10" s="193" t="s">
        <v>3193</v>
      </c>
      <c r="I10" s="120" t="s">
        <v>688</v>
      </c>
      <c r="K10" s="240" t="s">
        <v>3198</v>
      </c>
      <c r="N10" s="193" t="s">
        <v>3199</v>
      </c>
    </row>
    <row r="11" spans="1:16" x14ac:dyDescent="0.3">
      <c r="B11" s="193">
        <v>1</v>
      </c>
      <c r="C11" s="193">
        <v>1000</v>
      </c>
      <c r="D11" s="193" t="s">
        <v>3197</v>
      </c>
      <c r="E11" s="193" t="s">
        <v>2935</v>
      </c>
      <c r="G11" s="193" t="s">
        <v>342</v>
      </c>
      <c r="H11" s="193" t="s">
        <v>3193</v>
      </c>
      <c r="I11" s="120" t="s">
        <v>688</v>
      </c>
      <c r="K11" s="240" t="s">
        <v>3198</v>
      </c>
      <c r="N11" s="193" t="s">
        <v>3199</v>
      </c>
    </row>
    <row r="12" spans="1:16" x14ac:dyDescent="0.3">
      <c r="B12" s="193">
        <v>1</v>
      </c>
      <c r="C12" s="193">
        <v>1000</v>
      </c>
      <c r="D12" s="193" t="s">
        <v>3197</v>
      </c>
      <c r="E12" s="193" t="s">
        <v>3195</v>
      </c>
      <c r="G12" s="193" t="s">
        <v>342</v>
      </c>
      <c r="H12" s="193" t="s">
        <v>3193</v>
      </c>
      <c r="I12" s="120" t="s">
        <v>688</v>
      </c>
      <c r="K12" s="240" t="s">
        <v>3200</v>
      </c>
      <c r="N12" s="193" t="s">
        <v>3201</v>
      </c>
    </row>
    <row r="13" spans="1:16" x14ac:dyDescent="0.3">
      <c r="B13" s="193">
        <v>1</v>
      </c>
      <c r="C13" s="193">
        <v>1000</v>
      </c>
      <c r="D13" s="193" t="s">
        <v>3197</v>
      </c>
      <c r="E13" s="193" t="s">
        <v>3196</v>
      </c>
      <c r="G13" s="193" t="s">
        <v>342</v>
      </c>
      <c r="H13" s="193" t="s">
        <v>3193</v>
      </c>
      <c r="I13" s="120" t="s">
        <v>688</v>
      </c>
      <c r="K13" s="240" t="s">
        <v>3198</v>
      </c>
      <c r="N13" s="193" t="s">
        <v>3202</v>
      </c>
    </row>
    <row r="14" spans="1:16" x14ac:dyDescent="0.3">
      <c r="B14" s="193">
        <v>1</v>
      </c>
      <c r="C14" s="193">
        <v>1000</v>
      </c>
      <c r="D14" s="193" t="s">
        <v>2979</v>
      </c>
      <c r="E14" s="193" t="s">
        <v>3192</v>
      </c>
      <c r="G14" s="193" t="s">
        <v>342</v>
      </c>
      <c r="H14" s="193" t="s">
        <v>3193</v>
      </c>
      <c r="I14" s="120" t="s">
        <v>688</v>
      </c>
      <c r="K14" s="240" t="s">
        <v>3203</v>
      </c>
      <c r="N14" s="193" t="s">
        <v>3204</v>
      </c>
    </row>
    <row r="15" spans="1:16" x14ac:dyDescent="0.3">
      <c r="B15" s="193">
        <v>1</v>
      </c>
      <c r="C15" s="193">
        <v>1000</v>
      </c>
      <c r="D15" s="193" t="s">
        <v>2979</v>
      </c>
      <c r="E15" s="193" t="s">
        <v>2935</v>
      </c>
      <c r="G15" s="193" t="s">
        <v>342</v>
      </c>
      <c r="H15" s="193" t="s">
        <v>3193</v>
      </c>
      <c r="I15" s="120" t="s">
        <v>688</v>
      </c>
      <c r="K15" s="240" t="s">
        <v>3203</v>
      </c>
      <c r="N15" s="193" t="s">
        <v>3204</v>
      </c>
    </row>
    <row r="16" spans="1:16" x14ac:dyDescent="0.3">
      <c r="A16" s="241"/>
      <c r="B16" s="241">
        <v>1</v>
      </c>
      <c r="C16" s="241">
        <v>1000</v>
      </c>
      <c r="D16" s="241" t="s">
        <v>2979</v>
      </c>
      <c r="E16" s="241" t="s">
        <v>3195</v>
      </c>
      <c r="F16" s="241"/>
      <c r="G16" s="241" t="s">
        <v>342</v>
      </c>
      <c r="H16" s="241" t="s">
        <v>3193</v>
      </c>
      <c r="I16" s="120" t="s">
        <v>688</v>
      </c>
      <c r="J16" s="241"/>
      <c r="K16" s="242" t="s">
        <v>3205</v>
      </c>
      <c r="L16" s="241"/>
      <c r="M16" s="241"/>
      <c r="N16" s="241" t="s">
        <v>3206</v>
      </c>
      <c r="O16" s="241"/>
      <c r="P16" s="241"/>
    </row>
    <row r="17" spans="2:16" x14ac:dyDescent="0.3">
      <c r="B17" s="193">
        <v>1</v>
      </c>
      <c r="C17" s="193">
        <v>1000</v>
      </c>
      <c r="D17" s="193" t="s">
        <v>2979</v>
      </c>
      <c r="E17" s="193" t="s">
        <v>3196</v>
      </c>
      <c r="G17" s="193" t="s">
        <v>342</v>
      </c>
      <c r="H17" s="193" t="s">
        <v>3193</v>
      </c>
      <c r="I17" s="120" t="s">
        <v>688</v>
      </c>
      <c r="K17" s="240" t="s">
        <v>3203</v>
      </c>
      <c r="N17" s="193" t="s">
        <v>3204</v>
      </c>
    </row>
    <row r="18" spans="2:16" x14ac:dyDescent="0.3">
      <c r="B18" s="193">
        <v>1</v>
      </c>
      <c r="C18" s="193">
        <v>1000</v>
      </c>
      <c r="D18" s="193" t="s">
        <v>3207</v>
      </c>
      <c r="E18" s="193" t="s">
        <v>3192</v>
      </c>
      <c r="G18" s="193" t="s">
        <v>342</v>
      </c>
      <c r="H18" s="193" t="s">
        <v>3193</v>
      </c>
      <c r="I18" s="120" t="s">
        <v>688</v>
      </c>
      <c r="K18" s="240" t="s">
        <v>3203</v>
      </c>
      <c r="N18" s="193" t="s">
        <v>3204</v>
      </c>
    </row>
    <row r="19" spans="2:16" x14ac:dyDescent="0.3">
      <c r="B19" s="193">
        <v>1</v>
      </c>
      <c r="C19" s="193">
        <v>1000</v>
      </c>
      <c r="D19" s="193" t="s">
        <v>3207</v>
      </c>
      <c r="E19" s="193" t="s">
        <v>2935</v>
      </c>
      <c r="G19" s="193" t="s">
        <v>342</v>
      </c>
      <c r="H19" s="193" t="s">
        <v>3193</v>
      </c>
      <c r="I19" s="120" t="s">
        <v>688</v>
      </c>
      <c r="K19" s="240" t="s">
        <v>3203</v>
      </c>
      <c r="N19" s="193" t="s">
        <v>3204</v>
      </c>
    </row>
    <row r="20" spans="2:16" x14ac:dyDescent="0.3">
      <c r="B20" s="193">
        <v>1</v>
      </c>
      <c r="C20" s="193">
        <v>1000</v>
      </c>
      <c r="D20" s="193" t="s">
        <v>3207</v>
      </c>
      <c r="E20" s="193" t="s">
        <v>3195</v>
      </c>
      <c r="G20" s="193" t="s">
        <v>342</v>
      </c>
      <c r="H20" s="193" t="s">
        <v>3193</v>
      </c>
      <c r="I20" s="120" t="s">
        <v>688</v>
      </c>
      <c r="K20" s="240" t="s">
        <v>3205</v>
      </c>
      <c r="N20" s="193" t="s">
        <v>3206</v>
      </c>
    </row>
    <row r="21" spans="2:16" x14ac:dyDescent="0.3">
      <c r="B21" s="193">
        <v>1</v>
      </c>
      <c r="C21" s="193">
        <v>1000</v>
      </c>
      <c r="D21" s="193" t="s">
        <v>3207</v>
      </c>
      <c r="E21" s="193" t="s">
        <v>3196</v>
      </c>
      <c r="G21" s="193" t="s">
        <v>342</v>
      </c>
      <c r="H21" s="193" t="s">
        <v>3193</v>
      </c>
      <c r="I21" s="120" t="s">
        <v>688</v>
      </c>
      <c r="K21" s="240" t="s">
        <v>3203</v>
      </c>
      <c r="N21" s="193" t="s">
        <v>3204</v>
      </c>
    </row>
    <row r="22" spans="2:16" x14ac:dyDescent="0.3">
      <c r="B22" s="193">
        <v>1</v>
      </c>
      <c r="C22" s="193">
        <v>1000</v>
      </c>
      <c r="D22" s="193" t="s">
        <v>3030</v>
      </c>
      <c r="E22" s="193" t="s">
        <v>3192</v>
      </c>
      <c r="G22" s="193" t="s">
        <v>342</v>
      </c>
      <c r="H22" s="193" t="s">
        <v>3193</v>
      </c>
      <c r="I22" s="120" t="s">
        <v>688</v>
      </c>
      <c r="K22" s="240" t="s">
        <v>3203</v>
      </c>
      <c r="N22" s="193" t="s">
        <v>3208</v>
      </c>
    </row>
    <row r="23" spans="2:16" x14ac:dyDescent="0.3">
      <c r="B23" s="193">
        <v>1</v>
      </c>
      <c r="C23" s="193">
        <v>1000</v>
      </c>
      <c r="D23" s="193" t="s">
        <v>3030</v>
      </c>
      <c r="E23" s="193" t="s">
        <v>2935</v>
      </c>
      <c r="G23" s="193" t="s">
        <v>342</v>
      </c>
      <c r="H23" s="193" t="s">
        <v>3193</v>
      </c>
      <c r="I23" s="120" t="s">
        <v>688</v>
      </c>
      <c r="K23" s="240" t="s">
        <v>3203</v>
      </c>
      <c r="N23" s="193" t="s">
        <v>3208</v>
      </c>
    </row>
    <row r="24" spans="2:16" x14ac:dyDescent="0.3">
      <c r="B24" s="193">
        <v>1</v>
      </c>
      <c r="C24" s="193">
        <v>1000</v>
      </c>
      <c r="D24" s="193" t="s">
        <v>3030</v>
      </c>
      <c r="E24" s="193" t="s">
        <v>3195</v>
      </c>
      <c r="G24" s="193" t="s">
        <v>342</v>
      </c>
      <c r="H24" s="193" t="s">
        <v>3193</v>
      </c>
      <c r="I24" s="120" t="s">
        <v>688</v>
      </c>
      <c r="K24" s="240" t="s">
        <v>3209</v>
      </c>
      <c r="N24" s="193" t="s">
        <v>3210</v>
      </c>
    </row>
    <row r="25" spans="2:16" x14ac:dyDescent="0.3">
      <c r="B25" s="193">
        <v>1</v>
      </c>
      <c r="C25" s="193">
        <v>1000</v>
      </c>
      <c r="D25" s="193" t="s">
        <v>3030</v>
      </c>
      <c r="E25" s="193" t="s">
        <v>3196</v>
      </c>
      <c r="G25" s="193" t="s">
        <v>342</v>
      </c>
      <c r="H25" s="193" t="s">
        <v>3193</v>
      </c>
      <c r="I25" s="120" t="s">
        <v>688</v>
      </c>
      <c r="K25" s="240" t="s">
        <v>3211</v>
      </c>
      <c r="N25" s="193" t="s">
        <v>3208</v>
      </c>
    </row>
    <row r="26" spans="2:16" x14ac:dyDescent="0.3">
      <c r="B26" s="193">
        <v>1</v>
      </c>
      <c r="C26" s="193">
        <v>1000</v>
      </c>
      <c r="D26" s="193" t="s">
        <v>3192</v>
      </c>
      <c r="E26" s="193" t="s">
        <v>3192</v>
      </c>
      <c r="G26" s="193" t="s">
        <v>342</v>
      </c>
      <c r="H26" s="193" t="s">
        <v>3193</v>
      </c>
      <c r="I26" s="120" t="s">
        <v>688</v>
      </c>
      <c r="K26" s="240">
        <v>301850851</v>
      </c>
      <c r="N26" s="193" t="s">
        <v>3212</v>
      </c>
    </row>
    <row r="27" spans="2:16" x14ac:dyDescent="0.3">
      <c r="B27" s="193">
        <v>1</v>
      </c>
      <c r="C27" s="193">
        <v>1000</v>
      </c>
      <c r="D27" s="193" t="s">
        <v>3192</v>
      </c>
      <c r="E27" s="193" t="s">
        <v>2935</v>
      </c>
      <c r="G27" s="193" t="s">
        <v>342</v>
      </c>
      <c r="H27" s="193" t="s">
        <v>3193</v>
      </c>
      <c r="I27" s="120" t="s">
        <v>688</v>
      </c>
      <c r="K27" s="240">
        <v>301850851</v>
      </c>
      <c r="N27" s="193" t="s">
        <v>3212</v>
      </c>
    </row>
    <row r="28" spans="2:16" x14ac:dyDescent="0.3">
      <c r="B28" s="193">
        <v>1</v>
      </c>
      <c r="C28" s="193">
        <v>1000</v>
      </c>
      <c r="D28" s="193" t="s">
        <v>3192</v>
      </c>
      <c r="E28" s="193" t="s">
        <v>3195</v>
      </c>
      <c r="G28" s="193" t="s">
        <v>342</v>
      </c>
      <c r="H28" s="193" t="s">
        <v>3193</v>
      </c>
      <c r="I28" s="120" t="s">
        <v>688</v>
      </c>
      <c r="K28" s="240" t="s">
        <v>3213</v>
      </c>
      <c r="N28" s="193" t="s">
        <v>3214</v>
      </c>
    </row>
    <row r="29" spans="2:16" x14ac:dyDescent="0.3">
      <c r="B29" s="193">
        <v>1</v>
      </c>
      <c r="C29" s="193">
        <v>1000</v>
      </c>
      <c r="D29" s="193" t="s">
        <v>3192</v>
      </c>
      <c r="E29" s="193" t="s">
        <v>3196</v>
      </c>
      <c r="G29" s="193" t="s">
        <v>342</v>
      </c>
      <c r="H29" s="193" t="s">
        <v>3193</v>
      </c>
      <c r="I29" s="120" t="s">
        <v>688</v>
      </c>
      <c r="K29" s="240">
        <v>302850851</v>
      </c>
      <c r="N29" s="193" t="s">
        <v>3212</v>
      </c>
    </row>
    <row r="30" spans="2:16" x14ac:dyDescent="0.3">
      <c r="B30" s="193">
        <v>1</v>
      </c>
      <c r="C30" s="193">
        <v>1500</v>
      </c>
      <c r="D30" s="193" t="s">
        <v>3191</v>
      </c>
      <c r="E30" s="193" t="s">
        <v>3192</v>
      </c>
      <c r="G30" s="193" t="s">
        <v>342</v>
      </c>
      <c r="H30" s="193" t="s">
        <v>3193</v>
      </c>
      <c r="I30" s="120" t="s">
        <v>688</v>
      </c>
      <c r="K30" s="240">
        <v>302850851</v>
      </c>
      <c r="N30" s="193" t="s">
        <v>3194</v>
      </c>
      <c r="P30" s="193" t="e">
        <f>layerlookup(K30,[1]materials_hvac!A$2:I$1014,2)</f>
        <v>#VALUE!</v>
      </c>
    </row>
    <row r="31" spans="2:16" x14ac:dyDescent="0.3">
      <c r="B31" s="193">
        <v>1</v>
      </c>
      <c r="C31" s="193">
        <v>1500</v>
      </c>
      <c r="D31" s="193" t="s">
        <v>3191</v>
      </c>
      <c r="E31" s="193" t="s">
        <v>2935</v>
      </c>
      <c r="G31" s="193" t="s">
        <v>342</v>
      </c>
      <c r="H31" s="193" t="s">
        <v>3193</v>
      </c>
      <c r="I31" s="120" t="s">
        <v>688</v>
      </c>
      <c r="K31" s="240">
        <v>302850851</v>
      </c>
      <c r="N31" s="193" t="s">
        <v>3194</v>
      </c>
      <c r="P31" s="231"/>
    </row>
    <row r="32" spans="2:16" x14ac:dyDescent="0.3">
      <c r="B32" s="193">
        <v>1</v>
      </c>
      <c r="C32" s="193">
        <v>1500</v>
      </c>
      <c r="D32" s="193" t="s">
        <v>3191</v>
      </c>
      <c r="E32" s="193" t="s">
        <v>3195</v>
      </c>
      <c r="G32" s="193" t="s">
        <v>342</v>
      </c>
      <c r="H32" s="193" t="s">
        <v>3193</v>
      </c>
      <c r="I32" s="120" t="s">
        <v>688</v>
      </c>
      <c r="K32" s="240">
        <v>302850851</v>
      </c>
      <c r="N32" s="193" t="s">
        <v>3194</v>
      </c>
    </row>
    <row r="33" spans="2:14" x14ac:dyDescent="0.3">
      <c r="B33" s="193">
        <v>1</v>
      </c>
      <c r="C33" s="193">
        <v>1500</v>
      </c>
      <c r="D33" s="193" t="s">
        <v>3191</v>
      </c>
      <c r="E33" s="193" t="s">
        <v>3196</v>
      </c>
      <c r="G33" s="193" t="s">
        <v>342</v>
      </c>
      <c r="H33" s="193" t="s">
        <v>3193</v>
      </c>
      <c r="I33" s="120" t="s">
        <v>688</v>
      </c>
      <c r="K33" s="240">
        <v>302850851</v>
      </c>
      <c r="N33" s="193" t="s">
        <v>3194</v>
      </c>
    </row>
    <row r="34" spans="2:14" x14ac:dyDescent="0.3">
      <c r="B34" s="193">
        <v>1</v>
      </c>
      <c r="C34" s="193">
        <v>1500</v>
      </c>
      <c r="D34" s="193" t="s">
        <v>3196</v>
      </c>
      <c r="E34" s="193" t="s">
        <v>2935</v>
      </c>
      <c r="G34" s="193" t="s">
        <v>342</v>
      </c>
      <c r="H34" s="193" t="s">
        <v>3193</v>
      </c>
      <c r="I34" s="120" t="s">
        <v>688</v>
      </c>
      <c r="K34" s="240">
        <v>302850851</v>
      </c>
      <c r="N34" s="193" t="s">
        <v>3194</v>
      </c>
    </row>
    <row r="35" spans="2:14" x14ac:dyDescent="0.3">
      <c r="B35" s="193">
        <v>1</v>
      </c>
      <c r="C35" s="193">
        <v>1500</v>
      </c>
      <c r="D35" s="193" t="s">
        <v>3196</v>
      </c>
      <c r="E35" s="193" t="s">
        <v>3192</v>
      </c>
      <c r="G35" s="193" t="s">
        <v>342</v>
      </c>
      <c r="H35" s="193" t="s">
        <v>3193</v>
      </c>
      <c r="I35" s="120" t="s">
        <v>688</v>
      </c>
      <c r="K35" s="240">
        <v>302850851</v>
      </c>
      <c r="N35" s="193" t="s">
        <v>3194</v>
      </c>
    </row>
    <row r="36" spans="2:14" x14ac:dyDescent="0.3">
      <c r="B36" s="193">
        <v>1</v>
      </c>
      <c r="C36" s="193">
        <v>1500</v>
      </c>
      <c r="D36" s="193" t="s">
        <v>3196</v>
      </c>
      <c r="E36" s="193" t="s">
        <v>3195</v>
      </c>
      <c r="G36" s="193" t="s">
        <v>342</v>
      </c>
      <c r="H36" s="193" t="s">
        <v>3193</v>
      </c>
      <c r="I36" s="120" t="s">
        <v>688</v>
      </c>
      <c r="K36" s="240">
        <v>302850851</v>
      </c>
      <c r="N36" s="193" t="s">
        <v>3194</v>
      </c>
    </row>
    <row r="37" spans="2:14" x14ac:dyDescent="0.3">
      <c r="B37" s="193">
        <v>1</v>
      </c>
      <c r="C37" s="193">
        <v>1500</v>
      </c>
      <c r="D37" s="193" t="s">
        <v>3196</v>
      </c>
      <c r="E37" s="193" t="s">
        <v>3196</v>
      </c>
      <c r="G37" s="193" t="s">
        <v>342</v>
      </c>
      <c r="H37" s="193" t="s">
        <v>3193</v>
      </c>
      <c r="I37" s="120" t="s">
        <v>688</v>
      </c>
      <c r="K37" s="240">
        <v>302850851</v>
      </c>
      <c r="N37" s="193" t="s">
        <v>3194</v>
      </c>
    </row>
    <row r="38" spans="2:14" x14ac:dyDescent="0.3">
      <c r="B38" s="193">
        <v>1</v>
      </c>
      <c r="C38" s="193">
        <v>1500</v>
      </c>
      <c r="D38" s="193" t="s">
        <v>3197</v>
      </c>
      <c r="E38" s="193" t="s">
        <v>3192</v>
      </c>
      <c r="G38" s="193" t="s">
        <v>342</v>
      </c>
      <c r="H38" s="193" t="s">
        <v>3193</v>
      </c>
      <c r="I38" s="120" t="s">
        <v>688</v>
      </c>
      <c r="K38" s="240" t="s">
        <v>3215</v>
      </c>
      <c r="N38" s="193" t="s">
        <v>3199</v>
      </c>
    </row>
    <row r="39" spans="2:14" x14ac:dyDescent="0.3">
      <c r="B39" s="193">
        <v>1</v>
      </c>
      <c r="C39" s="193">
        <v>1500</v>
      </c>
      <c r="D39" s="193" t="s">
        <v>3197</v>
      </c>
      <c r="E39" s="193" t="s">
        <v>2935</v>
      </c>
      <c r="G39" s="193" t="s">
        <v>342</v>
      </c>
      <c r="H39" s="193" t="s">
        <v>3193</v>
      </c>
      <c r="I39" s="120" t="s">
        <v>688</v>
      </c>
      <c r="K39" s="240" t="s">
        <v>3215</v>
      </c>
      <c r="N39" s="193" t="s">
        <v>3199</v>
      </c>
    </row>
    <row r="40" spans="2:14" x14ac:dyDescent="0.3">
      <c r="B40" s="193">
        <v>1</v>
      </c>
      <c r="C40" s="193">
        <v>1500</v>
      </c>
      <c r="D40" s="193" t="s">
        <v>3197</v>
      </c>
      <c r="E40" s="193" t="s">
        <v>3195</v>
      </c>
      <c r="G40" s="193" t="s">
        <v>342</v>
      </c>
      <c r="H40" s="193" t="s">
        <v>3193</v>
      </c>
      <c r="I40" s="120" t="s">
        <v>688</v>
      </c>
      <c r="K40" s="240" t="s">
        <v>3216</v>
      </c>
      <c r="N40" s="193" t="s">
        <v>3201</v>
      </c>
    </row>
    <row r="41" spans="2:14" x14ac:dyDescent="0.3">
      <c r="B41" s="193">
        <v>1</v>
      </c>
      <c r="C41" s="193">
        <v>1500</v>
      </c>
      <c r="D41" s="193" t="s">
        <v>3197</v>
      </c>
      <c r="E41" s="193" t="s">
        <v>3196</v>
      </c>
      <c r="G41" s="193" t="s">
        <v>342</v>
      </c>
      <c r="H41" s="193" t="s">
        <v>3193</v>
      </c>
      <c r="I41" s="120" t="s">
        <v>688</v>
      </c>
      <c r="K41" s="240" t="s">
        <v>3215</v>
      </c>
      <c r="N41" s="193" t="s">
        <v>3202</v>
      </c>
    </row>
    <row r="42" spans="2:14" x14ac:dyDescent="0.3">
      <c r="B42" s="193">
        <v>1</v>
      </c>
      <c r="C42" s="193">
        <v>1500</v>
      </c>
      <c r="D42" s="193" t="s">
        <v>2979</v>
      </c>
      <c r="E42" s="193" t="s">
        <v>3192</v>
      </c>
      <c r="G42" s="193" t="s">
        <v>342</v>
      </c>
      <c r="H42" s="193" t="s">
        <v>3193</v>
      </c>
      <c r="I42" s="120" t="s">
        <v>688</v>
      </c>
      <c r="K42" s="240" t="s">
        <v>3217</v>
      </c>
      <c r="N42" s="193" t="s">
        <v>3204</v>
      </c>
    </row>
    <row r="43" spans="2:14" x14ac:dyDescent="0.3">
      <c r="B43" s="193">
        <v>1</v>
      </c>
      <c r="C43" s="193">
        <v>1500</v>
      </c>
      <c r="D43" s="193" t="s">
        <v>2979</v>
      </c>
      <c r="E43" s="193" t="s">
        <v>2935</v>
      </c>
      <c r="G43" s="193" t="s">
        <v>342</v>
      </c>
      <c r="H43" s="193" t="s">
        <v>3193</v>
      </c>
      <c r="I43" s="120" t="s">
        <v>688</v>
      </c>
      <c r="K43" s="240" t="s">
        <v>3217</v>
      </c>
      <c r="N43" s="193" t="s">
        <v>3204</v>
      </c>
    </row>
    <row r="44" spans="2:14" x14ac:dyDescent="0.3">
      <c r="B44" s="193">
        <v>1</v>
      </c>
      <c r="C44" s="193">
        <v>1500</v>
      </c>
      <c r="D44" s="193" t="s">
        <v>2979</v>
      </c>
      <c r="E44" s="193" t="s">
        <v>3195</v>
      </c>
      <c r="G44" s="193" t="s">
        <v>342</v>
      </c>
      <c r="H44" s="193" t="s">
        <v>3193</v>
      </c>
      <c r="I44" s="120" t="s">
        <v>688</v>
      </c>
      <c r="K44" s="240" t="s">
        <v>3218</v>
      </c>
      <c r="N44" s="193" t="s">
        <v>3219</v>
      </c>
    </row>
    <row r="45" spans="2:14" x14ac:dyDescent="0.3">
      <c r="B45" s="193">
        <v>1</v>
      </c>
      <c r="C45" s="193">
        <v>1500</v>
      </c>
      <c r="D45" s="193" t="s">
        <v>2979</v>
      </c>
      <c r="E45" s="193" t="s">
        <v>3196</v>
      </c>
      <c r="G45" s="193" t="s">
        <v>342</v>
      </c>
      <c r="H45" s="193" t="s">
        <v>3193</v>
      </c>
      <c r="I45" s="120" t="s">
        <v>688</v>
      </c>
      <c r="K45" s="240" t="s">
        <v>3217</v>
      </c>
      <c r="N45" s="193" t="s">
        <v>3204</v>
      </c>
    </row>
    <row r="46" spans="2:14" x14ac:dyDescent="0.3">
      <c r="B46" s="193">
        <v>1</v>
      </c>
      <c r="C46" s="193">
        <v>1500</v>
      </c>
      <c r="D46" s="193" t="s">
        <v>3207</v>
      </c>
      <c r="E46" s="193" t="s">
        <v>3192</v>
      </c>
      <c r="G46" s="193" t="s">
        <v>342</v>
      </c>
      <c r="H46" s="193" t="s">
        <v>3193</v>
      </c>
      <c r="I46" s="120" t="s">
        <v>688</v>
      </c>
      <c r="K46" s="240" t="s">
        <v>3217</v>
      </c>
      <c r="N46" s="193" t="s">
        <v>3204</v>
      </c>
    </row>
    <row r="47" spans="2:14" x14ac:dyDescent="0.3">
      <c r="B47" s="193">
        <v>1</v>
      </c>
      <c r="C47" s="193">
        <v>1500</v>
      </c>
      <c r="D47" s="193" t="s">
        <v>3207</v>
      </c>
      <c r="E47" s="193" t="s">
        <v>2935</v>
      </c>
      <c r="G47" s="193" t="s">
        <v>342</v>
      </c>
      <c r="H47" s="193" t="s">
        <v>3193</v>
      </c>
      <c r="I47" s="120" t="s">
        <v>688</v>
      </c>
      <c r="K47" s="240" t="s">
        <v>3217</v>
      </c>
      <c r="N47" s="193" t="s">
        <v>3204</v>
      </c>
    </row>
    <row r="48" spans="2:14" x14ac:dyDescent="0.3">
      <c r="B48" s="193">
        <v>1</v>
      </c>
      <c r="C48" s="193">
        <v>1500</v>
      </c>
      <c r="D48" s="193" t="s">
        <v>3207</v>
      </c>
      <c r="E48" s="193" t="s">
        <v>3195</v>
      </c>
      <c r="G48" s="193" t="s">
        <v>342</v>
      </c>
      <c r="H48" s="193" t="s">
        <v>3193</v>
      </c>
      <c r="I48" s="120" t="s">
        <v>688</v>
      </c>
      <c r="K48" s="240" t="s">
        <v>3218</v>
      </c>
      <c r="N48" s="193" t="s">
        <v>3219</v>
      </c>
    </row>
    <row r="49" spans="2:16" x14ac:dyDescent="0.3">
      <c r="B49" s="193">
        <v>1</v>
      </c>
      <c r="C49" s="193">
        <v>1500</v>
      </c>
      <c r="D49" s="193" t="s">
        <v>3207</v>
      </c>
      <c r="E49" s="193" t="s">
        <v>3196</v>
      </c>
      <c r="G49" s="193" t="s">
        <v>342</v>
      </c>
      <c r="H49" s="193" t="s">
        <v>3193</v>
      </c>
      <c r="I49" s="120" t="s">
        <v>688</v>
      </c>
      <c r="K49" s="240" t="s">
        <v>3217</v>
      </c>
      <c r="N49" s="193" t="s">
        <v>3204</v>
      </c>
    </row>
    <row r="50" spans="2:16" x14ac:dyDescent="0.3">
      <c r="B50" s="193">
        <v>1</v>
      </c>
      <c r="C50" s="193">
        <v>1500</v>
      </c>
      <c r="D50" s="193" t="s">
        <v>3030</v>
      </c>
      <c r="E50" s="193" t="s">
        <v>3192</v>
      </c>
      <c r="G50" s="193" t="s">
        <v>342</v>
      </c>
      <c r="H50" s="193" t="s">
        <v>3193</v>
      </c>
      <c r="I50" s="120" t="s">
        <v>688</v>
      </c>
      <c r="K50" s="240" t="s">
        <v>3220</v>
      </c>
      <c r="N50" s="193" t="s">
        <v>3208</v>
      </c>
    </row>
    <row r="51" spans="2:16" x14ac:dyDescent="0.3">
      <c r="B51" s="193">
        <v>1</v>
      </c>
      <c r="C51" s="193">
        <v>1500</v>
      </c>
      <c r="D51" s="193" t="s">
        <v>3030</v>
      </c>
      <c r="E51" s="193" t="s">
        <v>2935</v>
      </c>
      <c r="G51" s="193" t="s">
        <v>342</v>
      </c>
      <c r="H51" s="193" t="s">
        <v>3193</v>
      </c>
      <c r="I51" s="120" t="s">
        <v>688</v>
      </c>
      <c r="K51" s="240" t="s">
        <v>3220</v>
      </c>
      <c r="N51" s="193" t="s">
        <v>3208</v>
      </c>
    </row>
    <row r="52" spans="2:16" x14ac:dyDescent="0.3">
      <c r="B52" s="193">
        <v>1</v>
      </c>
      <c r="C52" s="193">
        <v>1500</v>
      </c>
      <c r="D52" s="193" t="s">
        <v>3030</v>
      </c>
      <c r="E52" s="193" t="s">
        <v>3195</v>
      </c>
      <c r="G52" s="193" t="s">
        <v>342</v>
      </c>
      <c r="H52" s="193" t="s">
        <v>3193</v>
      </c>
      <c r="I52" s="120" t="s">
        <v>688</v>
      </c>
      <c r="K52" s="240" t="s">
        <v>3221</v>
      </c>
      <c r="N52" s="193" t="s">
        <v>3210</v>
      </c>
    </row>
    <row r="53" spans="2:16" x14ac:dyDescent="0.3">
      <c r="B53" s="193">
        <v>1</v>
      </c>
      <c r="C53" s="193">
        <v>1500</v>
      </c>
      <c r="D53" s="193" t="s">
        <v>3030</v>
      </c>
      <c r="E53" s="193" t="s">
        <v>3196</v>
      </c>
      <c r="G53" s="193" t="s">
        <v>342</v>
      </c>
      <c r="H53" s="193" t="s">
        <v>3193</v>
      </c>
      <c r="I53" s="120" t="s">
        <v>688</v>
      </c>
      <c r="K53" s="240" t="s">
        <v>3220</v>
      </c>
      <c r="N53" s="193" t="s">
        <v>3208</v>
      </c>
    </row>
    <row r="54" spans="2:16" x14ac:dyDescent="0.3">
      <c r="B54" s="193">
        <v>1</v>
      </c>
      <c r="C54" s="193">
        <v>1500</v>
      </c>
      <c r="D54" s="193" t="s">
        <v>3192</v>
      </c>
      <c r="E54" s="193" t="s">
        <v>3192</v>
      </c>
      <c r="G54" s="193" t="s">
        <v>342</v>
      </c>
      <c r="H54" s="193" t="s">
        <v>3193</v>
      </c>
      <c r="I54" s="120" t="s">
        <v>688</v>
      </c>
      <c r="K54" s="240">
        <v>302850851</v>
      </c>
      <c r="N54" s="193" t="s">
        <v>3212</v>
      </c>
    </row>
    <row r="55" spans="2:16" x14ac:dyDescent="0.3">
      <c r="B55" s="193">
        <v>1</v>
      </c>
      <c r="C55" s="193">
        <v>1500</v>
      </c>
      <c r="D55" s="193" t="s">
        <v>3192</v>
      </c>
      <c r="E55" s="193" t="s">
        <v>2935</v>
      </c>
      <c r="G55" s="193" t="s">
        <v>342</v>
      </c>
      <c r="H55" s="193" t="s">
        <v>3193</v>
      </c>
      <c r="I55" s="120" t="s">
        <v>688</v>
      </c>
      <c r="K55" s="240">
        <v>302850851</v>
      </c>
      <c r="N55" s="193" t="s">
        <v>3212</v>
      </c>
    </row>
    <row r="56" spans="2:16" x14ac:dyDescent="0.3">
      <c r="B56" s="193">
        <v>1</v>
      </c>
      <c r="C56" s="193">
        <v>1500</v>
      </c>
      <c r="D56" s="193" t="s">
        <v>3192</v>
      </c>
      <c r="E56" s="193" t="s">
        <v>3195</v>
      </c>
      <c r="G56" s="193" t="s">
        <v>342</v>
      </c>
      <c r="H56" s="193" t="s">
        <v>3193</v>
      </c>
      <c r="I56" s="120" t="s">
        <v>688</v>
      </c>
      <c r="K56" s="240" t="s">
        <v>3222</v>
      </c>
      <c r="N56" s="193" t="s">
        <v>3214</v>
      </c>
    </row>
    <row r="57" spans="2:16" x14ac:dyDescent="0.3">
      <c r="B57" s="193">
        <v>1</v>
      </c>
      <c r="C57" s="193">
        <v>1500</v>
      </c>
      <c r="D57" s="193" t="s">
        <v>3192</v>
      </c>
      <c r="E57" s="193" t="s">
        <v>3196</v>
      </c>
      <c r="G57" s="193" t="s">
        <v>342</v>
      </c>
      <c r="H57" s="193" t="s">
        <v>3193</v>
      </c>
      <c r="I57" s="120" t="s">
        <v>688</v>
      </c>
      <c r="K57" s="240">
        <v>302850851</v>
      </c>
      <c r="N57" s="193" t="s">
        <v>3212</v>
      </c>
    </row>
    <row r="58" spans="2:16" x14ac:dyDescent="0.3">
      <c r="B58" s="193">
        <v>1</v>
      </c>
      <c r="C58" s="193">
        <v>2500</v>
      </c>
      <c r="D58" s="193" t="s">
        <v>3191</v>
      </c>
      <c r="E58" s="193" t="s">
        <v>3192</v>
      </c>
      <c r="G58" s="193" t="s">
        <v>342</v>
      </c>
      <c r="H58" s="193" t="s">
        <v>3193</v>
      </c>
      <c r="I58" s="120" t="s">
        <v>688</v>
      </c>
      <c r="K58" s="240">
        <v>302850851</v>
      </c>
      <c r="N58" s="193" t="s">
        <v>3194</v>
      </c>
      <c r="P58" s="193" t="e">
        <f>layerlookup(K58,[1]materials_hvac!A$2:I$1014,2)</f>
        <v>#VALUE!</v>
      </c>
    </row>
    <row r="59" spans="2:16" x14ac:dyDescent="0.3">
      <c r="B59" s="193">
        <v>1</v>
      </c>
      <c r="C59" s="193">
        <v>2500</v>
      </c>
      <c r="D59" s="193" t="s">
        <v>3191</v>
      </c>
      <c r="E59" s="193" t="s">
        <v>2935</v>
      </c>
      <c r="G59" s="193" t="s">
        <v>342</v>
      </c>
      <c r="H59" s="193" t="s">
        <v>3193</v>
      </c>
      <c r="I59" s="120" t="s">
        <v>688</v>
      </c>
      <c r="K59" s="240">
        <v>302850851</v>
      </c>
      <c r="N59" s="193" t="s">
        <v>3194</v>
      </c>
      <c r="P59" s="231"/>
    </row>
    <row r="60" spans="2:16" x14ac:dyDescent="0.3">
      <c r="B60" s="193">
        <v>1</v>
      </c>
      <c r="C60" s="193">
        <v>2500</v>
      </c>
      <c r="D60" s="193" t="s">
        <v>3191</v>
      </c>
      <c r="E60" s="193" t="s">
        <v>3195</v>
      </c>
      <c r="G60" s="193" t="s">
        <v>342</v>
      </c>
      <c r="H60" s="193" t="s">
        <v>3193</v>
      </c>
      <c r="I60" s="120" t="s">
        <v>688</v>
      </c>
      <c r="K60" s="240">
        <v>302850851</v>
      </c>
      <c r="N60" s="193" t="s">
        <v>3194</v>
      </c>
    </row>
    <row r="61" spans="2:16" x14ac:dyDescent="0.3">
      <c r="B61" s="193">
        <v>1</v>
      </c>
      <c r="C61" s="193">
        <v>2500</v>
      </c>
      <c r="D61" s="193" t="s">
        <v>3191</v>
      </c>
      <c r="E61" s="193" t="s">
        <v>3196</v>
      </c>
      <c r="G61" s="193" t="s">
        <v>342</v>
      </c>
      <c r="H61" s="193" t="s">
        <v>3193</v>
      </c>
      <c r="I61" s="120" t="s">
        <v>688</v>
      </c>
      <c r="K61" s="240">
        <v>302850851</v>
      </c>
      <c r="N61" s="193" t="s">
        <v>3194</v>
      </c>
    </row>
    <row r="62" spans="2:16" x14ac:dyDescent="0.3">
      <c r="B62" s="193">
        <v>1</v>
      </c>
      <c r="C62" s="193">
        <v>2500</v>
      </c>
      <c r="D62" s="193" t="s">
        <v>3196</v>
      </c>
      <c r="E62" s="193" t="s">
        <v>2935</v>
      </c>
      <c r="G62" s="193" t="s">
        <v>342</v>
      </c>
      <c r="H62" s="193" t="s">
        <v>3193</v>
      </c>
      <c r="I62" s="120" t="s">
        <v>688</v>
      </c>
      <c r="K62" s="240">
        <v>302850851</v>
      </c>
      <c r="N62" s="193" t="s">
        <v>3194</v>
      </c>
    </row>
    <row r="63" spans="2:16" x14ac:dyDescent="0.3">
      <c r="B63" s="193">
        <v>1</v>
      </c>
      <c r="C63" s="193">
        <v>2500</v>
      </c>
      <c r="D63" s="193" t="s">
        <v>3196</v>
      </c>
      <c r="E63" s="193" t="s">
        <v>3192</v>
      </c>
      <c r="G63" s="193" t="s">
        <v>342</v>
      </c>
      <c r="H63" s="193" t="s">
        <v>3193</v>
      </c>
      <c r="I63" s="120" t="s">
        <v>688</v>
      </c>
      <c r="K63" s="240">
        <v>302850851</v>
      </c>
      <c r="N63" s="193" t="s">
        <v>3194</v>
      </c>
    </row>
    <row r="64" spans="2:16" x14ac:dyDescent="0.3">
      <c r="B64" s="193">
        <v>1</v>
      </c>
      <c r="C64" s="193">
        <v>2500</v>
      </c>
      <c r="D64" s="193" t="s">
        <v>3196</v>
      </c>
      <c r="E64" s="193" t="s">
        <v>3195</v>
      </c>
      <c r="G64" s="193" t="s">
        <v>342</v>
      </c>
      <c r="H64" s="193" t="s">
        <v>3193</v>
      </c>
      <c r="I64" s="120" t="s">
        <v>688</v>
      </c>
      <c r="K64" s="240">
        <v>302850851</v>
      </c>
      <c r="N64" s="193" t="s">
        <v>3194</v>
      </c>
    </row>
    <row r="65" spans="2:14" x14ac:dyDescent="0.3">
      <c r="B65" s="193">
        <v>1</v>
      </c>
      <c r="C65" s="193">
        <v>2500</v>
      </c>
      <c r="D65" s="193" t="s">
        <v>3196</v>
      </c>
      <c r="E65" s="193" t="s">
        <v>3196</v>
      </c>
      <c r="G65" s="193" t="s">
        <v>342</v>
      </c>
      <c r="H65" s="193" t="s">
        <v>3193</v>
      </c>
      <c r="I65" s="120" t="s">
        <v>688</v>
      </c>
      <c r="K65" s="240">
        <v>302850851</v>
      </c>
      <c r="N65" s="193" t="s">
        <v>3194</v>
      </c>
    </row>
    <row r="66" spans="2:14" x14ac:dyDescent="0.3">
      <c r="B66" s="193">
        <v>1</v>
      </c>
      <c r="C66" s="193">
        <v>2500</v>
      </c>
      <c r="D66" s="193" t="s">
        <v>3197</v>
      </c>
      <c r="E66" s="193" t="s">
        <v>3192</v>
      </c>
      <c r="G66" s="193" t="s">
        <v>342</v>
      </c>
      <c r="H66" s="193" t="s">
        <v>3193</v>
      </c>
      <c r="I66" s="120" t="s">
        <v>688</v>
      </c>
      <c r="K66" s="240" t="s">
        <v>3223</v>
      </c>
      <c r="N66" s="193" t="s">
        <v>3199</v>
      </c>
    </row>
    <row r="67" spans="2:14" x14ac:dyDescent="0.3">
      <c r="B67" s="193">
        <v>1</v>
      </c>
      <c r="C67" s="193">
        <v>2500</v>
      </c>
      <c r="D67" s="193" t="s">
        <v>3197</v>
      </c>
      <c r="E67" s="193" t="s">
        <v>2935</v>
      </c>
      <c r="G67" s="193" t="s">
        <v>342</v>
      </c>
      <c r="H67" s="193" t="s">
        <v>3193</v>
      </c>
      <c r="I67" s="120" t="s">
        <v>688</v>
      </c>
      <c r="K67" s="240" t="s">
        <v>3223</v>
      </c>
      <c r="N67" s="193" t="s">
        <v>3199</v>
      </c>
    </row>
    <row r="68" spans="2:14" x14ac:dyDescent="0.3">
      <c r="B68" s="193">
        <v>1</v>
      </c>
      <c r="C68" s="193">
        <v>2500</v>
      </c>
      <c r="D68" s="193" t="s">
        <v>3197</v>
      </c>
      <c r="E68" s="193" t="s">
        <v>3195</v>
      </c>
      <c r="G68" s="193" t="s">
        <v>342</v>
      </c>
      <c r="H68" s="193" t="s">
        <v>3193</v>
      </c>
      <c r="I68" s="120" t="s">
        <v>688</v>
      </c>
      <c r="K68" s="240" t="s">
        <v>3224</v>
      </c>
      <c r="N68" s="193" t="s">
        <v>3201</v>
      </c>
    </row>
    <row r="69" spans="2:14" x14ac:dyDescent="0.3">
      <c r="B69" s="193">
        <v>1</v>
      </c>
      <c r="C69" s="193">
        <v>2500</v>
      </c>
      <c r="D69" s="193" t="s">
        <v>3197</v>
      </c>
      <c r="E69" s="193" t="s">
        <v>3196</v>
      </c>
      <c r="G69" s="193" t="s">
        <v>342</v>
      </c>
      <c r="H69" s="193" t="s">
        <v>3193</v>
      </c>
      <c r="I69" s="120" t="s">
        <v>688</v>
      </c>
      <c r="K69" s="240" t="s">
        <v>3223</v>
      </c>
      <c r="N69" s="193" t="s">
        <v>3202</v>
      </c>
    </row>
    <row r="70" spans="2:14" x14ac:dyDescent="0.3">
      <c r="B70" s="193">
        <v>1</v>
      </c>
      <c r="C70" s="193">
        <v>2500</v>
      </c>
      <c r="D70" s="193" t="s">
        <v>2979</v>
      </c>
      <c r="E70" s="193" t="s">
        <v>3192</v>
      </c>
      <c r="G70" s="193" t="s">
        <v>342</v>
      </c>
      <c r="H70" s="193" t="s">
        <v>3193</v>
      </c>
      <c r="I70" s="120" t="s">
        <v>688</v>
      </c>
      <c r="K70" s="240" t="s">
        <v>3225</v>
      </c>
      <c r="N70" s="193" t="s">
        <v>3204</v>
      </c>
    </row>
    <row r="71" spans="2:14" x14ac:dyDescent="0.3">
      <c r="B71" s="193">
        <v>1</v>
      </c>
      <c r="C71" s="193">
        <v>2500</v>
      </c>
      <c r="D71" s="193" t="s">
        <v>2979</v>
      </c>
      <c r="E71" s="193" t="s">
        <v>2935</v>
      </c>
      <c r="G71" s="193" t="s">
        <v>342</v>
      </c>
      <c r="H71" s="193" t="s">
        <v>3193</v>
      </c>
      <c r="I71" s="120" t="s">
        <v>688</v>
      </c>
      <c r="K71" s="240" t="s">
        <v>3225</v>
      </c>
      <c r="N71" s="193" t="s">
        <v>3204</v>
      </c>
    </row>
    <row r="72" spans="2:14" x14ac:dyDescent="0.3">
      <c r="B72" s="193">
        <v>1</v>
      </c>
      <c r="C72" s="193">
        <v>2500</v>
      </c>
      <c r="D72" s="193" t="s">
        <v>2979</v>
      </c>
      <c r="E72" s="193" t="s">
        <v>3195</v>
      </c>
      <c r="G72" s="193" t="s">
        <v>342</v>
      </c>
      <c r="H72" s="193" t="s">
        <v>3193</v>
      </c>
      <c r="I72" s="120" t="s">
        <v>688</v>
      </c>
      <c r="K72" s="240" t="s">
        <v>3226</v>
      </c>
      <c r="N72" s="193" t="s">
        <v>3219</v>
      </c>
    </row>
    <row r="73" spans="2:14" x14ac:dyDescent="0.3">
      <c r="B73" s="193">
        <v>1</v>
      </c>
      <c r="C73" s="193">
        <v>2500</v>
      </c>
      <c r="D73" s="193" t="s">
        <v>2979</v>
      </c>
      <c r="E73" s="193" t="s">
        <v>3196</v>
      </c>
      <c r="G73" s="193" t="s">
        <v>342</v>
      </c>
      <c r="H73" s="193" t="s">
        <v>3193</v>
      </c>
      <c r="I73" s="120" t="s">
        <v>688</v>
      </c>
      <c r="K73" s="240" t="s">
        <v>3225</v>
      </c>
      <c r="N73" s="193" t="s">
        <v>3204</v>
      </c>
    </row>
    <row r="74" spans="2:14" x14ac:dyDescent="0.3">
      <c r="B74" s="193">
        <v>1</v>
      </c>
      <c r="C74" s="193">
        <v>2500</v>
      </c>
      <c r="D74" s="193" t="s">
        <v>3207</v>
      </c>
      <c r="E74" s="193" t="s">
        <v>3192</v>
      </c>
      <c r="G74" s="193" t="s">
        <v>342</v>
      </c>
      <c r="H74" s="193" t="s">
        <v>3193</v>
      </c>
      <c r="I74" s="120" t="s">
        <v>688</v>
      </c>
      <c r="K74" s="240" t="s">
        <v>3225</v>
      </c>
      <c r="N74" s="193" t="s">
        <v>3204</v>
      </c>
    </row>
    <row r="75" spans="2:14" x14ac:dyDescent="0.3">
      <c r="B75" s="193">
        <v>1</v>
      </c>
      <c r="C75" s="193">
        <v>2500</v>
      </c>
      <c r="D75" s="193" t="s">
        <v>3207</v>
      </c>
      <c r="E75" s="193" t="s">
        <v>2935</v>
      </c>
      <c r="G75" s="193" t="s">
        <v>342</v>
      </c>
      <c r="H75" s="193" t="s">
        <v>3193</v>
      </c>
      <c r="I75" s="120" t="s">
        <v>688</v>
      </c>
      <c r="K75" s="240" t="s">
        <v>3225</v>
      </c>
      <c r="N75" s="193" t="s">
        <v>3204</v>
      </c>
    </row>
    <row r="76" spans="2:14" x14ac:dyDescent="0.3">
      <c r="B76" s="193">
        <v>1</v>
      </c>
      <c r="C76" s="193">
        <v>2500</v>
      </c>
      <c r="D76" s="193" t="s">
        <v>3207</v>
      </c>
      <c r="E76" s="193" t="s">
        <v>3195</v>
      </c>
      <c r="G76" s="193" t="s">
        <v>342</v>
      </c>
      <c r="H76" s="193" t="s">
        <v>3193</v>
      </c>
      <c r="I76" s="120" t="s">
        <v>688</v>
      </c>
      <c r="K76" s="240" t="s">
        <v>3227</v>
      </c>
      <c r="N76" s="193" t="s">
        <v>3219</v>
      </c>
    </row>
    <row r="77" spans="2:14" x14ac:dyDescent="0.3">
      <c r="B77" s="193">
        <v>1</v>
      </c>
      <c r="C77" s="193">
        <v>2500</v>
      </c>
      <c r="D77" s="193" t="s">
        <v>3207</v>
      </c>
      <c r="E77" s="193" t="s">
        <v>3196</v>
      </c>
      <c r="G77" s="193" t="s">
        <v>342</v>
      </c>
      <c r="H77" s="193" t="s">
        <v>3193</v>
      </c>
      <c r="I77" s="120" t="s">
        <v>688</v>
      </c>
      <c r="K77" s="240" t="s">
        <v>3225</v>
      </c>
      <c r="N77" s="193" t="s">
        <v>3204</v>
      </c>
    </row>
    <row r="78" spans="2:14" x14ac:dyDescent="0.3">
      <c r="B78" s="193">
        <v>1</v>
      </c>
      <c r="C78" s="193">
        <v>2500</v>
      </c>
      <c r="D78" s="193" t="s">
        <v>3030</v>
      </c>
      <c r="E78" s="193" t="s">
        <v>3192</v>
      </c>
      <c r="G78" s="193" t="s">
        <v>342</v>
      </c>
      <c r="H78" s="193" t="s">
        <v>3193</v>
      </c>
      <c r="I78" s="120" t="s">
        <v>688</v>
      </c>
      <c r="K78" s="240" t="s">
        <v>3228</v>
      </c>
      <c r="N78" s="193" t="s">
        <v>3208</v>
      </c>
    </row>
    <row r="79" spans="2:14" x14ac:dyDescent="0.3">
      <c r="B79" s="193">
        <v>1</v>
      </c>
      <c r="C79" s="193">
        <v>2500</v>
      </c>
      <c r="D79" s="193" t="s">
        <v>3030</v>
      </c>
      <c r="E79" s="193" t="s">
        <v>2935</v>
      </c>
      <c r="G79" s="193" t="s">
        <v>342</v>
      </c>
      <c r="H79" s="193" t="s">
        <v>3193</v>
      </c>
      <c r="I79" s="120" t="s">
        <v>688</v>
      </c>
      <c r="K79" s="240" t="s">
        <v>3228</v>
      </c>
      <c r="N79" s="193" t="s">
        <v>3208</v>
      </c>
    </row>
    <row r="80" spans="2:14" x14ac:dyDescent="0.3">
      <c r="B80" s="193">
        <v>1</v>
      </c>
      <c r="C80" s="193">
        <v>2500</v>
      </c>
      <c r="D80" s="193" t="s">
        <v>3030</v>
      </c>
      <c r="E80" s="193" t="s">
        <v>3195</v>
      </c>
      <c r="G80" s="193" t="s">
        <v>342</v>
      </c>
      <c r="H80" s="193" t="s">
        <v>3193</v>
      </c>
      <c r="I80" s="120" t="s">
        <v>688</v>
      </c>
      <c r="K80" s="240" t="s">
        <v>3229</v>
      </c>
      <c r="N80" s="193" t="s">
        <v>3210</v>
      </c>
    </row>
    <row r="81" spans="2:16" x14ac:dyDescent="0.3">
      <c r="B81" s="193">
        <v>1</v>
      </c>
      <c r="C81" s="193">
        <v>2500</v>
      </c>
      <c r="D81" s="193" t="s">
        <v>3030</v>
      </c>
      <c r="E81" s="193" t="s">
        <v>3196</v>
      </c>
      <c r="G81" s="193" t="s">
        <v>342</v>
      </c>
      <c r="H81" s="193" t="s">
        <v>3193</v>
      </c>
      <c r="I81" s="120" t="s">
        <v>688</v>
      </c>
      <c r="K81" s="240" t="s">
        <v>3228</v>
      </c>
      <c r="N81" s="193" t="s">
        <v>3208</v>
      </c>
    </row>
    <row r="82" spans="2:16" x14ac:dyDescent="0.3">
      <c r="B82" s="193">
        <v>1</v>
      </c>
      <c r="C82" s="193">
        <v>2500</v>
      </c>
      <c r="D82" s="193" t="s">
        <v>3192</v>
      </c>
      <c r="E82" s="193" t="s">
        <v>3192</v>
      </c>
      <c r="G82" s="193" t="s">
        <v>342</v>
      </c>
      <c r="H82" s="193" t="s">
        <v>3193</v>
      </c>
      <c r="I82" s="120" t="s">
        <v>688</v>
      </c>
      <c r="K82" s="240">
        <v>303850851</v>
      </c>
      <c r="N82" s="193" t="s">
        <v>3212</v>
      </c>
    </row>
    <row r="83" spans="2:16" x14ac:dyDescent="0.3">
      <c r="B83" s="193">
        <v>1</v>
      </c>
      <c r="C83" s="193">
        <v>2500</v>
      </c>
      <c r="D83" s="193" t="s">
        <v>3192</v>
      </c>
      <c r="E83" s="193" t="s">
        <v>2935</v>
      </c>
      <c r="G83" s="193" t="s">
        <v>342</v>
      </c>
      <c r="H83" s="193" t="s">
        <v>3193</v>
      </c>
      <c r="I83" s="120" t="s">
        <v>688</v>
      </c>
      <c r="K83" s="240">
        <v>303751752850851</v>
      </c>
      <c r="N83" s="193" t="s">
        <v>3212</v>
      </c>
    </row>
    <row r="84" spans="2:16" x14ac:dyDescent="0.3">
      <c r="B84" s="193">
        <v>1</v>
      </c>
      <c r="C84" s="193">
        <v>2500</v>
      </c>
      <c r="D84" s="193" t="s">
        <v>3192</v>
      </c>
      <c r="E84" s="193" t="s">
        <v>3195</v>
      </c>
      <c r="G84" s="193" t="s">
        <v>342</v>
      </c>
      <c r="H84" s="193" t="s">
        <v>3193</v>
      </c>
      <c r="I84" s="120" t="s">
        <v>688</v>
      </c>
      <c r="K84" s="240" t="s">
        <v>3230</v>
      </c>
      <c r="N84" s="193" t="s">
        <v>3214</v>
      </c>
    </row>
    <row r="85" spans="2:16" x14ac:dyDescent="0.3">
      <c r="B85" s="193">
        <v>1</v>
      </c>
      <c r="C85" s="193">
        <v>2500</v>
      </c>
      <c r="D85" s="193" t="s">
        <v>3192</v>
      </c>
      <c r="E85" s="193" t="s">
        <v>3196</v>
      </c>
      <c r="G85" s="193" t="s">
        <v>342</v>
      </c>
      <c r="H85" s="193" t="s">
        <v>3193</v>
      </c>
      <c r="I85" s="120" t="s">
        <v>688</v>
      </c>
      <c r="K85" s="240">
        <v>303850851</v>
      </c>
      <c r="N85" s="193" t="s">
        <v>3212</v>
      </c>
    </row>
    <row r="86" spans="2:16" x14ac:dyDescent="0.3">
      <c r="B86" s="193">
        <v>1</v>
      </c>
      <c r="C86" s="193">
        <v>3000</v>
      </c>
      <c r="D86" s="193" t="s">
        <v>3191</v>
      </c>
      <c r="E86" s="193" t="s">
        <v>3192</v>
      </c>
      <c r="G86" s="193" t="s">
        <v>342</v>
      </c>
      <c r="H86" s="193" t="s">
        <v>3193</v>
      </c>
      <c r="I86" s="120" t="s">
        <v>688</v>
      </c>
      <c r="K86" s="240">
        <v>303850851</v>
      </c>
      <c r="N86" s="193" t="s">
        <v>3194</v>
      </c>
      <c r="P86" s="193" t="e">
        <f>layerlookup(K86,[1]materials_hvac!A$2:I$1014,2)</f>
        <v>#VALUE!</v>
      </c>
    </row>
    <row r="87" spans="2:16" x14ac:dyDescent="0.3">
      <c r="B87" s="193">
        <v>1</v>
      </c>
      <c r="C87" s="193">
        <v>3000</v>
      </c>
      <c r="D87" s="193" t="s">
        <v>3191</v>
      </c>
      <c r="E87" s="193" t="s">
        <v>2935</v>
      </c>
      <c r="G87" s="193" t="s">
        <v>342</v>
      </c>
      <c r="H87" s="193" t="s">
        <v>3193</v>
      </c>
      <c r="I87" s="120" t="s">
        <v>688</v>
      </c>
      <c r="K87" s="240">
        <v>303850851</v>
      </c>
      <c r="N87" s="193" t="s">
        <v>3194</v>
      </c>
      <c r="P87" s="231"/>
    </row>
    <row r="88" spans="2:16" x14ac:dyDescent="0.3">
      <c r="B88" s="193">
        <v>1</v>
      </c>
      <c r="C88" s="193">
        <v>3000</v>
      </c>
      <c r="D88" s="193" t="s">
        <v>3191</v>
      </c>
      <c r="E88" s="193" t="s">
        <v>3195</v>
      </c>
      <c r="G88" s="193" t="s">
        <v>342</v>
      </c>
      <c r="H88" s="193" t="s">
        <v>3193</v>
      </c>
      <c r="I88" s="120" t="s">
        <v>688</v>
      </c>
      <c r="K88" s="240">
        <v>303850851</v>
      </c>
      <c r="N88" s="193" t="s">
        <v>3194</v>
      </c>
    </row>
    <row r="89" spans="2:16" x14ac:dyDescent="0.3">
      <c r="B89" s="193">
        <v>1</v>
      </c>
      <c r="C89" s="193">
        <v>3000</v>
      </c>
      <c r="D89" s="193" t="s">
        <v>3191</v>
      </c>
      <c r="E89" s="193" t="s">
        <v>3196</v>
      </c>
      <c r="G89" s="193" t="s">
        <v>342</v>
      </c>
      <c r="H89" s="193" t="s">
        <v>3193</v>
      </c>
      <c r="I89" s="120" t="s">
        <v>688</v>
      </c>
      <c r="K89" s="240">
        <v>303850851</v>
      </c>
      <c r="N89" s="193" t="s">
        <v>3194</v>
      </c>
    </row>
    <row r="90" spans="2:16" x14ac:dyDescent="0.3">
      <c r="B90" s="193">
        <v>1</v>
      </c>
      <c r="C90" s="193">
        <v>3000</v>
      </c>
      <c r="D90" s="193" t="s">
        <v>3196</v>
      </c>
      <c r="E90" s="193" t="s">
        <v>2935</v>
      </c>
      <c r="G90" s="193" t="s">
        <v>342</v>
      </c>
      <c r="H90" s="193" t="s">
        <v>3193</v>
      </c>
      <c r="I90" s="120" t="s">
        <v>688</v>
      </c>
      <c r="K90" s="240">
        <v>303850851</v>
      </c>
      <c r="N90" s="193" t="s">
        <v>3194</v>
      </c>
    </row>
    <row r="91" spans="2:16" x14ac:dyDescent="0.3">
      <c r="B91" s="193">
        <v>1</v>
      </c>
      <c r="C91" s="193">
        <v>3000</v>
      </c>
      <c r="D91" s="193" t="s">
        <v>3196</v>
      </c>
      <c r="E91" s="193" t="s">
        <v>3192</v>
      </c>
      <c r="G91" s="193" t="s">
        <v>342</v>
      </c>
      <c r="H91" s="193" t="s">
        <v>3193</v>
      </c>
      <c r="I91" s="120" t="s">
        <v>688</v>
      </c>
      <c r="K91" s="240">
        <v>303850851</v>
      </c>
      <c r="N91" s="193" t="s">
        <v>3194</v>
      </c>
    </row>
    <row r="92" spans="2:16" x14ac:dyDescent="0.3">
      <c r="B92" s="193">
        <v>1</v>
      </c>
      <c r="C92" s="193">
        <v>3000</v>
      </c>
      <c r="D92" s="193" t="s">
        <v>3196</v>
      </c>
      <c r="E92" s="193" t="s">
        <v>3195</v>
      </c>
      <c r="G92" s="193" t="s">
        <v>342</v>
      </c>
      <c r="H92" s="193" t="s">
        <v>3193</v>
      </c>
      <c r="I92" s="120" t="s">
        <v>688</v>
      </c>
      <c r="K92" s="240">
        <v>303850851</v>
      </c>
      <c r="N92" s="193" t="s">
        <v>3194</v>
      </c>
    </row>
    <row r="93" spans="2:16" x14ac:dyDescent="0.3">
      <c r="B93" s="193">
        <v>1</v>
      </c>
      <c r="C93" s="193">
        <v>3000</v>
      </c>
      <c r="D93" s="193" t="s">
        <v>3196</v>
      </c>
      <c r="E93" s="193" t="s">
        <v>3196</v>
      </c>
      <c r="G93" s="193" t="s">
        <v>342</v>
      </c>
      <c r="H93" s="193" t="s">
        <v>3193</v>
      </c>
      <c r="I93" s="120" t="s">
        <v>688</v>
      </c>
      <c r="K93" s="240">
        <v>303850851</v>
      </c>
      <c r="N93" s="193" t="s">
        <v>3194</v>
      </c>
    </row>
    <row r="94" spans="2:16" x14ac:dyDescent="0.3">
      <c r="B94" s="193">
        <v>1</v>
      </c>
      <c r="C94" s="193">
        <v>3000</v>
      </c>
      <c r="D94" s="193" t="s">
        <v>3197</v>
      </c>
      <c r="E94" s="193" t="s">
        <v>3192</v>
      </c>
      <c r="G94" s="193" t="s">
        <v>342</v>
      </c>
      <c r="H94" s="193" t="s">
        <v>3193</v>
      </c>
      <c r="I94" s="120" t="s">
        <v>688</v>
      </c>
      <c r="K94" s="240" t="s">
        <v>3231</v>
      </c>
      <c r="N94" s="193" t="s">
        <v>3199</v>
      </c>
    </row>
    <row r="95" spans="2:16" x14ac:dyDescent="0.3">
      <c r="B95" s="193">
        <v>1</v>
      </c>
      <c r="C95" s="193">
        <v>3000</v>
      </c>
      <c r="D95" s="193" t="s">
        <v>3197</v>
      </c>
      <c r="E95" s="193" t="s">
        <v>2935</v>
      </c>
      <c r="G95" s="193" t="s">
        <v>342</v>
      </c>
      <c r="H95" s="193" t="s">
        <v>3193</v>
      </c>
      <c r="I95" s="120" t="s">
        <v>688</v>
      </c>
      <c r="K95" s="240" t="s">
        <v>3231</v>
      </c>
      <c r="N95" s="193" t="s">
        <v>3199</v>
      </c>
    </row>
    <row r="96" spans="2:16" x14ac:dyDescent="0.3">
      <c r="B96" s="193">
        <v>1</v>
      </c>
      <c r="C96" s="193">
        <v>3000</v>
      </c>
      <c r="D96" s="193" t="s">
        <v>3197</v>
      </c>
      <c r="E96" s="193" t="s">
        <v>3195</v>
      </c>
      <c r="G96" s="193" t="s">
        <v>342</v>
      </c>
      <c r="H96" s="193" t="s">
        <v>3193</v>
      </c>
      <c r="I96" s="120" t="s">
        <v>688</v>
      </c>
      <c r="K96" s="240" t="s">
        <v>3232</v>
      </c>
      <c r="N96" s="193" t="s">
        <v>3201</v>
      </c>
    </row>
    <row r="97" spans="2:14" x14ac:dyDescent="0.3">
      <c r="B97" s="193">
        <v>1</v>
      </c>
      <c r="C97" s="193">
        <v>3000</v>
      </c>
      <c r="D97" s="193" t="s">
        <v>3197</v>
      </c>
      <c r="E97" s="193" t="s">
        <v>3196</v>
      </c>
      <c r="G97" s="193" t="s">
        <v>342</v>
      </c>
      <c r="H97" s="193" t="s">
        <v>3193</v>
      </c>
      <c r="I97" s="120" t="s">
        <v>688</v>
      </c>
      <c r="K97" s="240" t="s">
        <v>3231</v>
      </c>
      <c r="N97" s="193" t="s">
        <v>3202</v>
      </c>
    </row>
    <row r="98" spans="2:14" x14ac:dyDescent="0.3">
      <c r="B98" s="193">
        <v>1</v>
      </c>
      <c r="C98" s="193">
        <v>3000</v>
      </c>
      <c r="D98" s="193" t="s">
        <v>2979</v>
      </c>
      <c r="E98" s="193" t="s">
        <v>3192</v>
      </c>
      <c r="G98" s="193" t="s">
        <v>342</v>
      </c>
      <c r="H98" s="193" t="s">
        <v>3193</v>
      </c>
      <c r="I98" s="120" t="s">
        <v>688</v>
      </c>
      <c r="K98" s="240" t="s">
        <v>3233</v>
      </c>
      <c r="N98" s="193" t="s">
        <v>3204</v>
      </c>
    </row>
    <row r="99" spans="2:14" x14ac:dyDescent="0.3">
      <c r="B99" s="193">
        <v>1</v>
      </c>
      <c r="C99" s="193">
        <v>3000</v>
      </c>
      <c r="D99" s="193" t="s">
        <v>2979</v>
      </c>
      <c r="E99" s="193" t="s">
        <v>2935</v>
      </c>
      <c r="G99" s="193" t="s">
        <v>342</v>
      </c>
      <c r="H99" s="193" t="s">
        <v>3193</v>
      </c>
      <c r="I99" s="120" t="s">
        <v>688</v>
      </c>
      <c r="K99" s="240" t="s">
        <v>3233</v>
      </c>
      <c r="N99" s="193" t="s">
        <v>3204</v>
      </c>
    </row>
    <row r="100" spans="2:14" x14ac:dyDescent="0.3">
      <c r="B100" s="193">
        <v>1</v>
      </c>
      <c r="C100" s="193">
        <v>3000</v>
      </c>
      <c r="D100" s="193" t="s">
        <v>2979</v>
      </c>
      <c r="E100" s="193" t="s">
        <v>3195</v>
      </c>
      <c r="G100" s="193" t="s">
        <v>342</v>
      </c>
      <c r="H100" s="193" t="s">
        <v>3193</v>
      </c>
      <c r="I100" s="120" t="s">
        <v>688</v>
      </c>
      <c r="K100" s="240" t="s">
        <v>3234</v>
      </c>
      <c r="N100" s="193" t="s">
        <v>3219</v>
      </c>
    </row>
    <row r="101" spans="2:14" x14ac:dyDescent="0.3">
      <c r="B101" s="193">
        <v>1</v>
      </c>
      <c r="C101" s="193">
        <v>3000</v>
      </c>
      <c r="D101" s="193" t="s">
        <v>2979</v>
      </c>
      <c r="E101" s="193" t="s">
        <v>3196</v>
      </c>
      <c r="G101" s="193" t="s">
        <v>342</v>
      </c>
      <c r="H101" s="193" t="s">
        <v>3193</v>
      </c>
      <c r="I101" s="120" t="s">
        <v>688</v>
      </c>
      <c r="K101" s="240" t="s">
        <v>3233</v>
      </c>
      <c r="N101" s="193" t="s">
        <v>3204</v>
      </c>
    </row>
    <row r="102" spans="2:14" x14ac:dyDescent="0.3">
      <c r="B102" s="193">
        <v>1</v>
      </c>
      <c r="C102" s="193">
        <v>3000</v>
      </c>
      <c r="D102" s="193" t="s">
        <v>3207</v>
      </c>
      <c r="E102" s="193" t="s">
        <v>3192</v>
      </c>
      <c r="G102" s="193" t="s">
        <v>342</v>
      </c>
      <c r="H102" s="193" t="s">
        <v>3193</v>
      </c>
      <c r="I102" s="120" t="s">
        <v>688</v>
      </c>
      <c r="K102" s="240" t="s">
        <v>3233</v>
      </c>
      <c r="N102" s="193" t="s">
        <v>3204</v>
      </c>
    </row>
    <row r="103" spans="2:14" x14ac:dyDescent="0.3">
      <c r="B103" s="193">
        <v>1</v>
      </c>
      <c r="C103" s="193">
        <v>3000</v>
      </c>
      <c r="D103" s="193" t="s">
        <v>3207</v>
      </c>
      <c r="E103" s="193" t="s">
        <v>2935</v>
      </c>
      <c r="G103" s="193" t="s">
        <v>342</v>
      </c>
      <c r="H103" s="193" t="s">
        <v>3193</v>
      </c>
      <c r="I103" s="120" t="s">
        <v>688</v>
      </c>
      <c r="K103" s="240" t="s">
        <v>3233</v>
      </c>
      <c r="N103" s="193" t="s">
        <v>3204</v>
      </c>
    </row>
    <row r="104" spans="2:14" x14ac:dyDescent="0.3">
      <c r="B104" s="193">
        <v>1</v>
      </c>
      <c r="C104" s="193">
        <v>3000</v>
      </c>
      <c r="D104" s="193" t="s">
        <v>3207</v>
      </c>
      <c r="E104" s="193" t="s">
        <v>3195</v>
      </c>
      <c r="G104" s="193" t="s">
        <v>342</v>
      </c>
      <c r="H104" s="193" t="s">
        <v>3193</v>
      </c>
      <c r="I104" s="120" t="s">
        <v>688</v>
      </c>
      <c r="K104" s="240" t="s">
        <v>3235</v>
      </c>
      <c r="N104" s="193" t="s">
        <v>3219</v>
      </c>
    </row>
    <row r="105" spans="2:14" x14ac:dyDescent="0.3">
      <c r="B105" s="193">
        <v>1</v>
      </c>
      <c r="C105" s="193">
        <v>3000</v>
      </c>
      <c r="D105" s="193" t="s">
        <v>3207</v>
      </c>
      <c r="E105" s="193" t="s">
        <v>3196</v>
      </c>
      <c r="G105" s="193" t="s">
        <v>342</v>
      </c>
      <c r="H105" s="193" t="s">
        <v>3193</v>
      </c>
      <c r="I105" s="120" t="s">
        <v>688</v>
      </c>
      <c r="K105" s="240" t="s">
        <v>3233</v>
      </c>
      <c r="N105" s="193" t="s">
        <v>3204</v>
      </c>
    </row>
    <row r="106" spans="2:14" x14ac:dyDescent="0.3">
      <c r="B106" s="193">
        <v>1</v>
      </c>
      <c r="C106" s="193">
        <v>3000</v>
      </c>
      <c r="D106" s="193" t="s">
        <v>3030</v>
      </c>
      <c r="E106" s="193" t="s">
        <v>3192</v>
      </c>
      <c r="G106" s="193" t="s">
        <v>342</v>
      </c>
      <c r="H106" s="193" t="s">
        <v>3193</v>
      </c>
      <c r="I106" s="120" t="s">
        <v>688</v>
      </c>
      <c r="K106" s="240" t="s">
        <v>3236</v>
      </c>
      <c r="N106" s="193" t="s">
        <v>3208</v>
      </c>
    </row>
    <row r="107" spans="2:14" x14ac:dyDescent="0.3">
      <c r="B107" s="193">
        <v>1</v>
      </c>
      <c r="C107" s="193">
        <v>3000</v>
      </c>
      <c r="D107" s="193" t="s">
        <v>3030</v>
      </c>
      <c r="E107" s="193" t="s">
        <v>2935</v>
      </c>
      <c r="G107" s="193" t="s">
        <v>342</v>
      </c>
      <c r="H107" s="193" t="s">
        <v>3193</v>
      </c>
      <c r="I107" s="120" t="s">
        <v>688</v>
      </c>
      <c r="K107" s="240" t="s">
        <v>3237</v>
      </c>
      <c r="N107" s="193" t="s">
        <v>3208</v>
      </c>
    </row>
    <row r="108" spans="2:14" x14ac:dyDescent="0.3">
      <c r="B108" s="193">
        <v>1</v>
      </c>
      <c r="C108" s="193">
        <v>3000</v>
      </c>
      <c r="D108" s="193" t="s">
        <v>3030</v>
      </c>
      <c r="E108" s="193" t="s">
        <v>3195</v>
      </c>
      <c r="G108" s="193" t="s">
        <v>342</v>
      </c>
      <c r="H108" s="193" t="s">
        <v>3193</v>
      </c>
      <c r="I108" s="120" t="s">
        <v>688</v>
      </c>
      <c r="K108" s="240" t="s">
        <v>3238</v>
      </c>
      <c r="N108" s="193" t="s">
        <v>3210</v>
      </c>
    </row>
    <row r="109" spans="2:14" x14ac:dyDescent="0.3">
      <c r="B109" s="193">
        <v>1</v>
      </c>
      <c r="C109" s="193">
        <v>3000</v>
      </c>
      <c r="D109" s="193" t="s">
        <v>3030</v>
      </c>
      <c r="E109" s="193" t="s">
        <v>3196</v>
      </c>
      <c r="G109" s="193" t="s">
        <v>342</v>
      </c>
      <c r="H109" s="193" t="s">
        <v>3193</v>
      </c>
      <c r="I109" s="120" t="s">
        <v>688</v>
      </c>
      <c r="K109" s="240" t="s">
        <v>3237</v>
      </c>
      <c r="N109" s="193" t="s">
        <v>3208</v>
      </c>
    </row>
    <row r="110" spans="2:14" x14ac:dyDescent="0.3">
      <c r="B110" s="193">
        <v>1</v>
      </c>
      <c r="C110" s="193">
        <v>3000</v>
      </c>
      <c r="D110" s="193" t="s">
        <v>3192</v>
      </c>
      <c r="E110" s="193" t="s">
        <v>3192</v>
      </c>
      <c r="G110" s="193" t="s">
        <v>342</v>
      </c>
      <c r="H110" s="193" t="s">
        <v>3193</v>
      </c>
      <c r="I110" s="120" t="s">
        <v>688</v>
      </c>
      <c r="K110" s="240">
        <v>304850851</v>
      </c>
      <c r="N110" s="193" t="s">
        <v>3212</v>
      </c>
    </row>
    <row r="111" spans="2:14" x14ac:dyDescent="0.3">
      <c r="B111" s="193">
        <v>1</v>
      </c>
      <c r="C111" s="193">
        <v>3000</v>
      </c>
      <c r="D111" s="193" t="s">
        <v>3192</v>
      </c>
      <c r="E111" s="193" t="s">
        <v>2935</v>
      </c>
      <c r="G111" s="193" t="s">
        <v>342</v>
      </c>
      <c r="H111" s="193" t="s">
        <v>3193</v>
      </c>
      <c r="I111" s="120" t="s">
        <v>688</v>
      </c>
      <c r="K111" s="240">
        <v>304850851</v>
      </c>
      <c r="N111" s="193" t="s">
        <v>3212</v>
      </c>
    </row>
    <row r="112" spans="2:14" x14ac:dyDescent="0.3">
      <c r="B112" s="193">
        <v>1</v>
      </c>
      <c r="C112" s="193">
        <v>3000</v>
      </c>
      <c r="D112" s="193" t="s">
        <v>3192</v>
      </c>
      <c r="E112" s="193" t="s">
        <v>3195</v>
      </c>
      <c r="G112" s="193" t="s">
        <v>342</v>
      </c>
      <c r="H112" s="193" t="s">
        <v>3193</v>
      </c>
      <c r="I112" s="120" t="s">
        <v>688</v>
      </c>
      <c r="K112" s="240" t="s">
        <v>3239</v>
      </c>
      <c r="N112" s="193" t="s">
        <v>3214</v>
      </c>
    </row>
    <row r="113" spans="2:14" x14ac:dyDescent="0.3">
      <c r="B113" s="193">
        <v>1</v>
      </c>
      <c r="C113" s="193">
        <v>3000</v>
      </c>
      <c r="D113" s="193" t="s">
        <v>3192</v>
      </c>
      <c r="E113" s="193" t="s">
        <v>3196</v>
      </c>
      <c r="G113" s="193" t="s">
        <v>342</v>
      </c>
      <c r="H113" s="193" t="s">
        <v>3193</v>
      </c>
      <c r="I113" s="120" t="s">
        <v>688</v>
      </c>
      <c r="K113" s="240">
        <v>304850851</v>
      </c>
      <c r="N113" s="193" t="s">
        <v>3212</v>
      </c>
    </row>
    <row r="114" spans="2:14" x14ac:dyDescent="0.3">
      <c r="B114" s="193">
        <v>1</v>
      </c>
      <c r="C114" s="193">
        <v>4000</v>
      </c>
      <c r="D114" s="193" t="s">
        <v>3191</v>
      </c>
      <c r="E114" s="193" t="s">
        <v>3192</v>
      </c>
      <c r="G114" s="193" t="s">
        <v>342</v>
      </c>
      <c r="H114" s="193" t="s">
        <v>3193</v>
      </c>
      <c r="I114" s="120" t="s">
        <v>688</v>
      </c>
      <c r="K114" s="240">
        <v>304850851</v>
      </c>
      <c r="N114" s="193" t="s">
        <v>3194</v>
      </c>
    </row>
    <row r="115" spans="2:14" x14ac:dyDescent="0.3">
      <c r="B115" s="193">
        <v>1</v>
      </c>
      <c r="C115" s="193">
        <v>4000</v>
      </c>
      <c r="D115" s="193" t="s">
        <v>3191</v>
      </c>
      <c r="E115" s="193" t="s">
        <v>2935</v>
      </c>
      <c r="G115" s="193" t="s">
        <v>342</v>
      </c>
      <c r="H115" s="193" t="s">
        <v>3193</v>
      </c>
      <c r="I115" s="120" t="s">
        <v>688</v>
      </c>
      <c r="K115" s="240">
        <v>304850851</v>
      </c>
      <c r="N115" s="193" t="s">
        <v>3194</v>
      </c>
    </row>
    <row r="116" spans="2:14" x14ac:dyDescent="0.3">
      <c r="B116" s="193">
        <v>1</v>
      </c>
      <c r="C116" s="193">
        <v>4000</v>
      </c>
      <c r="D116" s="193" t="s">
        <v>3191</v>
      </c>
      <c r="E116" s="193" t="s">
        <v>3195</v>
      </c>
      <c r="G116" s="193" t="s">
        <v>342</v>
      </c>
      <c r="H116" s="193" t="s">
        <v>3193</v>
      </c>
      <c r="I116" s="120" t="s">
        <v>688</v>
      </c>
      <c r="K116" s="240">
        <v>304850851</v>
      </c>
      <c r="N116" s="193" t="s">
        <v>3194</v>
      </c>
    </row>
    <row r="117" spans="2:14" x14ac:dyDescent="0.3">
      <c r="B117" s="193">
        <v>1</v>
      </c>
      <c r="C117" s="193">
        <v>4000</v>
      </c>
      <c r="D117" s="193" t="s">
        <v>3191</v>
      </c>
      <c r="E117" s="193" t="s">
        <v>3196</v>
      </c>
      <c r="G117" s="193" t="s">
        <v>342</v>
      </c>
      <c r="H117" s="193" t="s">
        <v>3193</v>
      </c>
      <c r="I117" s="120" t="s">
        <v>688</v>
      </c>
      <c r="K117" s="240">
        <v>304850851</v>
      </c>
      <c r="N117" s="193" t="s">
        <v>3194</v>
      </c>
    </row>
    <row r="118" spans="2:14" x14ac:dyDescent="0.3">
      <c r="B118" s="193">
        <v>1</v>
      </c>
      <c r="C118" s="193">
        <v>4000</v>
      </c>
      <c r="D118" s="193" t="s">
        <v>3196</v>
      </c>
      <c r="E118" s="193" t="s">
        <v>2935</v>
      </c>
      <c r="G118" s="193" t="s">
        <v>342</v>
      </c>
      <c r="H118" s="193" t="s">
        <v>3193</v>
      </c>
      <c r="I118" s="120" t="s">
        <v>688</v>
      </c>
      <c r="K118" s="240">
        <v>304850851</v>
      </c>
      <c r="N118" s="193" t="s">
        <v>3194</v>
      </c>
    </row>
    <row r="119" spans="2:14" x14ac:dyDescent="0.3">
      <c r="B119" s="193">
        <v>1</v>
      </c>
      <c r="C119" s="193">
        <v>4000</v>
      </c>
      <c r="D119" s="193" t="s">
        <v>3196</v>
      </c>
      <c r="E119" s="193" t="s">
        <v>3192</v>
      </c>
      <c r="G119" s="193" t="s">
        <v>342</v>
      </c>
      <c r="H119" s="193" t="s">
        <v>3193</v>
      </c>
      <c r="I119" s="120" t="s">
        <v>688</v>
      </c>
      <c r="K119" s="240">
        <v>304850851</v>
      </c>
      <c r="N119" s="193" t="s">
        <v>3194</v>
      </c>
    </row>
    <row r="120" spans="2:14" x14ac:dyDescent="0.3">
      <c r="B120" s="193">
        <v>1</v>
      </c>
      <c r="C120" s="193">
        <v>4000</v>
      </c>
      <c r="D120" s="193" t="s">
        <v>3196</v>
      </c>
      <c r="E120" s="193" t="s">
        <v>3195</v>
      </c>
      <c r="G120" s="193" t="s">
        <v>342</v>
      </c>
      <c r="H120" s="193" t="s">
        <v>3193</v>
      </c>
      <c r="I120" s="120" t="s">
        <v>688</v>
      </c>
      <c r="K120" s="240">
        <v>304850851</v>
      </c>
      <c r="N120" s="193" t="s">
        <v>3194</v>
      </c>
    </row>
    <row r="121" spans="2:14" x14ac:dyDescent="0.3">
      <c r="B121" s="193">
        <v>1</v>
      </c>
      <c r="C121" s="193">
        <v>4000</v>
      </c>
      <c r="D121" s="193" t="s">
        <v>3196</v>
      </c>
      <c r="E121" s="193" t="s">
        <v>3196</v>
      </c>
      <c r="G121" s="193" t="s">
        <v>342</v>
      </c>
      <c r="H121" s="193" t="s">
        <v>3193</v>
      </c>
      <c r="I121" s="120" t="s">
        <v>688</v>
      </c>
      <c r="K121" s="240">
        <v>304850851</v>
      </c>
      <c r="N121" s="193" t="s">
        <v>3194</v>
      </c>
    </row>
    <row r="122" spans="2:14" x14ac:dyDescent="0.3">
      <c r="B122" s="193">
        <v>1</v>
      </c>
      <c r="C122" s="193">
        <v>4000</v>
      </c>
      <c r="D122" s="193" t="s">
        <v>3197</v>
      </c>
      <c r="E122" s="193" t="s">
        <v>3192</v>
      </c>
      <c r="G122" s="193" t="s">
        <v>342</v>
      </c>
      <c r="H122" s="193" t="s">
        <v>3193</v>
      </c>
      <c r="I122" s="120" t="s">
        <v>688</v>
      </c>
      <c r="K122" s="240" t="s">
        <v>3240</v>
      </c>
      <c r="N122" s="193" t="s">
        <v>3199</v>
      </c>
    </row>
    <row r="123" spans="2:14" x14ac:dyDescent="0.3">
      <c r="B123" s="193">
        <v>1</v>
      </c>
      <c r="C123" s="193">
        <v>4000</v>
      </c>
      <c r="D123" s="193" t="s">
        <v>3197</v>
      </c>
      <c r="E123" s="193" t="s">
        <v>2935</v>
      </c>
      <c r="G123" s="193" t="s">
        <v>342</v>
      </c>
      <c r="H123" s="193" t="s">
        <v>3193</v>
      </c>
      <c r="I123" s="120" t="s">
        <v>688</v>
      </c>
      <c r="K123" s="240" t="s">
        <v>3240</v>
      </c>
      <c r="N123" s="193" t="s">
        <v>3199</v>
      </c>
    </row>
    <row r="124" spans="2:14" x14ac:dyDescent="0.3">
      <c r="B124" s="193">
        <v>1</v>
      </c>
      <c r="C124" s="193">
        <v>4000</v>
      </c>
      <c r="D124" s="193" t="s">
        <v>3197</v>
      </c>
      <c r="E124" s="193" t="s">
        <v>3195</v>
      </c>
      <c r="G124" s="193" t="s">
        <v>342</v>
      </c>
      <c r="H124" s="193" t="s">
        <v>3193</v>
      </c>
      <c r="I124" s="120" t="s">
        <v>688</v>
      </c>
      <c r="K124" s="240" t="s">
        <v>3241</v>
      </c>
      <c r="N124" s="193" t="s">
        <v>3201</v>
      </c>
    </row>
    <row r="125" spans="2:14" x14ac:dyDescent="0.3">
      <c r="B125" s="193">
        <v>1</v>
      </c>
      <c r="C125" s="193">
        <v>4000</v>
      </c>
      <c r="D125" s="193" t="s">
        <v>3197</v>
      </c>
      <c r="E125" s="193" t="s">
        <v>3196</v>
      </c>
      <c r="G125" s="193" t="s">
        <v>342</v>
      </c>
      <c r="H125" s="193" t="s">
        <v>3193</v>
      </c>
      <c r="I125" s="120" t="s">
        <v>688</v>
      </c>
      <c r="K125" s="240" t="s">
        <v>3240</v>
      </c>
      <c r="N125" s="193" t="s">
        <v>3202</v>
      </c>
    </row>
    <row r="126" spans="2:14" x14ac:dyDescent="0.3">
      <c r="B126" s="193">
        <v>1</v>
      </c>
      <c r="C126" s="193">
        <v>4000</v>
      </c>
      <c r="D126" s="193" t="s">
        <v>2979</v>
      </c>
      <c r="E126" s="193" t="s">
        <v>3192</v>
      </c>
      <c r="G126" s="193" t="s">
        <v>342</v>
      </c>
      <c r="H126" s="193" t="s">
        <v>3193</v>
      </c>
      <c r="I126" s="120" t="s">
        <v>688</v>
      </c>
      <c r="K126" s="240" t="s">
        <v>3242</v>
      </c>
      <c r="N126" s="193" t="s">
        <v>3204</v>
      </c>
    </row>
    <row r="127" spans="2:14" x14ac:dyDescent="0.3">
      <c r="B127" s="193">
        <v>1</v>
      </c>
      <c r="C127" s="193">
        <v>4000</v>
      </c>
      <c r="D127" s="193" t="s">
        <v>2979</v>
      </c>
      <c r="E127" s="193" t="s">
        <v>2935</v>
      </c>
      <c r="G127" s="193" t="s">
        <v>342</v>
      </c>
      <c r="H127" s="193" t="s">
        <v>3193</v>
      </c>
      <c r="I127" s="120" t="s">
        <v>688</v>
      </c>
      <c r="K127" s="240" t="s">
        <v>3242</v>
      </c>
      <c r="N127" s="193" t="s">
        <v>3204</v>
      </c>
    </row>
    <row r="128" spans="2:14" x14ac:dyDescent="0.3">
      <c r="B128" s="193">
        <v>1</v>
      </c>
      <c r="C128" s="193">
        <v>4000</v>
      </c>
      <c r="D128" s="193" t="s">
        <v>2979</v>
      </c>
      <c r="E128" s="193" t="s">
        <v>3195</v>
      </c>
      <c r="G128" s="193" t="s">
        <v>342</v>
      </c>
      <c r="H128" s="193" t="s">
        <v>3193</v>
      </c>
      <c r="I128" s="120" t="s">
        <v>688</v>
      </c>
      <c r="K128" s="240" t="s">
        <v>3243</v>
      </c>
      <c r="N128" s="193" t="s">
        <v>3219</v>
      </c>
    </row>
    <row r="129" spans="2:14" x14ac:dyDescent="0.3">
      <c r="B129" s="193">
        <v>1</v>
      </c>
      <c r="C129" s="193">
        <v>4000</v>
      </c>
      <c r="D129" s="193" t="s">
        <v>2979</v>
      </c>
      <c r="E129" s="193" t="s">
        <v>3196</v>
      </c>
      <c r="G129" s="193" t="s">
        <v>342</v>
      </c>
      <c r="H129" s="193" t="s">
        <v>3193</v>
      </c>
      <c r="I129" s="120" t="s">
        <v>688</v>
      </c>
      <c r="K129" s="240" t="s">
        <v>3242</v>
      </c>
      <c r="N129" s="193" t="s">
        <v>3204</v>
      </c>
    </row>
    <row r="130" spans="2:14" x14ac:dyDescent="0.3">
      <c r="B130" s="193">
        <v>1</v>
      </c>
      <c r="C130" s="193">
        <v>4000</v>
      </c>
      <c r="D130" s="193" t="s">
        <v>3207</v>
      </c>
      <c r="E130" s="193" t="s">
        <v>3192</v>
      </c>
      <c r="G130" s="193" t="s">
        <v>342</v>
      </c>
      <c r="H130" s="193" t="s">
        <v>3193</v>
      </c>
      <c r="I130" s="120" t="s">
        <v>688</v>
      </c>
      <c r="K130" s="240" t="s">
        <v>3242</v>
      </c>
      <c r="N130" s="193" t="s">
        <v>3204</v>
      </c>
    </row>
    <row r="131" spans="2:14" x14ac:dyDescent="0.3">
      <c r="B131" s="193">
        <v>1</v>
      </c>
      <c r="C131" s="193">
        <v>4000</v>
      </c>
      <c r="D131" s="193" t="s">
        <v>3207</v>
      </c>
      <c r="E131" s="193" t="s">
        <v>2935</v>
      </c>
      <c r="G131" s="193" t="s">
        <v>342</v>
      </c>
      <c r="H131" s="193" t="s">
        <v>3193</v>
      </c>
      <c r="I131" s="120" t="s">
        <v>688</v>
      </c>
      <c r="K131" s="240" t="s">
        <v>3242</v>
      </c>
      <c r="N131" s="193" t="s">
        <v>3204</v>
      </c>
    </row>
    <row r="132" spans="2:14" x14ac:dyDescent="0.3">
      <c r="B132" s="193">
        <v>1</v>
      </c>
      <c r="C132" s="193">
        <v>4000</v>
      </c>
      <c r="D132" s="193" t="s">
        <v>3207</v>
      </c>
      <c r="E132" s="193" t="s">
        <v>3195</v>
      </c>
      <c r="G132" s="193" t="s">
        <v>342</v>
      </c>
      <c r="H132" s="193" t="s">
        <v>3193</v>
      </c>
      <c r="I132" s="120" t="s">
        <v>688</v>
      </c>
      <c r="K132" s="240" t="s">
        <v>3243</v>
      </c>
      <c r="N132" s="193" t="s">
        <v>3219</v>
      </c>
    </row>
    <row r="133" spans="2:14" x14ac:dyDescent="0.3">
      <c r="B133" s="193">
        <v>1</v>
      </c>
      <c r="C133" s="193">
        <v>4000</v>
      </c>
      <c r="D133" s="193" t="s">
        <v>3207</v>
      </c>
      <c r="E133" s="193" t="s">
        <v>3196</v>
      </c>
      <c r="G133" s="193" t="s">
        <v>342</v>
      </c>
      <c r="H133" s="193" t="s">
        <v>3193</v>
      </c>
      <c r="I133" s="120" t="s">
        <v>688</v>
      </c>
      <c r="K133" s="240" t="s">
        <v>3242</v>
      </c>
      <c r="N133" s="193" t="s">
        <v>3204</v>
      </c>
    </row>
    <row r="134" spans="2:14" x14ac:dyDescent="0.3">
      <c r="B134" s="193">
        <v>1</v>
      </c>
      <c r="C134" s="193">
        <v>4000</v>
      </c>
      <c r="D134" s="193" t="s">
        <v>3030</v>
      </c>
      <c r="E134" s="193" t="s">
        <v>3192</v>
      </c>
      <c r="G134" s="193" t="s">
        <v>342</v>
      </c>
      <c r="H134" s="193" t="s">
        <v>3193</v>
      </c>
      <c r="I134" s="120" t="s">
        <v>688</v>
      </c>
      <c r="K134" s="240" t="s">
        <v>3244</v>
      </c>
      <c r="N134" s="193" t="s">
        <v>3208</v>
      </c>
    </row>
    <row r="135" spans="2:14" x14ac:dyDescent="0.3">
      <c r="B135" s="193">
        <v>1</v>
      </c>
      <c r="C135" s="193">
        <v>4000</v>
      </c>
      <c r="D135" s="193" t="s">
        <v>3030</v>
      </c>
      <c r="E135" s="193" t="s">
        <v>2935</v>
      </c>
      <c r="G135" s="193" t="s">
        <v>342</v>
      </c>
      <c r="H135" s="193" t="s">
        <v>3193</v>
      </c>
      <c r="I135" s="120" t="s">
        <v>688</v>
      </c>
      <c r="K135" s="240" t="s">
        <v>3244</v>
      </c>
      <c r="N135" s="193" t="s">
        <v>3208</v>
      </c>
    </row>
    <row r="136" spans="2:14" x14ac:dyDescent="0.3">
      <c r="B136" s="193">
        <v>1</v>
      </c>
      <c r="C136" s="193">
        <v>4000</v>
      </c>
      <c r="D136" s="193" t="s">
        <v>3030</v>
      </c>
      <c r="E136" s="193" t="s">
        <v>3195</v>
      </c>
      <c r="G136" s="193" t="s">
        <v>342</v>
      </c>
      <c r="H136" s="193" t="s">
        <v>3193</v>
      </c>
      <c r="I136" s="120" t="s">
        <v>688</v>
      </c>
      <c r="K136" s="240" t="s">
        <v>3245</v>
      </c>
      <c r="N136" s="193" t="s">
        <v>3210</v>
      </c>
    </row>
    <row r="137" spans="2:14" x14ac:dyDescent="0.3">
      <c r="B137" s="193">
        <v>1</v>
      </c>
      <c r="C137" s="193">
        <v>4000</v>
      </c>
      <c r="D137" s="193" t="s">
        <v>3030</v>
      </c>
      <c r="E137" s="193" t="s">
        <v>3196</v>
      </c>
      <c r="G137" s="193" t="s">
        <v>342</v>
      </c>
      <c r="H137" s="193" t="s">
        <v>3193</v>
      </c>
      <c r="I137" s="120" t="s">
        <v>688</v>
      </c>
      <c r="K137" s="240" t="s">
        <v>3244</v>
      </c>
      <c r="N137" s="193" t="s">
        <v>3208</v>
      </c>
    </row>
    <row r="138" spans="2:14" x14ac:dyDescent="0.3">
      <c r="B138" s="193">
        <v>1</v>
      </c>
      <c r="C138" s="193">
        <v>4000</v>
      </c>
      <c r="D138" s="193" t="s">
        <v>3192</v>
      </c>
      <c r="E138" s="193" t="s">
        <v>3192</v>
      </c>
      <c r="G138" s="193" t="s">
        <v>342</v>
      </c>
      <c r="H138" s="193" t="s">
        <v>3193</v>
      </c>
      <c r="I138" s="120" t="s">
        <v>688</v>
      </c>
      <c r="K138" s="240">
        <v>305850851</v>
      </c>
      <c r="N138" s="193" t="s">
        <v>3212</v>
      </c>
    </row>
    <row r="139" spans="2:14" x14ac:dyDescent="0.3">
      <c r="B139" s="193">
        <v>1</v>
      </c>
      <c r="C139" s="193">
        <v>4000</v>
      </c>
      <c r="D139" s="193" t="s">
        <v>3192</v>
      </c>
      <c r="E139" s="193" t="s">
        <v>2935</v>
      </c>
      <c r="G139" s="193" t="s">
        <v>342</v>
      </c>
      <c r="H139" s="193" t="s">
        <v>3193</v>
      </c>
      <c r="I139" s="120" t="s">
        <v>688</v>
      </c>
      <c r="K139" s="240">
        <v>305850851</v>
      </c>
      <c r="N139" s="193" t="s">
        <v>3212</v>
      </c>
    </row>
    <row r="140" spans="2:14" x14ac:dyDescent="0.3">
      <c r="B140" s="193">
        <v>1</v>
      </c>
      <c r="C140" s="193">
        <v>4000</v>
      </c>
      <c r="D140" s="193" t="s">
        <v>3192</v>
      </c>
      <c r="E140" s="193" t="s">
        <v>3195</v>
      </c>
      <c r="G140" s="193" t="s">
        <v>342</v>
      </c>
      <c r="H140" s="193" t="s">
        <v>3193</v>
      </c>
      <c r="I140" s="120" t="s">
        <v>688</v>
      </c>
      <c r="K140" s="240" t="s">
        <v>3246</v>
      </c>
      <c r="N140" s="193" t="s">
        <v>3214</v>
      </c>
    </row>
    <row r="141" spans="2:14" x14ac:dyDescent="0.3">
      <c r="B141" s="193">
        <v>1</v>
      </c>
      <c r="C141" s="193">
        <v>4000</v>
      </c>
      <c r="D141" s="193" t="s">
        <v>3192</v>
      </c>
      <c r="E141" s="193" t="s">
        <v>3196</v>
      </c>
      <c r="G141" s="193" t="s">
        <v>342</v>
      </c>
      <c r="H141" s="193" t="s">
        <v>3193</v>
      </c>
      <c r="I141" s="120" t="s">
        <v>688</v>
      </c>
      <c r="K141" s="240">
        <v>305850851</v>
      </c>
      <c r="N141" s="193" t="s">
        <v>3212</v>
      </c>
    </row>
    <row r="142" spans="2:14" x14ac:dyDescent="0.3">
      <c r="B142" s="193">
        <v>1</v>
      </c>
      <c r="C142" s="193">
        <v>6000</v>
      </c>
      <c r="D142" s="193" t="s">
        <v>3191</v>
      </c>
      <c r="E142" s="193" t="s">
        <v>3192</v>
      </c>
      <c r="G142" s="193" t="s">
        <v>342</v>
      </c>
      <c r="H142" s="193" t="s">
        <v>3193</v>
      </c>
      <c r="I142" s="120" t="s">
        <v>688</v>
      </c>
      <c r="K142" s="240">
        <v>305850851</v>
      </c>
      <c r="N142" s="193" t="s">
        <v>3194</v>
      </c>
    </row>
    <row r="143" spans="2:14" x14ac:dyDescent="0.3">
      <c r="B143" s="193">
        <v>1</v>
      </c>
      <c r="C143" s="193">
        <v>6000</v>
      </c>
      <c r="D143" s="193" t="s">
        <v>3191</v>
      </c>
      <c r="E143" s="193" t="s">
        <v>2935</v>
      </c>
      <c r="G143" s="193" t="s">
        <v>342</v>
      </c>
      <c r="H143" s="193" t="s">
        <v>3193</v>
      </c>
      <c r="I143" s="120" t="s">
        <v>688</v>
      </c>
      <c r="K143" s="240">
        <v>305850851</v>
      </c>
      <c r="N143" s="193" t="s">
        <v>3194</v>
      </c>
    </row>
    <row r="144" spans="2:14" x14ac:dyDescent="0.3">
      <c r="B144" s="193">
        <v>1</v>
      </c>
      <c r="C144" s="193">
        <v>6000</v>
      </c>
      <c r="D144" s="193" t="s">
        <v>3191</v>
      </c>
      <c r="E144" s="193" t="s">
        <v>3195</v>
      </c>
      <c r="G144" s="193" t="s">
        <v>342</v>
      </c>
      <c r="H144" s="193" t="s">
        <v>3193</v>
      </c>
      <c r="I144" s="120" t="s">
        <v>688</v>
      </c>
      <c r="K144" s="240" t="s">
        <v>3247</v>
      </c>
      <c r="N144" s="193" t="s">
        <v>3194</v>
      </c>
    </row>
    <row r="145" spans="2:14" x14ac:dyDescent="0.3">
      <c r="B145" s="193">
        <v>1</v>
      </c>
      <c r="C145" s="193">
        <v>6000</v>
      </c>
      <c r="D145" s="193" t="s">
        <v>3191</v>
      </c>
      <c r="E145" s="193" t="s">
        <v>3196</v>
      </c>
      <c r="G145" s="193" t="s">
        <v>342</v>
      </c>
      <c r="H145" s="193" t="s">
        <v>3193</v>
      </c>
      <c r="I145" s="120" t="s">
        <v>688</v>
      </c>
      <c r="K145" s="240">
        <v>305850851</v>
      </c>
      <c r="N145" s="193" t="s">
        <v>3194</v>
      </c>
    </row>
    <row r="146" spans="2:14" x14ac:dyDescent="0.3">
      <c r="B146" s="193">
        <v>1</v>
      </c>
      <c r="C146" s="193">
        <v>6000</v>
      </c>
      <c r="D146" s="193" t="s">
        <v>3196</v>
      </c>
      <c r="E146" s="193" t="s">
        <v>2935</v>
      </c>
      <c r="G146" s="193" t="s">
        <v>342</v>
      </c>
      <c r="H146" s="193" t="s">
        <v>3193</v>
      </c>
      <c r="I146" s="120" t="s">
        <v>688</v>
      </c>
      <c r="K146" s="240">
        <v>305850851</v>
      </c>
      <c r="N146" s="193" t="s">
        <v>3194</v>
      </c>
    </row>
    <row r="147" spans="2:14" x14ac:dyDescent="0.3">
      <c r="B147" s="193">
        <v>1</v>
      </c>
      <c r="C147" s="193">
        <v>6000</v>
      </c>
      <c r="D147" s="193" t="s">
        <v>3196</v>
      </c>
      <c r="E147" s="193" t="s">
        <v>3192</v>
      </c>
      <c r="G147" s="193" t="s">
        <v>342</v>
      </c>
      <c r="H147" s="193" t="s">
        <v>3193</v>
      </c>
      <c r="I147" s="120" t="s">
        <v>688</v>
      </c>
      <c r="K147" s="240">
        <v>305850851</v>
      </c>
      <c r="N147" s="193" t="s">
        <v>3194</v>
      </c>
    </row>
    <row r="148" spans="2:14" x14ac:dyDescent="0.3">
      <c r="B148" s="193">
        <v>1</v>
      </c>
      <c r="C148" s="193">
        <v>6000</v>
      </c>
      <c r="D148" s="193" t="s">
        <v>3196</v>
      </c>
      <c r="E148" s="193" t="s">
        <v>3195</v>
      </c>
      <c r="G148" s="193" t="s">
        <v>342</v>
      </c>
      <c r="H148" s="193" t="s">
        <v>3193</v>
      </c>
      <c r="I148" s="120" t="s">
        <v>688</v>
      </c>
      <c r="K148" s="240" t="s">
        <v>3247</v>
      </c>
      <c r="N148" s="193" t="s">
        <v>3194</v>
      </c>
    </row>
    <row r="149" spans="2:14" x14ac:dyDescent="0.3">
      <c r="B149" s="193">
        <v>1</v>
      </c>
      <c r="C149" s="193">
        <v>6000</v>
      </c>
      <c r="D149" s="193" t="s">
        <v>3196</v>
      </c>
      <c r="E149" s="193" t="s">
        <v>3196</v>
      </c>
      <c r="G149" s="193" t="s">
        <v>342</v>
      </c>
      <c r="H149" s="193" t="s">
        <v>3193</v>
      </c>
      <c r="I149" s="120" t="s">
        <v>688</v>
      </c>
      <c r="K149" s="240">
        <v>305850851</v>
      </c>
      <c r="N149" s="193" t="s">
        <v>3194</v>
      </c>
    </row>
    <row r="150" spans="2:14" x14ac:dyDescent="0.3">
      <c r="B150" s="193">
        <v>1</v>
      </c>
      <c r="C150" s="193">
        <v>6000</v>
      </c>
      <c r="D150" s="193" t="s">
        <v>3197</v>
      </c>
      <c r="E150" s="193" t="s">
        <v>3192</v>
      </c>
      <c r="G150" s="193" t="s">
        <v>342</v>
      </c>
      <c r="H150" s="193" t="s">
        <v>3193</v>
      </c>
      <c r="I150" s="120" t="s">
        <v>688</v>
      </c>
      <c r="K150" s="240" t="s">
        <v>3248</v>
      </c>
      <c r="N150" s="193" t="s">
        <v>3199</v>
      </c>
    </row>
    <row r="151" spans="2:14" x14ac:dyDescent="0.3">
      <c r="B151" s="193">
        <v>1</v>
      </c>
      <c r="C151" s="193">
        <v>6000</v>
      </c>
      <c r="D151" s="193" t="s">
        <v>3197</v>
      </c>
      <c r="E151" s="193" t="s">
        <v>2935</v>
      </c>
      <c r="G151" s="193" t="s">
        <v>342</v>
      </c>
      <c r="H151" s="193" t="s">
        <v>3193</v>
      </c>
      <c r="I151" s="120" t="s">
        <v>688</v>
      </c>
      <c r="K151" s="240" t="s">
        <v>3248</v>
      </c>
      <c r="N151" s="193" t="s">
        <v>3199</v>
      </c>
    </row>
    <row r="152" spans="2:14" x14ac:dyDescent="0.3">
      <c r="B152" s="193">
        <v>1</v>
      </c>
      <c r="C152" s="193">
        <v>6000</v>
      </c>
      <c r="D152" s="193" t="s">
        <v>3197</v>
      </c>
      <c r="E152" s="193" t="s">
        <v>3195</v>
      </c>
      <c r="G152" s="193" t="s">
        <v>342</v>
      </c>
      <c r="H152" s="193" t="s">
        <v>3193</v>
      </c>
      <c r="I152" s="120" t="s">
        <v>688</v>
      </c>
      <c r="K152" s="240" t="s">
        <v>3249</v>
      </c>
      <c r="N152" s="193" t="s">
        <v>3201</v>
      </c>
    </row>
    <row r="153" spans="2:14" x14ac:dyDescent="0.3">
      <c r="B153" s="193">
        <v>1</v>
      </c>
      <c r="C153" s="193">
        <v>6000</v>
      </c>
      <c r="D153" s="193" t="s">
        <v>3197</v>
      </c>
      <c r="E153" s="193" t="s">
        <v>3196</v>
      </c>
      <c r="G153" s="193" t="s">
        <v>342</v>
      </c>
      <c r="H153" s="193" t="s">
        <v>3193</v>
      </c>
      <c r="I153" s="120" t="s">
        <v>688</v>
      </c>
      <c r="K153" s="240" t="s">
        <v>3248</v>
      </c>
      <c r="N153" s="193" t="s">
        <v>3202</v>
      </c>
    </row>
    <row r="154" spans="2:14" x14ac:dyDescent="0.3">
      <c r="B154" s="193">
        <v>1</v>
      </c>
      <c r="C154" s="193">
        <v>6000</v>
      </c>
      <c r="D154" s="193" t="s">
        <v>2979</v>
      </c>
      <c r="E154" s="193" t="s">
        <v>3192</v>
      </c>
      <c r="G154" s="193" t="s">
        <v>342</v>
      </c>
      <c r="H154" s="193" t="s">
        <v>3193</v>
      </c>
      <c r="I154" s="120" t="s">
        <v>688</v>
      </c>
      <c r="K154" s="240" t="s">
        <v>3250</v>
      </c>
      <c r="N154" s="193" t="s">
        <v>3204</v>
      </c>
    </row>
    <row r="155" spans="2:14" x14ac:dyDescent="0.3">
      <c r="B155" s="193">
        <v>1</v>
      </c>
      <c r="C155" s="193">
        <v>6000</v>
      </c>
      <c r="D155" s="193" t="s">
        <v>2979</v>
      </c>
      <c r="E155" s="193" t="s">
        <v>2935</v>
      </c>
      <c r="G155" s="193" t="s">
        <v>342</v>
      </c>
      <c r="H155" s="193" t="s">
        <v>3193</v>
      </c>
      <c r="I155" s="120" t="s">
        <v>688</v>
      </c>
      <c r="K155" s="240" t="s">
        <v>3250</v>
      </c>
      <c r="N155" s="193" t="s">
        <v>3204</v>
      </c>
    </row>
    <row r="156" spans="2:14" x14ac:dyDescent="0.3">
      <c r="B156" s="193">
        <v>1</v>
      </c>
      <c r="C156" s="193">
        <v>6000</v>
      </c>
      <c r="D156" s="193" t="s">
        <v>2979</v>
      </c>
      <c r="E156" s="193" t="s">
        <v>3195</v>
      </c>
      <c r="G156" s="193" t="s">
        <v>342</v>
      </c>
      <c r="H156" s="193" t="s">
        <v>3193</v>
      </c>
      <c r="I156" s="120" t="s">
        <v>688</v>
      </c>
      <c r="K156" s="240" t="s">
        <v>3251</v>
      </c>
      <c r="N156" s="193" t="s">
        <v>3219</v>
      </c>
    </row>
    <row r="157" spans="2:14" x14ac:dyDescent="0.3">
      <c r="B157" s="193">
        <v>1</v>
      </c>
      <c r="C157" s="193">
        <v>6000</v>
      </c>
      <c r="D157" s="193" t="s">
        <v>2979</v>
      </c>
      <c r="E157" s="193" t="s">
        <v>3196</v>
      </c>
      <c r="G157" s="193" t="s">
        <v>342</v>
      </c>
      <c r="H157" s="193" t="s">
        <v>3193</v>
      </c>
      <c r="I157" s="120" t="s">
        <v>688</v>
      </c>
      <c r="K157" s="240" t="s">
        <v>3250</v>
      </c>
      <c r="N157" s="193" t="s">
        <v>3204</v>
      </c>
    </row>
    <row r="158" spans="2:14" x14ac:dyDescent="0.3">
      <c r="B158" s="193">
        <v>1</v>
      </c>
      <c r="C158" s="193">
        <v>6000</v>
      </c>
      <c r="D158" s="193" t="s">
        <v>3207</v>
      </c>
      <c r="E158" s="193" t="s">
        <v>3192</v>
      </c>
      <c r="G158" s="193" t="s">
        <v>342</v>
      </c>
      <c r="H158" s="193" t="s">
        <v>3193</v>
      </c>
      <c r="I158" s="120" t="s">
        <v>688</v>
      </c>
      <c r="K158" s="240" t="s">
        <v>3250</v>
      </c>
      <c r="N158" s="193" t="s">
        <v>3204</v>
      </c>
    </row>
    <row r="159" spans="2:14" x14ac:dyDescent="0.3">
      <c r="B159" s="193">
        <v>1</v>
      </c>
      <c r="C159" s="193">
        <v>6000</v>
      </c>
      <c r="D159" s="193" t="s">
        <v>3207</v>
      </c>
      <c r="E159" s="193" t="s">
        <v>2935</v>
      </c>
      <c r="G159" s="193" t="s">
        <v>342</v>
      </c>
      <c r="H159" s="193" t="s">
        <v>3193</v>
      </c>
      <c r="I159" s="120" t="s">
        <v>688</v>
      </c>
      <c r="K159" s="240" t="s">
        <v>3250</v>
      </c>
      <c r="N159" s="193" t="s">
        <v>3204</v>
      </c>
    </row>
    <row r="160" spans="2:14" x14ac:dyDescent="0.3">
      <c r="B160" s="193">
        <v>1</v>
      </c>
      <c r="C160" s="193">
        <v>6000</v>
      </c>
      <c r="D160" s="193" t="s">
        <v>3207</v>
      </c>
      <c r="E160" s="193" t="s">
        <v>3195</v>
      </c>
      <c r="G160" s="193" t="s">
        <v>342</v>
      </c>
      <c r="H160" s="193" t="s">
        <v>3193</v>
      </c>
      <c r="I160" s="120" t="s">
        <v>688</v>
      </c>
      <c r="K160" s="240" t="s">
        <v>3251</v>
      </c>
      <c r="N160" s="193" t="s">
        <v>3219</v>
      </c>
    </row>
    <row r="161" spans="2:14" x14ac:dyDescent="0.3">
      <c r="B161" s="193">
        <v>1</v>
      </c>
      <c r="C161" s="193">
        <v>6000</v>
      </c>
      <c r="D161" s="193" t="s">
        <v>3207</v>
      </c>
      <c r="E161" s="193" t="s">
        <v>3196</v>
      </c>
      <c r="G161" s="193" t="s">
        <v>342</v>
      </c>
      <c r="H161" s="193" t="s">
        <v>3193</v>
      </c>
      <c r="I161" s="120" t="s">
        <v>688</v>
      </c>
      <c r="K161" s="240" t="s">
        <v>3250</v>
      </c>
      <c r="N161" s="193" t="s">
        <v>3204</v>
      </c>
    </row>
    <row r="162" spans="2:14" x14ac:dyDescent="0.3">
      <c r="B162" s="193">
        <v>1</v>
      </c>
      <c r="C162" s="193">
        <v>6000</v>
      </c>
      <c r="D162" s="193" t="s">
        <v>3030</v>
      </c>
      <c r="E162" s="193" t="s">
        <v>3192</v>
      </c>
      <c r="G162" s="193" t="s">
        <v>342</v>
      </c>
      <c r="H162" s="193" t="s">
        <v>3193</v>
      </c>
      <c r="I162" s="120" t="s">
        <v>688</v>
      </c>
      <c r="K162" s="240" t="s">
        <v>3252</v>
      </c>
      <c r="N162" s="193" t="s">
        <v>3208</v>
      </c>
    </row>
    <row r="163" spans="2:14" x14ac:dyDescent="0.3">
      <c r="B163" s="193">
        <v>1</v>
      </c>
      <c r="C163" s="193">
        <v>6000</v>
      </c>
      <c r="D163" s="193" t="s">
        <v>3030</v>
      </c>
      <c r="E163" s="193" t="s">
        <v>2935</v>
      </c>
      <c r="G163" s="193" t="s">
        <v>342</v>
      </c>
      <c r="H163" s="193" t="s">
        <v>3193</v>
      </c>
      <c r="I163" s="120" t="s">
        <v>688</v>
      </c>
      <c r="K163" s="240" t="s">
        <v>3252</v>
      </c>
      <c r="N163" s="193" t="s">
        <v>3208</v>
      </c>
    </row>
    <row r="164" spans="2:14" x14ac:dyDescent="0.3">
      <c r="B164" s="193">
        <v>1</v>
      </c>
      <c r="C164" s="193">
        <v>6000</v>
      </c>
      <c r="D164" s="193" t="s">
        <v>3030</v>
      </c>
      <c r="E164" s="193" t="s">
        <v>3195</v>
      </c>
      <c r="G164" s="193" t="s">
        <v>342</v>
      </c>
      <c r="H164" s="193" t="s">
        <v>3193</v>
      </c>
      <c r="I164" s="120" t="s">
        <v>688</v>
      </c>
      <c r="K164" s="240" t="s">
        <v>3253</v>
      </c>
      <c r="N164" s="193" t="s">
        <v>3210</v>
      </c>
    </row>
    <row r="165" spans="2:14" x14ac:dyDescent="0.3">
      <c r="B165" s="193">
        <v>1</v>
      </c>
      <c r="C165" s="193">
        <v>6000</v>
      </c>
      <c r="D165" s="193" t="s">
        <v>3030</v>
      </c>
      <c r="E165" s="193" t="s">
        <v>3196</v>
      </c>
      <c r="G165" s="193" t="s">
        <v>342</v>
      </c>
      <c r="H165" s="193" t="s">
        <v>3193</v>
      </c>
      <c r="I165" s="120" t="s">
        <v>688</v>
      </c>
      <c r="K165" s="240" t="s">
        <v>3252</v>
      </c>
      <c r="N165" s="193" t="s">
        <v>3208</v>
      </c>
    </row>
    <row r="166" spans="2:14" x14ac:dyDescent="0.3">
      <c r="B166" s="193">
        <v>1</v>
      </c>
      <c r="C166" s="193">
        <v>6000</v>
      </c>
      <c r="D166" s="193" t="s">
        <v>3192</v>
      </c>
      <c r="E166" s="193" t="s">
        <v>3192</v>
      </c>
      <c r="G166" s="193" t="s">
        <v>342</v>
      </c>
      <c r="H166" s="193" t="s">
        <v>3193</v>
      </c>
      <c r="I166" s="120" t="s">
        <v>688</v>
      </c>
      <c r="K166" s="240">
        <v>306850851</v>
      </c>
      <c r="N166" s="193" t="s">
        <v>3212</v>
      </c>
    </row>
    <row r="167" spans="2:14" x14ac:dyDescent="0.3">
      <c r="B167" s="193">
        <v>1</v>
      </c>
      <c r="C167" s="193">
        <v>6000</v>
      </c>
      <c r="D167" s="193" t="s">
        <v>3192</v>
      </c>
      <c r="E167" s="193" t="s">
        <v>2935</v>
      </c>
      <c r="G167" s="193" t="s">
        <v>342</v>
      </c>
      <c r="H167" s="193" t="s">
        <v>3193</v>
      </c>
      <c r="I167" s="120" t="s">
        <v>688</v>
      </c>
      <c r="K167" s="240">
        <v>306850851</v>
      </c>
      <c r="N167" s="193" t="s">
        <v>3212</v>
      </c>
    </row>
    <row r="168" spans="2:14" x14ac:dyDescent="0.3">
      <c r="B168" s="193">
        <v>1</v>
      </c>
      <c r="C168" s="193">
        <v>6000</v>
      </c>
      <c r="D168" s="193" t="s">
        <v>3192</v>
      </c>
      <c r="E168" s="193" t="s">
        <v>3195</v>
      </c>
      <c r="G168" s="193" t="s">
        <v>342</v>
      </c>
      <c r="H168" s="193" t="s">
        <v>3193</v>
      </c>
      <c r="I168" s="120" t="s">
        <v>688</v>
      </c>
      <c r="K168" s="240" t="s">
        <v>3254</v>
      </c>
      <c r="N168" s="193" t="s">
        <v>3214</v>
      </c>
    </row>
    <row r="169" spans="2:14" x14ac:dyDescent="0.3">
      <c r="B169" s="193">
        <v>1</v>
      </c>
      <c r="C169" s="193">
        <v>6000</v>
      </c>
      <c r="D169" s="193" t="s">
        <v>3192</v>
      </c>
      <c r="E169" s="193" t="s">
        <v>3196</v>
      </c>
      <c r="G169" s="193" t="s">
        <v>342</v>
      </c>
      <c r="H169" s="193" t="s">
        <v>3193</v>
      </c>
      <c r="I169" s="120" t="s">
        <v>688</v>
      </c>
      <c r="K169" s="240">
        <v>306850851</v>
      </c>
      <c r="N169" s="193" t="s">
        <v>3212</v>
      </c>
    </row>
    <row r="170" spans="2:14" x14ac:dyDescent="0.3">
      <c r="B170" s="193">
        <v>1</v>
      </c>
      <c r="C170" s="193">
        <v>8000</v>
      </c>
      <c r="D170" s="193" t="s">
        <v>3191</v>
      </c>
      <c r="E170" s="193" t="s">
        <v>3192</v>
      </c>
      <c r="G170" s="193" t="s">
        <v>342</v>
      </c>
      <c r="H170" s="193" t="s">
        <v>3193</v>
      </c>
      <c r="I170" s="120" t="s">
        <v>688</v>
      </c>
      <c r="K170" s="240">
        <v>307850851</v>
      </c>
      <c r="N170" s="193" t="s">
        <v>3194</v>
      </c>
    </row>
    <row r="171" spans="2:14" x14ac:dyDescent="0.3">
      <c r="B171" s="193">
        <v>1</v>
      </c>
      <c r="C171" s="193">
        <v>8000</v>
      </c>
      <c r="D171" s="193" t="s">
        <v>3191</v>
      </c>
      <c r="E171" s="193" t="s">
        <v>2935</v>
      </c>
      <c r="G171" s="193" t="s">
        <v>342</v>
      </c>
      <c r="H171" s="193" t="s">
        <v>3193</v>
      </c>
      <c r="I171" s="120" t="s">
        <v>688</v>
      </c>
      <c r="K171" s="240">
        <v>307850851</v>
      </c>
      <c r="N171" s="193" t="s">
        <v>3194</v>
      </c>
    </row>
    <row r="172" spans="2:14" x14ac:dyDescent="0.3">
      <c r="B172" s="193">
        <v>1</v>
      </c>
      <c r="C172" s="193">
        <v>8000</v>
      </c>
      <c r="D172" s="193" t="s">
        <v>3191</v>
      </c>
      <c r="E172" s="193" t="s">
        <v>3195</v>
      </c>
      <c r="G172" s="193" t="s">
        <v>342</v>
      </c>
      <c r="H172" s="193" t="s">
        <v>3193</v>
      </c>
      <c r="I172" s="120" t="s">
        <v>688</v>
      </c>
      <c r="K172" s="240" t="s">
        <v>3255</v>
      </c>
      <c r="N172" s="193" t="s">
        <v>3194</v>
      </c>
    </row>
    <row r="173" spans="2:14" x14ac:dyDescent="0.3">
      <c r="B173" s="193">
        <v>1</v>
      </c>
      <c r="C173" s="193">
        <v>8000</v>
      </c>
      <c r="D173" s="193" t="s">
        <v>3191</v>
      </c>
      <c r="E173" s="193" t="s">
        <v>3196</v>
      </c>
      <c r="G173" s="193" t="s">
        <v>342</v>
      </c>
      <c r="H173" s="193" t="s">
        <v>3193</v>
      </c>
      <c r="I173" s="120" t="s">
        <v>688</v>
      </c>
      <c r="K173" s="240">
        <v>307850851</v>
      </c>
      <c r="N173" s="193" t="s">
        <v>3194</v>
      </c>
    </row>
    <row r="174" spans="2:14" x14ac:dyDescent="0.3">
      <c r="B174" s="193">
        <v>1</v>
      </c>
      <c r="C174" s="193">
        <v>8000</v>
      </c>
      <c r="D174" s="193" t="s">
        <v>3196</v>
      </c>
      <c r="E174" s="193" t="s">
        <v>2935</v>
      </c>
      <c r="G174" s="193" t="s">
        <v>342</v>
      </c>
      <c r="H174" s="193" t="s">
        <v>3193</v>
      </c>
      <c r="I174" s="120" t="s">
        <v>688</v>
      </c>
      <c r="K174" s="240">
        <v>307850851</v>
      </c>
      <c r="N174" s="193" t="s">
        <v>3194</v>
      </c>
    </row>
    <row r="175" spans="2:14" x14ac:dyDescent="0.3">
      <c r="B175" s="193">
        <v>1</v>
      </c>
      <c r="C175" s="193">
        <v>8000</v>
      </c>
      <c r="D175" s="193" t="s">
        <v>3196</v>
      </c>
      <c r="E175" s="193" t="s">
        <v>3192</v>
      </c>
      <c r="G175" s="193" t="s">
        <v>342</v>
      </c>
      <c r="H175" s="193" t="s">
        <v>3193</v>
      </c>
      <c r="I175" s="120" t="s">
        <v>688</v>
      </c>
      <c r="K175" s="240">
        <v>307850851</v>
      </c>
      <c r="N175" s="193" t="s">
        <v>3194</v>
      </c>
    </row>
    <row r="176" spans="2:14" x14ac:dyDescent="0.3">
      <c r="B176" s="193">
        <v>1</v>
      </c>
      <c r="C176" s="193">
        <v>8000</v>
      </c>
      <c r="D176" s="193" t="s">
        <v>3196</v>
      </c>
      <c r="E176" s="193" t="s">
        <v>3195</v>
      </c>
      <c r="G176" s="193" t="s">
        <v>342</v>
      </c>
      <c r="H176" s="193" t="s">
        <v>3193</v>
      </c>
      <c r="I176" s="120" t="s">
        <v>688</v>
      </c>
      <c r="K176" s="240" t="s">
        <v>3255</v>
      </c>
      <c r="N176" s="193" t="s">
        <v>3194</v>
      </c>
    </row>
    <row r="177" spans="2:14" x14ac:dyDescent="0.3">
      <c r="B177" s="193">
        <v>1</v>
      </c>
      <c r="C177" s="193">
        <v>8000</v>
      </c>
      <c r="D177" s="193" t="s">
        <v>3196</v>
      </c>
      <c r="E177" s="193" t="s">
        <v>3196</v>
      </c>
      <c r="G177" s="193" t="s">
        <v>342</v>
      </c>
      <c r="H177" s="193" t="s">
        <v>3193</v>
      </c>
      <c r="I177" s="120" t="s">
        <v>688</v>
      </c>
      <c r="K177" s="240">
        <v>307850851</v>
      </c>
      <c r="N177" s="193" t="s">
        <v>3194</v>
      </c>
    </row>
    <row r="178" spans="2:14" x14ac:dyDescent="0.3">
      <c r="B178" s="193">
        <v>1</v>
      </c>
      <c r="C178" s="193">
        <v>8000</v>
      </c>
      <c r="D178" s="193" t="s">
        <v>3197</v>
      </c>
      <c r="E178" s="193" t="s">
        <v>3192</v>
      </c>
      <c r="G178" s="193" t="s">
        <v>342</v>
      </c>
      <c r="H178" s="193" t="s">
        <v>3193</v>
      </c>
      <c r="I178" s="120" t="s">
        <v>688</v>
      </c>
      <c r="K178" s="240" t="s">
        <v>3256</v>
      </c>
      <c r="N178" s="193" t="s">
        <v>3199</v>
      </c>
    </row>
    <row r="179" spans="2:14" x14ac:dyDescent="0.3">
      <c r="B179" s="193">
        <v>1</v>
      </c>
      <c r="C179" s="193">
        <v>8000</v>
      </c>
      <c r="D179" s="193" t="s">
        <v>3197</v>
      </c>
      <c r="E179" s="193" t="s">
        <v>2935</v>
      </c>
      <c r="G179" s="193" t="s">
        <v>342</v>
      </c>
      <c r="H179" s="193" t="s">
        <v>3193</v>
      </c>
      <c r="I179" s="120" t="s">
        <v>688</v>
      </c>
      <c r="K179" s="240" t="s">
        <v>3256</v>
      </c>
      <c r="N179" s="193" t="s">
        <v>3199</v>
      </c>
    </row>
    <row r="180" spans="2:14" x14ac:dyDescent="0.3">
      <c r="B180" s="193">
        <v>1</v>
      </c>
      <c r="C180" s="193">
        <v>8000</v>
      </c>
      <c r="D180" s="193" t="s">
        <v>3197</v>
      </c>
      <c r="E180" s="193" t="s">
        <v>3195</v>
      </c>
      <c r="G180" s="193" t="s">
        <v>342</v>
      </c>
      <c r="H180" s="193" t="s">
        <v>3193</v>
      </c>
      <c r="I180" s="120" t="s">
        <v>688</v>
      </c>
      <c r="K180" s="240" t="s">
        <v>3257</v>
      </c>
      <c r="N180" s="193" t="s">
        <v>3201</v>
      </c>
    </row>
    <row r="181" spans="2:14" x14ac:dyDescent="0.3">
      <c r="B181" s="193">
        <v>1</v>
      </c>
      <c r="C181" s="193">
        <v>8000</v>
      </c>
      <c r="D181" s="193" t="s">
        <v>3197</v>
      </c>
      <c r="E181" s="193" t="s">
        <v>3196</v>
      </c>
      <c r="G181" s="193" t="s">
        <v>342</v>
      </c>
      <c r="H181" s="193" t="s">
        <v>3193</v>
      </c>
      <c r="I181" s="120" t="s">
        <v>688</v>
      </c>
      <c r="K181" s="240" t="s">
        <v>3256</v>
      </c>
      <c r="N181" s="193" t="s">
        <v>3202</v>
      </c>
    </row>
    <row r="182" spans="2:14" x14ac:dyDescent="0.3">
      <c r="B182" s="193">
        <v>1</v>
      </c>
      <c r="C182" s="193">
        <v>8000</v>
      </c>
      <c r="D182" s="193" t="s">
        <v>2979</v>
      </c>
      <c r="E182" s="193" t="s">
        <v>3192</v>
      </c>
      <c r="G182" s="193" t="s">
        <v>342</v>
      </c>
      <c r="H182" s="193" t="s">
        <v>3193</v>
      </c>
      <c r="I182" s="120" t="s">
        <v>688</v>
      </c>
      <c r="K182" s="240" t="s">
        <v>3258</v>
      </c>
      <c r="N182" s="193" t="s">
        <v>3204</v>
      </c>
    </row>
    <row r="183" spans="2:14" x14ac:dyDescent="0.3">
      <c r="B183" s="193">
        <v>1</v>
      </c>
      <c r="C183" s="193">
        <v>8000</v>
      </c>
      <c r="D183" s="193" t="s">
        <v>2979</v>
      </c>
      <c r="E183" s="193" t="s">
        <v>2935</v>
      </c>
      <c r="G183" s="193" t="s">
        <v>342</v>
      </c>
      <c r="H183" s="193" t="s">
        <v>3193</v>
      </c>
      <c r="I183" s="120" t="s">
        <v>688</v>
      </c>
      <c r="K183" s="240" t="s">
        <v>3258</v>
      </c>
      <c r="N183" s="193" t="s">
        <v>3204</v>
      </c>
    </row>
    <row r="184" spans="2:14" x14ac:dyDescent="0.3">
      <c r="B184" s="193">
        <v>1</v>
      </c>
      <c r="C184" s="193">
        <v>8000</v>
      </c>
      <c r="D184" s="193" t="s">
        <v>2979</v>
      </c>
      <c r="E184" s="193" t="s">
        <v>3195</v>
      </c>
      <c r="G184" s="193" t="s">
        <v>342</v>
      </c>
      <c r="H184" s="193" t="s">
        <v>3193</v>
      </c>
      <c r="I184" s="120" t="s">
        <v>688</v>
      </c>
      <c r="K184" s="240" t="s">
        <v>3259</v>
      </c>
      <c r="N184" s="193" t="s">
        <v>3219</v>
      </c>
    </row>
    <row r="185" spans="2:14" x14ac:dyDescent="0.3">
      <c r="B185" s="193">
        <v>1</v>
      </c>
      <c r="C185" s="193">
        <v>8000</v>
      </c>
      <c r="D185" s="193" t="s">
        <v>2979</v>
      </c>
      <c r="E185" s="193" t="s">
        <v>3196</v>
      </c>
      <c r="G185" s="193" t="s">
        <v>342</v>
      </c>
      <c r="H185" s="193" t="s">
        <v>3193</v>
      </c>
      <c r="I185" s="120" t="s">
        <v>688</v>
      </c>
      <c r="K185" s="240" t="s">
        <v>3258</v>
      </c>
      <c r="N185" s="193" t="s">
        <v>3204</v>
      </c>
    </row>
    <row r="186" spans="2:14" x14ac:dyDescent="0.3">
      <c r="B186" s="193">
        <v>1</v>
      </c>
      <c r="C186" s="193">
        <v>8000</v>
      </c>
      <c r="D186" s="193" t="s">
        <v>3207</v>
      </c>
      <c r="E186" s="193" t="s">
        <v>3192</v>
      </c>
      <c r="G186" s="193" t="s">
        <v>342</v>
      </c>
      <c r="H186" s="193" t="s">
        <v>3193</v>
      </c>
      <c r="I186" s="120" t="s">
        <v>688</v>
      </c>
      <c r="K186" s="240" t="s">
        <v>3258</v>
      </c>
      <c r="N186" s="193" t="s">
        <v>3204</v>
      </c>
    </row>
    <row r="187" spans="2:14" x14ac:dyDescent="0.3">
      <c r="B187" s="193">
        <v>1</v>
      </c>
      <c r="C187" s="193">
        <v>8000</v>
      </c>
      <c r="D187" s="193" t="s">
        <v>3207</v>
      </c>
      <c r="E187" s="193" t="s">
        <v>2935</v>
      </c>
      <c r="G187" s="193" t="s">
        <v>342</v>
      </c>
      <c r="H187" s="193" t="s">
        <v>3193</v>
      </c>
      <c r="I187" s="120" t="s">
        <v>688</v>
      </c>
      <c r="K187" s="240" t="s">
        <v>3258</v>
      </c>
      <c r="N187" s="193" t="s">
        <v>3204</v>
      </c>
    </row>
    <row r="188" spans="2:14" x14ac:dyDescent="0.3">
      <c r="B188" s="193">
        <v>1</v>
      </c>
      <c r="C188" s="193">
        <v>8000</v>
      </c>
      <c r="D188" s="193" t="s">
        <v>3207</v>
      </c>
      <c r="E188" s="193" t="s">
        <v>3195</v>
      </c>
      <c r="G188" s="193" t="s">
        <v>342</v>
      </c>
      <c r="H188" s="193" t="s">
        <v>3193</v>
      </c>
      <c r="I188" s="120" t="s">
        <v>688</v>
      </c>
      <c r="K188" s="240" t="s">
        <v>3259</v>
      </c>
      <c r="N188" s="193" t="s">
        <v>3219</v>
      </c>
    </row>
    <row r="189" spans="2:14" x14ac:dyDescent="0.3">
      <c r="B189" s="193">
        <v>1</v>
      </c>
      <c r="C189" s="193">
        <v>8000</v>
      </c>
      <c r="D189" s="193" t="s">
        <v>3207</v>
      </c>
      <c r="E189" s="193" t="s">
        <v>3196</v>
      </c>
      <c r="G189" s="193" t="s">
        <v>342</v>
      </c>
      <c r="H189" s="193" t="s">
        <v>3193</v>
      </c>
      <c r="I189" s="120" t="s">
        <v>688</v>
      </c>
      <c r="K189" s="240" t="s">
        <v>3258</v>
      </c>
      <c r="N189" s="193" t="s">
        <v>3204</v>
      </c>
    </row>
    <row r="190" spans="2:14" x14ac:dyDescent="0.3">
      <c r="B190" s="193">
        <v>1</v>
      </c>
      <c r="C190" s="193">
        <v>8000</v>
      </c>
      <c r="D190" s="193" t="s">
        <v>3030</v>
      </c>
      <c r="E190" s="193" t="s">
        <v>3192</v>
      </c>
      <c r="G190" s="193" t="s">
        <v>342</v>
      </c>
      <c r="H190" s="193" t="s">
        <v>3193</v>
      </c>
      <c r="I190" s="120" t="s">
        <v>688</v>
      </c>
      <c r="K190" s="240" t="s">
        <v>3260</v>
      </c>
      <c r="N190" s="193" t="s">
        <v>3208</v>
      </c>
    </row>
    <row r="191" spans="2:14" x14ac:dyDescent="0.3">
      <c r="B191" s="193">
        <v>1</v>
      </c>
      <c r="C191" s="193">
        <v>8000</v>
      </c>
      <c r="D191" s="193" t="s">
        <v>3030</v>
      </c>
      <c r="E191" s="193" t="s">
        <v>2935</v>
      </c>
      <c r="G191" s="193" t="s">
        <v>342</v>
      </c>
      <c r="H191" s="193" t="s">
        <v>3193</v>
      </c>
      <c r="I191" s="120" t="s">
        <v>688</v>
      </c>
      <c r="K191" s="240" t="s">
        <v>3260</v>
      </c>
      <c r="N191" s="193" t="s">
        <v>3208</v>
      </c>
    </row>
    <row r="192" spans="2:14" x14ac:dyDescent="0.3">
      <c r="B192" s="193">
        <v>1</v>
      </c>
      <c r="C192" s="193">
        <v>8000</v>
      </c>
      <c r="D192" s="193" t="s">
        <v>3030</v>
      </c>
      <c r="E192" s="193" t="s">
        <v>3195</v>
      </c>
      <c r="G192" s="193" t="s">
        <v>342</v>
      </c>
      <c r="H192" s="193" t="s">
        <v>3193</v>
      </c>
      <c r="I192" s="120" t="s">
        <v>688</v>
      </c>
      <c r="K192" s="240" t="s">
        <v>3261</v>
      </c>
      <c r="N192" s="193" t="s">
        <v>3210</v>
      </c>
    </row>
    <row r="193" spans="2:14" x14ac:dyDescent="0.3">
      <c r="B193" s="193">
        <v>1</v>
      </c>
      <c r="C193" s="193">
        <v>8000</v>
      </c>
      <c r="D193" s="193" t="s">
        <v>3030</v>
      </c>
      <c r="E193" s="193" t="s">
        <v>3196</v>
      </c>
      <c r="G193" s="193" t="s">
        <v>342</v>
      </c>
      <c r="H193" s="193" t="s">
        <v>3193</v>
      </c>
      <c r="I193" s="120" t="s">
        <v>688</v>
      </c>
      <c r="K193" s="240" t="s">
        <v>3260</v>
      </c>
      <c r="N193" s="193" t="s">
        <v>3208</v>
      </c>
    </row>
    <row r="194" spans="2:14" x14ac:dyDescent="0.3">
      <c r="B194" s="193">
        <v>1</v>
      </c>
      <c r="C194" s="193">
        <v>8000</v>
      </c>
      <c r="D194" s="193" t="s">
        <v>3192</v>
      </c>
      <c r="E194" s="193" t="s">
        <v>3192</v>
      </c>
      <c r="G194" s="193" t="s">
        <v>342</v>
      </c>
      <c r="H194" s="193" t="s">
        <v>3193</v>
      </c>
      <c r="I194" s="120" t="s">
        <v>688</v>
      </c>
      <c r="K194" s="240">
        <v>307850851</v>
      </c>
      <c r="N194" s="193" t="s">
        <v>3212</v>
      </c>
    </row>
    <row r="195" spans="2:14" x14ac:dyDescent="0.3">
      <c r="B195" s="193">
        <v>1</v>
      </c>
      <c r="C195" s="193">
        <v>8000</v>
      </c>
      <c r="D195" s="193" t="s">
        <v>3192</v>
      </c>
      <c r="E195" s="193" t="s">
        <v>2935</v>
      </c>
      <c r="G195" s="193" t="s">
        <v>342</v>
      </c>
      <c r="H195" s="193" t="s">
        <v>3193</v>
      </c>
      <c r="I195" s="120" t="s">
        <v>688</v>
      </c>
      <c r="K195" s="240">
        <v>307850851</v>
      </c>
      <c r="N195" s="193" t="s">
        <v>3212</v>
      </c>
    </row>
    <row r="196" spans="2:14" x14ac:dyDescent="0.3">
      <c r="B196" s="193">
        <v>1</v>
      </c>
      <c r="C196" s="193">
        <v>8000</v>
      </c>
      <c r="D196" s="193" t="s">
        <v>3192</v>
      </c>
      <c r="E196" s="193" t="s">
        <v>3195</v>
      </c>
      <c r="G196" s="193" t="s">
        <v>342</v>
      </c>
      <c r="H196" s="193" t="s">
        <v>3193</v>
      </c>
      <c r="I196" s="120" t="s">
        <v>688</v>
      </c>
      <c r="K196" s="240" t="s">
        <v>3262</v>
      </c>
      <c r="N196" s="193" t="s">
        <v>3214</v>
      </c>
    </row>
    <row r="197" spans="2:14" x14ac:dyDescent="0.3">
      <c r="B197" s="193">
        <v>1</v>
      </c>
      <c r="C197" s="193">
        <v>8000</v>
      </c>
      <c r="D197" s="193" t="s">
        <v>3192</v>
      </c>
      <c r="E197" s="193" t="s">
        <v>3196</v>
      </c>
      <c r="G197" s="193" t="s">
        <v>342</v>
      </c>
      <c r="H197" s="193" t="s">
        <v>3193</v>
      </c>
      <c r="I197" s="120" t="s">
        <v>688</v>
      </c>
      <c r="K197" s="240">
        <v>307850851</v>
      </c>
      <c r="N197" s="193" t="s">
        <v>3212</v>
      </c>
    </row>
    <row r="198" spans="2:14" x14ac:dyDescent="0.3">
      <c r="B198" s="193">
        <v>1</v>
      </c>
      <c r="C198" s="193">
        <v>12000</v>
      </c>
      <c r="D198" s="193" t="s">
        <v>3191</v>
      </c>
      <c r="E198" s="193" t="s">
        <v>3192</v>
      </c>
      <c r="G198" s="193" t="s">
        <v>342</v>
      </c>
      <c r="H198" s="193" t="s">
        <v>3193</v>
      </c>
      <c r="I198" s="120" t="s">
        <v>688</v>
      </c>
      <c r="K198" s="240">
        <v>308850851</v>
      </c>
      <c r="N198" s="193" t="s">
        <v>3194</v>
      </c>
    </row>
    <row r="199" spans="2:14" x14ac:dyDescent="0.3">
      <c r="B199" s="193">
        <v>1</v>
      </c>
      <c r="C199" s="193">
        <v>12000</v>
      </c>
      <c r="D199" s="193" t="s">
        <v>3191</v>
      </c>
      <c r="E199" s="193" t="s">
        <v>2935</v>
      </c>
      <c r="G199" s="193" t="s">
        <v>342</v>
      </c>
      <c r="H199" s="193" t="s">
        <v>3193</v>
      </c>
      <c r="I199" s="120" t="s">
        <v>688</v>
      </c>
      <c r="K199" s="240">
        <v>308850851</v>
      </c>
      <c r="N199" s="193" t="s">
        <v>3194</v>
      </c>
    </row>
    <row r="200" spans="2:14" x14ac:dyDescent="0.3">
      <c r="B200" s="193">
        <v>1</v>
      </c>
      <c r="C200" s="193">
        <v>12000</v>
      </c>
      <c r="D200" s="193" t="s">
        <v>3191</v>
      </c>
      <c r="E200" s="193" t="s">
        <v>3195</v>
      </c>
      <c r="G200" s="193" t="s">
        <v>342</v>
      </c>
      <c r="H200" s="193" t="s">
        <v>3193</v>
      </c>
      <c r="I200" s="120" t="s">
        <v>688</v>
      </c>
      <c r="K200" s="240" t="s">
        <v>3263</v>
      </c>
      <c r="N200" s="193" t="s">
        <v>3194</v>
      </c>
    </row>
    <row r="201" spans="2:14" x14ac:dyDescent="0.3">
      <c r="B201" s="193">
        <v>1</v>
      </c>
      <c r="C201" s="193">
        <v>12000</v>
      </c>
      <c r="D201" s="193" t="s">
        <v>3191</v>
      </c>
      <c r="E201" s="193" t="s">
        <v>3196</v>
      </c>
      <c r="G201" s="193" t="s">
        <v>342</v>
      </c>
      <c r="H201" s="193" t="s">
        <v>3193</v>
      </c>
      <c r="I201" s="120" t="s">
        <v>688</v>
      </c>
      <c r="K201" s="240">
        <v>308850851</v>
      </c>
      <c r="N201" s="193" t="s">
        <v>3194</v>
      </c>
    </row>
    <row r="202" spans="2:14" x14ac:dyDescent="0.3">
      <c r="B202" s="193">
        <v>1</v>
      </c>
      <c r="C202" s="193">
        <v>12000</v>
      </c>
      <c r="D202" s="193" t="s">
        <v>3196</v>
      </c>
      <c r="E202" s="193" t="s">
        <v>2935</v>
      </c>
      <c r="G202" s="193" t="s">
        <v>342</v>
      </c>
      <c r="H202" s="193" t="s">
        <v>3193</v>
      </c>
      <c r="I202" s="120" t="s">
        <v>688</v>
      </c>
      <c r="K202" s="240">
        <v>308850851</v>
      </c>
      <c r="N202" s="193" t="s">
        <v>3194</v>
      </c>
    </row>
    <row r="203" spans="2:14" x14ac:dyDescent="0.3">
      <c r="B203" s="193">
        <v>1</v>
      </c>
      <c r="C203" s="193">
        <v>12000</v>
      </c>
      <c r="D203" s="193" t="s">
        <v>3196</v>
      </c>
      <c r="E203" s="193" t="s">
        <v>3192</v>
      </c>
      <c r="G203" s="193" t="s">
        <v>342</v>
      </c>
      <c r="H203" s="193" t="s">
        <v>3193</v>
      </c>
      <c r="I203" s="120" t="s">
        <v>688</v>
      </c>
      <c r="K203" s="240">
        <v>308850851</v>
      </c>
      <c r="N203" s="193" t="s">
        <v>3194</v>
      </c>
    </row>
    <row r="204" spans="2:14" x14ac:dyDescent="0.3">
      <c r="B204" s="193">
        <v>1</v>
      </c>
      <c r="C204" s="193">
        <v>12000</v>
      </c>
      <c r="D204" s="193" t="s">
        <v>3196</v>
      </c>
      <c r="E204" s="193" t="s">
        <v>3195</v>
      </c>
      <c r="G204" s="193" t="s">
        <v>342</v>
      </c>
      <c r="H204" s="193" t="s">
        <v>3193</v>
      </c>
      <c r="I204" s="120" t="s">
        <v>688</v>
      </c>
      <c r="K204" s="240" t="s">
        <v>3263</v>
      </c>
      <c r="N204" s="193" t="s">
        <v>3194</v>
      </c>
    </row>
    <row r="205" spans="2:14" x14ac:dyDescent="0.3">
      <c r="B205" s="193">
        <v>1</v>
      </c>
      <c r="C205" s="193">
        <v>12000</v>
      </c>
      <c r="D205" s="193" t="s">
        <v>3196</v>
      </c>
      <c r="E205" s="193" t="s">
        <v>3196</v>
      </c>
      <c r="G205" s="193" t="s">
        <v>342</v>
      </c>
      <c r="H205" s="193" t="s">
        <v>3193</v>
      </c>
      <c r="I205" s="120" t="s">
        <v>688</v>
      </c>
      <c r="K205" s="240">
        <v>308850851</v>
      </c>
      <c r="N205" s="193" t="s">
        <v>3194</v>
      </c>
    </row>
    <row r="206" spans="2:14" x14ac:dyDescent="0.3">
      <c r="B206" s="193">
        <v>1</v>
      </c>
      <c r="C206" s="193">
        <v>12000</v>
      </c>
      <c r="D206" s="193" t="s">
        <v>3197</v>
      </c>
      <c r="E206" s="193" t="s">
        <v>3192</v>
      </c>
      <c r="G206" s="193" t="s">
        <v>342</v>
      </c>
      <c r="H206" s="193" t="s">
        <v>3193</v>
      </c>
      <c r="I206" s="120" t="s">
        <v>688</v>
      </c>
      <c r="K206" s="240" t="s">
        <v>3264</v>
      </c>
      <c r="N206" s="193" t="s">
        <v>3199</v>
      </c>
    </row>
    <row r="207" spans="2:14" x14ac:dyDescent="0.3">
      <c r="B207" s="193">
        <v>1</v>
      </c>
      <c r="C207" s="193">
        <v>12000</v>
      </c>
      <c r="D207" s="193" t="s">
        <v>3197</v>
      </c>
      <c r="E207" s="193" t="s">
        <v>2935</v>
      </c>
      <c r="G207" s="193" t="s">
        <v>342</v>
      </c>
      <c r="H207" s="193" t="s">
        <v>3193</v>
      </c>
      <c r="I207" s="120" t="s">
        <v>688</v>
      </c>
      <c r="K207" s="240" t="s">
        <v>3264</v>
      </c>
      <c r="N207" s="193" t="s">
        <v>3199</v>
      </c>
    </row>
    <row r="208" spans="2:14" x14ac:dyDescent="0.3">
      <c r="B208" s="193">
        <v>1</v>
      </c>
      <c r="C208" s="193">
        <v>12000</v>
      </c>
      <c r="D208" s="193" t="s">
        <v>3197</v>
      </c>
      <c r="E208" s="193" t="s">
        <v>3195</v>
      </c>
      <c r="G208" s="193" t="s">
        <v>342</v>
      </c>
      <c r="H208" s="193" t="s">
        <v>3193</v>
      </c>
      <c r="I208" s="120" t="s">
        <v>688</v>
      </c>
      <c r="K208" s="240" t="s">
        <v>3265</v>
      </c>
      <c r="N208" s="193" t="s">
        <v>3201</v>
      </c>
    </row>
    <row r="209" spans="2:14" x14ac:dyDescent="0.3">
      <c r="B209" s="193">
        <v>1</v>
      </c>
      <c r="C209" s="193">
        <v>12000</v>
      </c>
      <c r="D209" s="193" t="s">
        <v>3197</v>
      </c>
      <c r="E209" s="193" t="s">
        <v>3196</v>
      </c>
      <c r="G209" s="193" t="s">
        <v>342</v>
      </c>
      <c r="H209" s="193" t="s">
        <v>3193</v>
      </c>
      <c r="I209" s="120" t="s">
        <v>688</v>
      </c>
      <c r="K209" s="240" t="s">
        <v>3264</v>
      </c>
      <c r="N209" s="193" t="s">
        <v>3202</v>
      </c>
    </row>
    <row r="210" spans="2:14" x14ac:dyDescent="0.3">
      <c r="B210" s="193">
        <v>1</v>
      </c>
      <c r="C210" s="193">
        <v>12000</v>
      </c>
      <c r="D210" s="193" t="s">
        <v>2979</v>
      </c>
      <c r="E210" s="193" t="s">
        <v>3192</v>
      </c>
      <c r="G210" s="193" t="s">
        <v>342</v>
      </c>
      <c r="H210" s="193" t="s">
        <v>3193</v>
      </c>
      <c r="I210" s="120" t="s">
        <v>688</v>
      </c>
      <c r="K210" s="240" t="s">
        <v>3266</v>
      </c>
      <c r="N210" s="193" t="s">
        <v>3204</v>
      </c>
    </row>
    <row r="211" spans="2:14" x14ac:dyDescent="0.3">
      <c r="B211" s="193">
        <v>1</v>
      </c>
      <c r="C211" s="193">
        <v>12000</v>
      </c>
      <c r="D211" s="193" t="s">
        <v>2979</v>
      </c>
      <c r="E211" s="193" t="s">
        <v>2935</v>
      </c>
      <c r="G211" s="193" t="s">
        <v>342</v>
      </c>
      <c r="H211" s="193" t="s">
        <v>3193</v>
      </c>
      <c r="I211" s="120" t="s">
        <v>688</v>
      </c>
      <c r="K211" s="240" t="s">
        <v>3266</v>
      </c>
      <c r="N211" s="193" t="s">
        <v>3204</v>
      </c>
    </row>
    <row r="212" spans="2:14" x14ac:dyDescent="0.3">
      <c r="B212" s="193">
        <v>1</v>
      </c>
      <c r="C212" s="193">
        <v>12000</v>
      </c>
      <c r="D212" s="193" t="s">
        <v>2979</v>
      </c>
      <c r="E212" s="193" t="s">
        <v>3195</v>
      </c>
      <c r="G212" s="193" t="s">
        <v>342</v>
      </c>
      <c r="H212" s="193" t="s">
        <v>3193</v>
      </c>
      <c r="I212" s="120" t="s">
        <v>688</v>
      </c>
      <c r="K212" s="240" t="s">
        <v>3267</v>
      </c>
      <c r="N212" s="193" t="s">
        <v>3219</v>
      </c>
    </row>
    <row r="213" spans="2:14" x14ac:dyDescent="0.3">
      <c r="B213" s="193">
        <v>1</v>
      </c>
      <c r="C213" s="193">
        <v>12000</v>
      </c>
      <c r="D213" s="193" t="s">
        <v>2979</v>
      </c>
      <c r="E213" s="193" t="s">
        <v>3196</v>
      </c>
      <c r="G213" s="193" t="s">
        <v>342</v>
      </c>
      <c r="H213" s="193" t="s">
        <v>3193</v>
      </c>
      <c r="I213" s="120" t="s">
        <v>688</v>
      </c>
      <c r="K213" s="240" t="s">
        <v>3266</v>
      </c>
      <c r="N213" s="193" t="s">
        <v>3204</v>
      </c>
    </row>
    <row r="214" spans="2:14" x14ac:dyDescent="0.3">
      <c r="B214" s="193">
        <v>1</v>
      </c>
      <c r="C214" s="193">
        <v>12000</v>
      </c>
      <c r="D214" s="193" t="s">
        <v>3207</v>
      </c>
      <c r="E214" s="193" t="s">
        <v>3192</v>
      </c>
      <c r="G214" s="193" t="s">
        <v>342</v>
      </c>
      <c r="H214" s="193" t="s">
        <v>3193</v>
      </c>
      <c r="I214" s="120" t="s">
        <v>688</v>
      </c>
      <c r="K214" s="240" t="s">
        <v>3266</v>
      </c>
      <c r="N214" s="193" t="s">
        <v>3204</v>
      </c>
    </row>
    <row r="215" spans="2:14" x14ac:dyDescent="0.3">
      <c r="B215" s="193">
        <v>1</v>
      </c>
      <c r="C215" s="193">
        <v>12000</v>
      </c>
      <c r="D215" s="193" t="s">
        <v>3207</v>
      </c>
      <c r="E215" s="193" t="s">
        <v>2935</v>
      </c>
      <c r="G215" s="193" t="s">
        <v>342</v>
      </c>
      <c r="H215" s="193" t="s">
        <v>3193</v>
      </c>
      <c r="I215" s="120" t="s">
        <v>688</v>
      </c>
      <c r="K215" s="240" t="s">
        <v>3266</v>
      </c>
      <c r="N215" s="193" t="s">
        <v>3204</v>
      </c>
    </row>
    <row r="216" spans="2:14" x14ac:dyDescent="0.3">
      <c r="B216" s="193">
        <v>1</v>
      </c>
      <c r="C216" s="193">
        <v>12000</v>
      </c>
      <c r="D216" s="193" t="s">
        <v>3207</v>
      </c>
      <c r="E216" s="193" t="s">
        <v>3195</v>
      </c>
      <c r="G216" s="193" t="s">
        <v>342</v>
      </c>
      <c r="H216" s="193" t="s">
        <v>3193</v>
      </c>
      <c r="I216" s="120" t="s">
        <v>688</v>
      </c>
      <c r="K216" s="240" t="s">
        <v>3267</v>
      </c>
      <c r="N216" s="193" t="s">
        <v>3219</v>
      </c>
    </row>
    <row r="217" spans="2:14" x14ac:dyDescent="0.3">
      <c r="B217" s="193">
        <v>1</v>
      </c>
      <c r="C217" s="193">
        <v>12000</v>
      </c>
      <c r="D217" s="193" t="s">
        <v>3207</v>
      </c>
      <c r="E217" s="193" t="s">
        <v>3196</v>
      </c>
      <c r="G217" s="193" t="s">
        <v>342</v>
      </c>
      <c r="H217" s="193" t="s">
        <v>3193</v>
      </c>
      <c r="I217" s="120" t="s">
        <v>688</v>
      </c>
      <c r="K217" s="240" t="s">
        <v>3266</v>
      </c>
      <c r="N217" s="193" t="s">
        <v>3204</v>
      </c>
    </row>
    <row r="218" spans="2:14" x14ac:dyDescent="0.3">
      <c r="B218" s="193">
        <v>1</v>
      </c>
      <c r="C218" s="193">
        <v>12000</v>
      </c>
      <c r="D218" s="193" t="s">
        <v>3030</v>
      </c>
      <c r="E218" s="193" t="s">
        <v>3192</v>
      </c>
      <c r="G218" s="193" t="s">
        <v>342</v>
      </c>
      <c r="H218" s="193" t="s">
        <v>3193</v>
      </c>
      <c r="I218" s="120" t="s">
        <v>688</v>
      </c>
      <c r="K218" s="240" t="s">
        <v>3268</v>
      </c>
      <c r="N218" s="193" t="s">
        <v>3208</v>
      </c>
    </row>
    <row r="219" spans="2:14" x14ac:dyDescent="0.3">
      <c r="B219" s="193">
        <v>1</v>
      </c>
      <c r="C219" s="193">
        <v>12000</v>
      </c>
      <c r="D219" s="193" t="s">
        <v>3030</v>
      </c>
      <c r="E219" s="193" t="s">
        <v>2935</v>
      </c>
      <c r="G219" s="193" t="s">
        <v>342</v>
      </c>
      <c r="H219" s="193" t="s">
        <v>3193</v>
      </c>
      <c r="I219" s="120" t="s">
        <v>688</v>
      </c>
      <c r="K219" s="240" t="s">
        <v>3268</v>
      </c>
      <c r="N219" s="193" t="s">
        <v>3208</v>
      </c>
    </row>
    <row r="220" spans="2:14" x14ac:dyDescent="0.3">
      <c r="B220" s="193">
        <v>1</v>
      </c>
      <c r="C220" s="193">
        <v>12000</v>
      </c>
      <c r="D220" s="193" t="s">
        <v>3030</v>
      </c>
      <c r="E220" s="193" t="s">
        <v>3195</v>
      </c>
      <c r="G220" s="193" t="s">
        <v>342</v>
      </c>
      <c r="H220" s="193" t="s">
        <v>3193</v>
      </c>
      <c r="I220" s="120" t="s">
        <v>688</v>
      </c>
      <c r="K220" s="240" t="s">
        <v>3269</v>
      </c>
      <c r="N220" s="193" t="s">
        <v>3210</v>
      </c>
    </row>
    <row r="221" spans="2:14" x14ac:dyDescent="0.3">
      <c r="B221" s="193">
        <v>1</v>
      </c>
      <c r="C221" s="193">
        <v>12000</v>
      </c>
      <c r="D221" s="193" t="s">
        <v>3030</v>
      </c>
      <c r="E221" s="193" t="s">
        <v>3196</v>
      </c>
      <c r="G221" s="193" t="s">
        <v>342</v>
      </c>
      <c r="H221" s="193" t="s">
        <v>3193</v>
      </c>
      <c r="I221" s="120" t="s">
        <v>688</v>
      </c>
      <c r="K221" s="240" t="s">
        <v>3268</v>
      </c>
      <c r="N221" s="193" t="s">
        <v>3208</v>
      </c>
    </row>
    <row r="222" spans="2:14" x14ac:dyDescent="0.3">
      <c r="B222" s="193">
        <v>1</v>
      </c>
      <c r="C222" s="193">
        <v>12000</v>
      </c>
      <c r="D222" s="193" t="s">
        <v>3192</v>
      </c>
      <c r="E222" s="193" t="s">
        <v>3192</v>
      </c>
      <c r="G222" s="193" t="s">
        <v>342</v>
      </c>
      <c r="H222" s="193" t="s">
        <v>3193</v>
      </c>
      <c r="I222" s="120" t="s">
        <v>688</v>
      </c>
      <c r="K222" s="240">
        <v>308850851</v>
      </c>
      <c r="N222" s="193" t="s">
        <v>3212</v>
      </c>
    </row>
    <row r="223" spans="2:14" x14ac:dyDescent="0.3">
      <c r="B223" s="193">
        <v>1</v>
      </c>
      <c r="C223" s="193">
        <v>12000</v>
      </c>
      <c r="D223" s="193" t="s">
        <v>3192</v>
      </c>
      <c r="E223" s="193" t="s">
        <v>2935</v>
      </c>
      <c r="G223" s="193" t="s">
        <v>342</v>
      </c>
      <c r="H223" s="193" t="s">
        <v>3193</v>
      </c>
      <c r="I223" s="120" t="s">
        <v>688</v>
      </c>
      <c r="K223" s="240">
        <v>308850851</v>
      </c>
      <c r="N223" s="193" t="s">
        <v>3212</v>
      </c>
    </row>
    <row r="224" spans="2:14" x14ac:dyDescent="0.3">
      <c r="B224" s="193">
        <v>1</v>
      </c>
      <c r="C224" s="193">
        <v>12000</v>
      </c>
      <c r="D224" s="193" t="s">
        <v>3192</v>
      </c>
      <c r="E224" s="193" t="s">
        <v>3195</v>
      </c>
      <c r="G224" s="193" t="s">
        <v>342</v>
      </c>
      <c r="H224" s="193" t="s">
        <v>3193</v>
      </c>
      <c r="I224" s="120" t="s">
        <v>688</v>
      </c>
      <c r="K224" s="240" t="s">
        <v>3270</v>
      </c>
      <c r="N224" s="193" t="s">
        <v>3214</v>
      </c>
    </row>
    <row r="225" spans="2:14" x14ac:dyDescent="0.3">
      <c r="B225" s="193">
        <v>1</v>
      </c>
      <c r="C225" s="193">
        <v>12000</v>
      </c>
      <c r="D225" s="193" t="s">
        <v>3192</v>
      </c>
      <c r="E225" s="193" t="s">
        <v>3196</v>
      </c>
      <c r="G225" s="193" t="s">
        <v>342</v>
      </c>
      <c r="H225" s="193" t="s">
        <v>3193</v>
      </c>
      <c r="I225" s="120" t="s">
        <v>688</v>
      </c>
      <c r="K225" s="240">
        <v>308850851</v>
      </c>
      <c r="N225" s="193" t="s">
        <v>3212</v>
      </c>
    </row>
    <row r="226" spans="2:14" x14ac:dyDescent="0.3">
      <c r="B226" s="193">
        <v>1</v>
      </c>
      <c r="C226" s="193">
        <v>15000</v>
      </c>
      <c r="D226" s="193" t="s">
        <v>3191</v>
      </c>
      <c r="E226" s="193" t="s">
        <v>3192</v>
      </c>
      <c r="G226" s="193" t="s">
        <v>342</v>
      </c>
      <c r="H226" s="193" t="s">
        <v>3193</v>
      </c>
      <c r="I226" s="120" t="s">
        <v>688</v>
      </c>
      <c r="K226" s="240">
        <v>309850851</v>
      </c>
      <c r="N226" s="193" t="s">
        <v>3194</v>
      </c>
    </row>
    <row r="227" spans="2:14" x14ac:dyDescent="0.3">
      <c r="B227" s="193">
        <v>1</v>
      </c>
      <c r="C227" s="193">
        <v>15000</v>
      </c>
      <c r="D227" s="193" t="s">
        <v>3191</v>
      </c>
      <c r="E227" s="193" t="s">
        <v>2935</v>
      </c>
      <c r="G227" s="193" t="s">
        <v>342</v>
      </c>
      <c r="H227" s="193" t="s">
        <v>3193</v>
      </c>
      <c r="I227" s="120" t="s">
        <v>688</v>
      </c>
      <c r="K227" s="240">
        <v>309850851</v>
      </c>
      <c r="N227" s="193" t="s">
        <v>3194</v>
      </c>
    </row>
    <row r="228" spans="2:14" x14ac:dyDescent="0.3">
      <c r="B228" s="193">
        <v>1</v>
      </c>
      <c r="C228" s="193">
        <v>15000</v>
      </c>
      <c r="D228" s="193" t="s">
        <v>3191</v>
      </c>
      <c r="E228" s="193" t="s">
        <v>3195</v>
      </c>
      <c r="G228" s="193" t="s">
        <v>342</v>
      </c>
      <c r="H228" s="193" t="s">
        <v>3193</v>
      </c>
      <c r="I228" s="120" t="s">
        <v>688</v>
      </c>
      <c r="K228" s="240" t="s">
        <v>3271</v>
      </c>
      <c r="N228" s="193" t="s">
        <v>3194</v>
      </c>
    </row>
    <row r="229" spans="2:14" x14ac:dyDescent="0.3">
      <c r="B229" s="193">
        <v>1</v>
      </c>
      <c r="C229" s="193">
        <v>15000</v>
      </c>
      <c r="D229" s="193" t="s">
        <v>3191</v>
      </c>
      <c r="E229" s="193" t="s">
        <v>3196</v>
      </c>
      <c r="G229" s="193" t="s">
        <v>342</v>
      </c>
      <c r="H229" s="193" t="s">
        <v>3193</v>
      </c>
      <c r="I229" s="120" t="s">
        <v>688</v>
      </c>
      <c r="K229" s="240">
        <v>309850851</v>
      </c>
      <c r="N229" s="193" t="s">
        <v>3194</v>
      </c>
    </row>
    <row r="230" spans="2:14" x14ac:dyDescent="0.3">
      <c r="B230" s="193">
        <v>1</v>
      </c>
      <c r="C230" s="193">
        <v>15000</v>
      </c>
      <c r="D230" s="193" t="s">
        <v>3196</v>
      </c>
      <c r="E230" s="193" t="s">
        <v>2935</v>
      </c>
      <c r="G230" s="193" t="s">
        <v>342</v>
      </c>
      <c r="H230" s="193" t="s">
        <v>3193</v>
      </c>
      <c r="I230" s="120" t="s">
        <v>688</v>
      </c>
      <c r="K230" s="240">
        <v>309850851</v>
      </c>
      <c r="N230" s="193" t="s">
        <v>3194</v>
      </c>
    </row>
    <row r="231" spans="2:14" x14ac:dyDescent="0.3">
      <c r="B231" s="193">
        <v>1</v>
      </c>
      <c r="C231" s="193">
        <v>15000</v>
      </c>
      <c r="D231" s="193" t="s">
        <v>3196</v>
      </c>
      <c r="E231" s="193" t="s">
        <v>3192</v>
      </c>
      <c r="G231" s="193" t="s">
        <v>342</v>
      </c>
      <c r="H231" s="193" t="s">
        <v>3193</v>
      </c>
      <c r="I231" s="120" t="s">
        <v>688</v>
      </c>
      <c r="K231" s="240">
        <v>309850851</v>
      </c>
      <c r="N231" s="193" t="s">
        <v>3194</v>
      </c>
    </row>
    <row r="232" spans="2:14" x14ac:dyDescent="0.3">
      <c r="B232" s="193">
        <v>1</v>
      </c>
      <c r="C232" s="193">
        <v>15000</v>
      </c>
      <c r="D232" s="193" t="s">
        <v>3196</v>
      </c>
      <c r="E232" s="193" t="s">
        <v>3195</v>
      </c>
      <c r="G232" s="193" t="s">
        <v>342</v>
      </c>
      <c r="H232" s="193" t="s">
        <v>3193</v>
      </c>
      <c r="I232" s="120" t="s">
        <v>688</v>
      </c>
      <c r="K232" s="240" t="s">
        <v>3271</v>
      </c>
      <c r="N232" s="193" t="s">
        <v>3194</v>
      </c>
    </row>
    <row r="233" spans="2:14" x14ac:dyDescent="0.3">
      <c r="B233" s="193">
        <v>1</v>
      </c>
      <c r="C233" s="193">
        <v>15000</v>
      </c>
      <c r="D233" s="193" t="s">
        <v>3196</v>
      </c>
      <c r="E233" s="193" t="s">
        <v>3196</v>
      </c>
      <c r="G233" s="193" t="s">
        <v>342</v>
      </c>
      <c r="H233" s="193" t="s">
        <v>3193</v>
      </c>
      <c r="I233" s="120" t="s">
        <v>688</v>
      </c>
      <c r="K233" s="240">
        <v>309850851</v>
      </c>
      <c r="N233" s="193" t="s">
        <v>3194</v>
      </c>
    </row>
    <row r="234" spans="2:14" x14ac:dyDescent="0.3">
      <c r="B234" s="193">
        <v>1</v>
      </c>
      <c r="C234" s="193">
        <v>15000</v>
      </c>
      <c r="D234" s="193" t="s">
        <v>3197</v>
      </c>
      <c r="E234" s="193" t="s">
        <v>3192</v>
      </c>
      <c r="G234" s="193" t="s">
        <v>342</v>
      </c>
      <c r="H234" s="193" t="s">
        <v>3193</v>
      </c>
      <c r="I234" s="120" t="s">
        <v>688</v>
      </c>
      <c r="K234" s="240" t="s">
        <v>3272</v>
      </c>
      <c r="N234" s="193" t="s">
        <v>3199</v>
      </c>
    </row>
    <row r="235" spans="2:14" x14ac:dyDescent="0.3">
      <c r="B235" s="193">
        <v>1</v>
      </c>
      <c r="C235" s="193">
        <v>15000</v>
      </c>
      <c r="D235" s="193" t="s">
        <v>3197</v>
      </c>
      <c r="E235" s="193" t="s">
        <v>2935</v>
      </c>
      <c r="G235" s="193" t="s">
        <v>342</v>
      </c>
      <c r="H235" s="193" t="s">
        <v>3193</v>
      </c>
      <c r="I235" s="120" t="s">
        <v>688</v>
      </c>
      <c r="K235" s="240" t="s">
        <v>3272</v>
      </c>
      <c r="N235" s="193" t="s">
        <v>3199</v>
      </c>
    </row>
    <row r="236" spans="2:14" x14ac:dyDescent="0.3">
      <c r="B236" s="193">
        <v>1</v>
      </c>
      <c r="C236" s="193">
        <v>15000</v>
      </c>
      <c r="D236" s="193" t="s">
        <v>3197</v>
      </c>
      <c r="E236" s="193" t="s">
        <v>3195</v>
      </c>
      <c r="G236" s="193" t="s">
        <v>342</v>
      </c>
      <c r="H236" s="193" t="s">
        <v>3193</v>
      </c>
      <c r="I236" s="120" t="s">
        <v>688</v>
      </c>
      <c r="K236" s="240" t="s">
        <v>3273</v>
      </c>
      <c r="N236" s="193" t="s">
        <v>3201</v>
      </c>
    </row>
    <row r="237" spans="2:14" x14ac:dyDescent="0.3">
      <c r="B237" s="193">
        <v>1</v>
      </c>
      <c r="C237" s="193">
        <v>15000</v>
      </c>
      <c r="D237" s="193" t="s">
        <v>3197</v>
      </c>
      <c r="E237" s="193" t="s">
        <v>3196</v>
      </c>
      <c r="G237" s="193" t="s">
        <v>342</v>
      </c>
      <c r="H237" s="193" t="s">
        <v>3193</v>
      </c>
      <c r="I237" s="120" t="s">
        <v>688</v>
      </c>
      <c r="K237" s="240" t="s">
        <v>3272</v>
      </c>
      <c r="N237" s="193" t="s">
        <v>3202</v>
      </c>
    </row>
    <row r="238" spans="2:14" x14ac:dyDescent="0.3">
      <c r="B238" s="193">
        <v>1</v>
      </c>
      <c r="C238" s="193">
        <v>15000</v>
      </c>
      <c r="D238" s="193" t="s">
        <v>2979</v>
      </c>
      <c r="E238" s="193" t="s">
        <v>3192</v>
      </c>
      <c r="G238" s="193" t="s">
        <v>342</v>
      </c>
      <c r="H238" s="193" t="s">
        <v>3193</v>
      </c>
      <c r="I238" s="120" t="s">
        <v>688</v>
      </c>
      <c r="K238" s="240" t="s">
        <v>3274</v>
      </c>
      <c r="N238" s="193" t="s">
        <v>3204</v>
      </c>
    </row>
    <row r="239" spans="2:14" x14ac:dyDescent="0.3">
      <c r="B239" s="193">
        <v>1</v>
      </c>
      <c r="C239" s="193">
        <v>15000</v>
      </c>
      <c r="D239" s="193" t="s">
        <v>2979</v>
      </c>
      <c r="E239" s="193" t="s">
        <v>2935</v>
      </c>
      <c r="G239" s="193" t="s">
        <v>342</v>
      </c>
      <c r="H239" s="193" t="s">
        <v>3193</v>
      </c>
      <c r="I239" s="120" t="s">
        <v>688</v>
      </c>
      <c r="K239" s="240" t="s">
        <v>3274</v>
      </c>
      <c r="N239" s="193" t="s">
        <v>3204</v>
      </c>
    </row>
    <row r="240" spans="2:14" x14ac:dyDescent="0.3">
      <c r="B240" s="193">
        <v>1</v>
      </c>
      <c r="C240" s="193">
        <v>15000</v>
      </c>
      <c r="D240" s="193" t="s">
        <v>2979</v>
      </c>
      <c r="E240" s="193" t="s">
        <v>3195</v>
      </c>
      <c r="G240" s="193" t="s">
        <v>342</v>
      </c>
      <c r="H240" s="193" t="s">
        <v>3193</v>
      </c>
      <c r="I240" s="120" t="s">
        <v>688</v>
      </c>
      <c r="K240" s="240" t="s">
        <v>3275</v>
      </c>
      <c r="N240" s="193" t="s">
        <v>3219</v>
      </c>
    </row>
    <row r="241" spans="2:16" x14ac:dyDescent="0.3">
      <c r="B241" s="193">
        <v>1</v>
      </c>
      <c r="C241" s="193">
        <v>15000</v>
      </c>
      <c r="D241" s="193" t="s">
        <v>2979</v>
      </c>
      <c r="E241" s="193" t="s">
        <v>3196</v>
      </c>
      <c r="G241" s="193" t="s">
        <v>342</v>
      </c>
      <c r="H241" s="193" t="s">
        <v>3193</v>
      </c>
      <c r="I241" s="120" t="s">
        <v>688</v>
      </c>
      <c r="K241" s="240" t="s">
        <v>3274</v>
      </c>
      <c r="N241" s="193" t="s">
        <v>3204</v>
      </c>
    </row>
    <row r="242" spans="2:16" x14ac:dyDescent="0.3">
      <c r="B242" s="193">
        <v>1</v>
      </c>
      <c r="C242" s="193">
        <v>15000</v>
      </c>
      <c r="D242" s="193" t="s">
        <v>3207</v>
      </c>
      <c r="E242" s="193" t="s">
        <v>3192</v>
      </c>
      <c r="G242" s="193" t="s">
        <v>342</v>
      </c>
      <c r="H242" s="193" t="s">
        <v>3193</v>
      </c>
      <c r="I242" s="120" t="s">
        <v>688</v>
      </c>
      <c r="K242" s="240" t="s">
        <v>3274</v>
      </c>
      <c r="N242" s="193" t="s">
        <v>3204</v>
      </c>
    </row>
    <row r="243" spans="2:16" x14ac:dyDescent="0.3">
      <c r="B243" s="193">
        <v>1</v>
      </c>
      <c r="C243" s="193">
        <v>15000</v>
      </c>
      <c r="D243" s="193" t="s">
        <v>3207</v>
      </c>
      <c r="E243" s="193" t="s">
        <v>2935</v>
      </c>
      <c r="G243" s="193" t="s">
        <v>342</v>
      </c>
      <c r="H243" s="193" t="s">
        <v>3193</v>
      </c>
      <c r="I243" s="120" t="s">
        <v>688</v>
      </c>
      <c r="K243" s="240" t="s">
        <v>3274</v>
      </c>
      <c r="N243" s="193" t="s">
        <v>3204</v>
      </c>
    </row>
    <row r="244" spans="2:16" x14ac:dyDescent="0.3">
      <c r="B244" s="193">
        <v>1</v>
      </c>
      <c r="C244" s="193">
        <v>15000</v>
      </c>
      <c r="D244" s="193" t="s">
        <v>3207</v>
      </c>
      <c r="E244" s="193" t="s">
        <v>3195</v>
      </c>
      <c r="G244" s="193" t="s">
        <v>342</v>
      </c>
      <c r="H244" s="193" t="s">
        <v>3193</v>
      </c>
      <c r="I244" s="120" t="s">
        <v>688</v>
      </c>
      <c r="K244" s="240" t="s">
        <v>3275</v>
      </c>
      <c r="N244" s="193" t="s">
        <v>3219</v>
      </c>
    </row>
    <row r="245" spans="2:16" x14ac:dyDescent="0.3">
      <c r="B245" s="193">
        <v>1</v>
      </c>
      <c r="C245" s="193">
        <v>15000</v>
      </c>
      <c r="D245" s="193" t="s">
        <v>3207</v>
      </c>
      <c r="E245" s="193" t="s">
        <v>3196</v>
      </c>
      <c r="G245" s="193" t="s">
        <v>342</v>
      </c>
      <c r="H245" s="193" t="s">
        <v>3193</v>
      </c>
      <c r="I245" s="120" t="s">
        <v>688</v>
      </c>
      <c r="K245" s="240" t="s">
        <v>3274</v>
      </c>
      <c r="N245" s="193" t="s">
        <v>3204</v>
      </c>
    </row>
    <row r="246" spans="2:16" x14ac:dyDescent="0.3">
      <c r="B246" s="193">
        <v>1</v>
      </c>
      <c r="C246" s="193">
        <v>15000</v>
      </c>
      <c r="D246" s="193" t="s">
        <v>3030</v>
      </c>
      <c r="E246" s="193" t="s">
        <v>3192</v>
      </c>
      <c r="G246" s="193" t="s">
        <v>342</v>
      </c>
      <c r="H246" s="193" t="s">
        <v>3193</v>
      </c>
      <c r="I246" s="120" t="s">
        <v>688</v>
      </c>
      <c r="K246" s="240" t="s">
        <v>3276</v>
      </c>
      <c r="N246" s="193" t="s">
        <v>3208</v>
      </c>
    </row>
    <row r="247" spans="2:16" x14ac:dyDescent="0.3">
      <c r="B247" s="193">
        <v>1</v>
      </c>
      <c r="C247" s="193">
        <v>15000</v>
      </c>
      <c r="D247" s="193" t="s">
        <v>3030</v>
      </c>
      <c r="E247" s="193" t="s">
        <v>2935</v>
      </c>
      <c r="G247" s="193" t="s">
        <v>342</v>
      </c>
      <c r="H247" s="193" t="s">
        <v>3193</v>
      </c>
      <c r="I247" s="120" t="s">
        <v>688</v>
      </c>
      <c r="K247" s="240" t="s">
        <v>3276</v>
      </c>
      <c r="N247" s="193" t="s">
        <v>3208</v>
      </c>
    </row>
    <row r="248" spans="2:16" x14ac:dyDescent="0.3">
      <c r="B248" s="193">
        <v>1</v>
      </c>
      <c r="C248" s="193">
        <v>15000</v>
      </c>
      <c r="D248" s="193" t="s">
        <v>3030</v>
      </c>
      <c r="E248" s="193" t="s">
        <v>3195</v>
      </c>
      <c r="G248" s="193" t="s">
        <v>342</v>
      </c>
      <c r="H248" s="193" t="s">
        <v>3193</v>
      </c>
      <c r="I248" s="120" t="s">
        <v>688</v>
      </c>
      <c r="K248" s="240" t="s">
        <v>3277</v>
      </c>
      <c r="N248" s="193" t="s">
        <v>3210</v>
      </c>
    </row>
    <row r="249" spans="2:16" x14ac:dyDescent="0.3">
      <c r="B249" s="193">
        <v>1</v>
      </c>
      <c r="C249" s="193">
        <v>15000</v>
      </c>
      <c r="D249" s="193" t="s">
        <v>3030</v>
      </c>
      <c r="E249" s="193" t="s">
        <v>3196</v>
      </c>
      <c r="G249" s="193" t="s">
        <v>342</v>
      </c>
      <c r="H249" s="193" t="s">
        <v>3193</v>
      </c>
      <c r="I249" s="120" t="s">
        <v>688</v>
      </c>
      <c r="K249" s="240" t="s">
        <v>3276</v>
      </c>
      <c r="N249" s="193" t="s">
        <v>3208</v>
      </c>
    </row>
    <row r="250" spans="2:16" x14ac:dyDescent="0.3">
      <c r="B250" s="193">
        <v>1</v>
      </c>
      <c r="C250" s="193">
        <v>15000</v>
      </c>
      <c r="D250" s="193" t="s">
        <v>3192</v>
      </c>
      <c r="E250" s="193" t="s">
        <v>3192</v>
      </c>
      <c r="G250" s="193" t="s">
        <v>342</v>
      </c>
      <c r="H250" s="193" t="s">
        <v>3193</v>
      </c>
      <c r="I250" s="120" t="s">
        <v>688</v>
      </c>
      <c r="K250" s="240">
        <v>309850851</v>
      </c>
      <c r="N250" s="193" t="s">
        <v>3212</v>
      </c>
    </row>
    <row r="251" spans="2:16" x14ac:dyDescent="0.3">
      <c r="B251" s="193">
        <v>1</v>
      </c>
      <c r="C251" s="193">
        <v>15000</v>
      </c>
      <c r="D251" s="193" t="s">
        <v>3192</v>
      </c>
      <c r="E251" s="193" t="s">
        <v>2935</v>
      </c>
      <c r="G251" s="193" t="s">
        <v>342</v>
      </c>
      <c r="H251" s="193" t="s">
        <v>3193</v>
      </c>
      <c r="I251" s="120" t="s">
        <v>688</v>
      </c>
      <c r="K251" s="240">
        <v>309850851</v>
      </c>
      <c r="N251" s="193" t="s">
        <v>3212</v>
      </c>
    </row>
    <row r="252" spans="2:16" x14ac:dyDescent="0.3">
      <c r="B252" s="193">
        <v>1</v>
      </c>
      <c r="C252" s="193">
        <v>15000</v>
      </c>
      <c r="D252" s="193" t="s">
        <v>3192</v>
      </c>
      <c r="E252" s="193" t="s">
        <v>3195</v>
      </c>
      <c r="G252" s="193" t="s">
        <v>342</v>
      </c>
      <c r="H252" s="193" t="s">
        <v>3193</v>
      </c>
      <c r="I252" s="120" t="s">
        <v>688</v>
      </c>
      <c r="K252" s="240" t="s">
        <v>3278</v>
      </c>
      <c r="N252" s="193" t="s">
        <v>3214</v>
      </c>
    </row>
    <row r="253" spans="2:16" x14ac:dyDescent="0.3">
      <c r="B253" s="193">
        <v>1</v>
      </c>
      <c r="C253" s="193">
        <v>15000</v>
      </c>
      <c r="D253" s="193" t="s">
        <v>3192</v>
      </c>
      <c r="E253" s="193" t="s">
        <v>3196</v>
      </c>
      <c r="G253" s="193" t="s">
        <v>342</v>
      </c>
      <c r="H253" s="193" t="s">
        <v>3193</v>
      </c>
      <c r="I253" s="120" t="s">
        <v>688</v>
      </c>
      <c r="K253" s="240">
        <v>289850851</v>
      </c>
      <c r="N253" s="193" t="s">
        <v>3212</v>
      </c>
    </row>
    <row r="254" spans="2:16" x14ac:dyDescent="0.3">
      <c r="B254" s="193">
        <v>3</v>
      </c>
      <c r="C254" s="193">
        <v>1000</v>
      </c>
      <c r="D254" s="193" t="s">
        <v>3191</v>
      </c>
      <c r="E254" s="193" t="s">
        <v>3192</v>
      </c>
      <c r="G254" s="193" t="s">
        <v>342</v>
      </c>
      <c r="H254" s="193" t="s">
        <v>3193</v>
      </c>
      <c r="I254" s="120" t="s">
        <v>688</v>
      </c>
      <c r="K254" s="240">
        <v>289850851</v>
      </c>
      <c r="N254" s="193" t="s">
        <v>3194</v>
      </c>
      <c r="P254" s="193" t="e">
        <f>layerlookup(K254,[1]materials_hvac!A$2:I$1014,2)</f>
        <v>#VALUE!</v>
      </c>
    </row>
    <row r="255" spans="2:16" x14ac:dyDescent="0.3">
      <c r="B255" s="193">
        <v>3</v>
      </c>
      <c r="C255" s="193">
        <v>1000</v>
      </c>
      <c r="D255" s="193" t="s">
        <v>3191</v>
      </c>
      <c r="E255" s="193" t="s">
        <v>2935</v>
      </c>
      <c r="G255" s="193" t="s">
        <v>342</v>
      </c>
      <c r="H255" s="193" t="s">
        <v>3193</v>
      </c>
      <c r="I255" s="120" t="s">
        <v>688</v>
      </c>
      <c r="K255" s="240">
        <v>289850851</v>
      </c>
      <c r="N255" s="193" t="s">
        <v>3194</v>
      </c>
      <c r="P255" s="231"/>
    </row>
    <row r="256" spans="2:16" x14ac:dyDescent="0.3">
      <c r="B256" s="193">
        <v>3</v>
      </c>
      <c r="C256" s="193">
        <v>1000</v>
      </c>
      <c r="D256" s="193" t="s">
        <v>3191</v>
      </c>
      <c r="E256" s="193" t="s">
        <v>3195</v>
      </c>
      <c r="G256" s="193" t="s">
        <v>342</v>
      </c>
      <c r="H256" s="193" t="s">
        <v>3193</v>
      </c>
      <c r="I256" s="120" t="s">
        <v>688</v>
      </c>
      <c r="K256" s="240">
        <v>289850851</v>
      </c>
      <c r="N256" s="193" t="s">
        <v>3194</v>
      </c>
    </row>
    <row r="257" spans="2:14" x14ac:dyDescent="0.3">
      <c r="B257" s="193">
        <v>3</v>
      </c>
      <c r="C257" s="193">
        <v>1000</v>
      </c>
      <c r="D257" s="193" t="s">
        <v>3191</v>
      </c>
      <c r="E257" s="193" t="s">
        <v>3196</v>
      </c>
      <c r="G257" s="193" t="s">
        <v>342</v>
      </c>
      <c r="H257" s="193" t="s">
        <v>3193</v>
      </c>
      <c r="I257" s="120" t="s">
        <v>688</v>
      </c>
      <c r="K257" s="240">
        <v>289850851</v>
      </c>
      <c r="N257" s="193" t="s">
        <v>3194</v>
      </c>
    </row>
    <row r="258" spans="2:14" x14ac:dyDescent="0.3">
      <c r="B258" s="193">
        <v>3</v>
      </c>
      <c r="C258" s="193">
        <v>1000</v>
      </c>
      <c r="D258" s="193" t="s">
        <v>3196</v>
      </c>
      <c r="E258" s="193" t="s">
        <v>2935</v>
      </c>
      <c r="G258" s="193" t="s">
        <v>342</v>
      </c>
      <c r="H258" s="193" t="s">
        <v>3193</v>
      </c>
      <c r="I258" s="120" t="s">
        <v>688</v>
      </c>
      <c r="K258" s="240">
        <v>289850851</v>
      </c>
      <c r="N258" s="193" t="s">
        <v>3194</v>
      </c>
    </row>
    <row r="259" spans="2:14" x14ac:dyDescent="0.3">
      <c r="B259" s="193">
        <v>3</v>
      </c>
      <c r="C259" s="193">
        <v>1000</v>
      </c>
      <c r="D259" s="193" t="s">
        <v>3196</v>
      </c>
      <c r="E259" s="193" t="s">
        <v>3192</v>
      </c>
      <c r="G259" s="193" t="s">
        <v>342</v>
      </c>
      <c r="H259" s="193" t="s">
        <v>3193</v>
      </c>
      <c r="I259" s="120" t="s">
        <v>688</v>
      </c>
      <c r="K259" s="240">
        <v>289850851</v>
      </c>
      <c r="N259" s="193" t="s">
        <v>3194</v>
      </c>
    </row>
    <row r="260" spans="2:14" x14ac:dyDescent="0.3">
      <c r="B260" s="193">
        <v>3</v>
      </c>
      <c r="C260" s="193">
        <v>1000</v>
      </c>
      <c r="D260" s="193" t="s">
        <v>3196</v>
      </c>
      <c r="E260" s="193" t="s">
        <v>3195</v>
      </c>
      <c r="G260" s="193" t="s">
        <v>342</v>
      </c>
      <c r="H260" s="193" t="s">
        <v>3193</v>
      </c>
      <c r="I260" s="120" t="s">
        <v>688</v>
      </c>
      <c r="K260" s="240">
        <v>289850851</v>
      </c>
      <c r="N260" s="193" t="s">
        <v>3194</v>
      </c>
    </row>
    <row r="261" spans="2:14" x14ac:dyDescent="0.3">
      <c r="B261" s="193">
        <v>3</v>
      </c>
      <c r="C261" s="193">
        <v>1000</v>
      </c>
      <c r="D261" s="193" t="s">
        <v>3196</v>
      </c>
      <c r="E261" s="193" t="s">
        <v>3196</v>
      </c>
      <c r="G261" s="193" t="s">
        <v>342</v>
      </c>
      <c r="H261" s="193" t="s">
        <v>3193</v>
      </c>
      <c r="I261" s="120" t="s">
        <v>688</v>
      </c>
      <c r="K261" s="240">
        <v>289850851</v>
      </c>
      <c r="N261" s="193" t="s">
        <v>3194</v>
      </c>
    </row>
    <row r="262" spans="2:14" x14ac:dyDescent="0.3">
      <c r="B262" s="193">
        <v>3</v>
      </c>
      <c r="C262" s="193">
        <v>1000</v>
      </c>
      <c r="D262" s="193" t="s">
        <v>3197</v>
      </c>
      <c r="E262" s="193" t="s">
        <v>3192</v>
      </c>
      <c r="G262" s="193" t="s">
        <v>342</v>
      </c>
      <c r="H262" s="193" t="s">
        <v>3193</v>
      </c>
      <c r="I262" s="120" t="s">
        <v>688</v>
      </c>
      <c r="K262" s="240" t="s">
        <v>3279</v>
      </c>
      <c r="N262" s="193" t="s">
        <v>3199</v>
      </c>
    </row>
    <row r="263" spans="2:14" x14ac:dyDescent="0.3">
      <c r="B263" s="193">
        <v>3</v>
      </c>
      <c r="C263" s="193">
        <v>1000</v>
      </c>
      <c r="D263" s="193" t="s">
        <v>3197</v>
      </c>
      <c r="E263" s="193" t="s">
        <v>2935</v>
      </c>
      <c r="G263" s="193" t="s">
        <v>342</v>
      </c>
      <c r="H263" s="193" t="s">
        <v>3193</v>
      </c>
      <c r="I263" s="120" t="s">
        <v>688</v>
      </c>
      <c r="K263" s="240" t="s">
        <v>3279</v>
      </c>
      <c r="N263" s="193" t="s">
        <v>3199</v>
      </c>
    </row>
    <row r="264" spans="2:14" x14ac:dyDescent="0.3">
      <c r="B264" s="193">
        <v>3</v>
      </c>
      <c r="C264" s="193">
        <v>1000</v>
      </c>
      <c r="D264" s="193" t="s">
        <v>3197</v>
      </c>
      <c r="E264" s="193" t="s">
        <v>3195</v>
      </c>
      <c r="G264" s="193" t="s">
        <v>342</v>
      </c>
      <c r="H264" s="193" t="s">
        <v>3193</v>
      </c>
      <c r="I264" s="120" t="s">
        <v>688</v>
      </c>
      <c r="K264" s="240" t="s">
        <v>3280</v>
      </c>
      <c r="N264" s="193" t="s">
        <v>3201</v>
      </c>
    </row>
    <row r="265" spans="2:14" x14ac:dyDescent="0.3">
      <c r="B265" s="193">
        <v>3</v>
      </c>
      <c r="C265" s="193">
        <v>1000</v>
      </c>
      <c r="D265" s="193" t="s">
        <v>3197</v>
      </c>
      <c r="E265" s="193" t="s">
        <v>3196</v>
      </c>
      <c r="G265" s="193" t="s">
        <v>342</v>
      </c>
      <c r="H265" s="193" t="s">
        <v>3193</v>
      </c>
      <c r="I265" s="120" t="s">
        <v>688</v>
      </c>
      <c r="K265" s="240" t="s">
        <v>3279</v>
      </c>
      <c r="N265" s="193" t="s">
        <v>3202</v>
      </c>
    </row>
    <row r="266" spans="2:14" x14ac:dyDescent="0.3">
      <c r="B266" s="193">
        <v>3</v>
      </c>
      <c r="C266" s="193">
        <v>1000</v>
      </c>
      <c r="D266" s="193" t="s">
        <v>2979</v>
      </c>
      <c r="E266" s="193" t="s">
        <v>3192</v>
      </c>
      <c r="G266" s="193" t="s">
        <v>342</v>
      </c>
      <c r="H266" s="193" t="s">
        <v>3193</v>
      </c>
      <c r="I266" s="120" t="s">
        <v>688</v>
      </c>
      <c r="K266" s="240" t="s">
        <v>3281</v>
      </c>
      <c r="N266" s="193" t="s">
        <v>3204</v>
      </c>
    </row>
    <row r="267" spans="2:14" x14ac:dyDescent="0.3">
      <c r="B267" s="193">
        <v>3</v>
      </c>
      <c r="C267" s="193">
        <v>1000</v>
      </c>
      <c r="D267" s="193" t="s">
        <v>2979</v>
      </c>
      <c r="E267" s="193" t="s">
        <v>2935</v>
      </c>
      <c r="G267" s="193" t="s">
        <v>342</v>
      </c>
      <c r="H267" s="193" t="s">
        <v>3193</v>
      </c>
      <c r="I267" s="120" t="s">
        <v>688</v>
      </c>
      <c r="K267" s="240" t="s">
        <v>3281</v>
      </c>
      <c r="N267" s="193" t="s">
        <v>3204</v>
      </c>
    </row>
    <row r="268" spans="2:14" x14ac:dyDescent="0.3">
      <c r="B268" s="193">
        <v>3</v>
      </c>
      <c r="C268" s="193">
        <v>1000</v>
      </c>
      <c r="D268" s="193" t="s">
        <v>2979</v>
      </c>
      <c r="E268" s="193" t="s">
        <v>3195</v>
      </c>
      <c r="G268" s="193" t="s">
        <v>342</v>
      </c>
      <c r="H268" s="193" t="s">
        <v>3193</v>
      </c>
      <c r="I268" s="120" t="s">
        <v>688</v>
      </c>
      <c r="K268" s="240" t="s">
        <v>3282</v>
      </c>
      <c r="N268" s="193" t="s">
        <v>3219</v>
      </c>
    </row>
    <row r="269" spans="2:14" x14ac:dyDescent="0.3">
      <c r="B269" s="193">
        <v>3</v>
      </c>
      <c r="C269" s="193">
        <v>1000</v>
      </c>
      <c r="D269" s="193" t="s">
        <v>2979</v>
      </c>
      <c r="E269" s="193" t="s">
        <v>3196</v>
      </c>
      <c r="G269" s="193" t="s">
        <v>342</v>
      </c>
      <c r="H269" s="193" t="s">
        <v>3193</v>
      </c>
      <c r="I269" s="120" t="s">
        <v>688</v>
      </c>
      <c r="K269" s="240" t="s">
        <v>3281</v>
      </c>
      <c r="N269" s="193" t="s">
        <v>3204</v>
      </c>
    </row>
    <row r="270" spans="2:14" x14ac:dyDescent="0.3">
      <c r="B270" s="193">
        <v>3</v>
      </c>
      <c r="C270" s="193">
        <v>1000</v>
      </c>
      <c r="D270" s="193" t="s">
        <v>3207</v>
      </c>
      <c r="E270" s="193" t="s">
        <v>3192</v>
      </c>
      <c r="G270" s="193" t="s">
        <v>342</v>
      </c>
      <c r="H270" s="193" t="s">
        <v>3193</v>
      </c>
      <c r="I270" s="120" t="s">
        <v>688</v>
      </c>
      <c r="K270" s="240" t="s">
        <v>3281</v>
      </c>
      <c r="N270" s="193" t="s">
        <v>3204</v>
      </c>
    </row>
    <row r="271" spans="2:14" x14ac:dyDescent="0.3">
      <c r="B271" s="193">
        <v>3</v>
      </c>
      <c r="C271" s="193">
        <v>1000</v>
      </c>
      <c r="D271" s="193" t="s">
        <v>3207</v>
      </c>
      <c r="E271" s="193" t="s">
        <v>2935</v>
      </c>
      <c r="G271" s="193" t="s">
        <v>342</v>
      </c>
      <c r="H271" s="193" t="s">
        <v>3193</v>
      </c>
      <c r="I271" s="120" t="s">
        <v>688</v>
      </c>
      <c r="K271" s="240" t="s">
        <v>3281</v>
      </c>
      <c r="N271" s="193" t="s">
        <v>3204</v>
      </c>
    </row>
    <row r="272" spans="2:14" x14ac:dyDescent="0.3">
      <c r="B272" s="193">
        <v>3</v>
      </c>
      <c r="C272" s="193">
        <v>1000</v>
      </c>
      <c r="D272" s="193" t="s">
        <v>3207</v>
      </c>
      <c r="E272" s="193" t="s">
        <v>3195</v>
      </c>
      <c r="G272" s="193" t="s">
        <v>342</v>
      </c>
      <c r="H272" s="193" t="s">
        <v>3193</v>
      </c>
      <c r="I272" s="120" t="s">
        <v>688</v>
      </c>
      <c r="K272" s="240" t="s">
        <v>3282</v>
      </c>
      <c r="N272" s="193" t="s">
        <v>3219</v>
      </c>
    </row>
    <row r="273" spans="2:16" x14ac:dyDescent="0.3">
      <c r="B273" s="193">
        <v>3</v>
      </c>
      <c r="C273" s="193">
        <v>1000</v>
      </c>
      <c r="D273" s="193" t="s">
        <v>3207</v>
      </c>
      <c r="E273" s="193" t="s">
        <v>3196</v>
      </c>
      <c r="G273" s="193" t="s">
        <v>342</v>
      </c>
      <c r="H273" s="193" t="s">
        <v>3193</v>
      </c>
      <c r="I273" s="120" t="s">
        <v>688</v>
      </c>
      <c r="K273" s="240" t="s">
        <v>3281</v>
      </c>
      <c r="N273" s="193" t="s">
        <v>3204</v>
      </c>
    </row>
    <row r="274" spans="2:16" x14ac:dyDescent="0.3">
      <c r="B274" s="193">
        <v>3</v>
      </c>
      <c r="C274" s="193">
        <v>1000</v>
      </c>
      <c r="D274" s="193" t="s">
        <v>3030</v>
      </c>
      <c r="E274" s="193" t="s">
        <v>3192</v>
      </c>
      <c r="G274" s="193" t="s">
        <v>342</v>
      </c>
      <c r="H274" s="193" t="s">
        <v>3193</v>
      </c>
      <c r="I274" s="120" t="s">
        <v>688</v>
      </c>
      <c r="K274" s="240" t="s">
        <v>3283</v>
      </c>
      <c r="N274" s="193" t="s">
        <v>3208</v>
      </c>
    </row>
    <row r="275" spans="2:16" x14ac:dyDescent="0.3">
      <c r="B275" s="193">
        <v>3</v>
      </c>
      <c r="C275" s="193">
        <v>1000</v>
      </c>
      <c r="D275" s="193" t="s">
        <v>3030</v>
      </c>
      <c r="E275" s="193" t="s">
        <v>2935</v>
      </c>
      <c r="G275" s="193" t="s">
        <v>342</v>
      </c>
      <c r="H275" s="193" t="s">
        <v>3193</v>
      </c>
      <c r="I275" s="120" t="s">
        <v>688</v>
      </c>
      <c r="K275" s="240" t="s">
        <v>3283</v>
      </c>
      <c r="N275" s="193" t="s">
        <v>3208</v>
      </c>
    </row>
    <row r="276" spans="2:16" x14ac:dyDescent="0.3">
      <c r="B276" s="193">
        <v>3</v>
      </c>
      <c r="C276" s="193">
        <v>1000</v>
      </c>
      <c r="D276" s="193" t="s">
        <v>3030</v>
      </c>
      <c r="E276" s="193" t="s">
        <v>3195</v>
      </c>
      <c r="G276" s="193" t="s">
        <v>342</v>
      </c>
      <c r="H276" s="193" t="s">
        <v>3193</v>
      </c>
      <c r="I276" s="120" t="s">
        <v>688</v>
      </c>
      <c r="K276" s="240" t="s">
        <v>3284</v>
      </c>
      <c r="N276" s="193" t="s">
        <v>3210</v>
      </c>
    </row>
    <row r="277" spans="2:16" x14ac:dyDescent="0.3">
      <c r="B277" s="193">
        <v>3</v>
      </c>
      <c r="C277" s="193">
        <v>1000</v>
      </c>
      <c r="D277" s="193" t="s">
        <v>3030</v>
      </c>
      <c r="E277" s="193" t="s">
        <v>3196</v>
      </c>
      <c r="G277" s="193" t="s">
        <v>342</v>
      </c>
      <c r="H277" s="193" t="s">
        <v>3193</v>
      </c>
      <c r="I277" s="120" t="s">
        <v>688</v>
      </c>
      <c r="K277" s="240" t="s">
        <v>3283</v>
      </c>
      <c r="N277" s="193" t="s">
        <v>3208</v>
      </c>
    </row>
    <row r="278" spans="2:16" x14ac:dyDescent="0.3">
      <c r="B278" s="193">
        <v>3</v>
      </c>
      <c r="C278" s="193">
        <v>1000</v>
      </c>
      <c r="D278" s="193" t="s">
        <v>3192</v>
      </c>
      <c r="E278" s="193" t="s">
        <v>3192</v>
      </c>
      <c r="G278" s="193" t="s">
        <v>342</v>
      </c>
      <c r="H278" s="193" t="s">
        <v>3193</v>
      </c>
      <c r="I278" s="120" t="s">
        <v>688</v>
      </c>
      <c r="K278" s="240">
        <v>289850851</v>
      </c>
      <c r="N278" s="193" t="s">
        <v>3212</v>
      </c>
    </row>
    <row r="279" spans="2:16" x14ac:dyDescent="0.3">
      <c r="B279" s="193">
        <v>3</v>
      </c>
      <c r="C279" s="193">
        <v>1000</v>
      </c>
      <c r="D279" s="193" t="s">
        <v>3192</v>
      </c>
      <c r="E279" s="193" t="s">
        <v>2935</v>
      </c>
      <c r="G279" s="193" t="s">
        <v>342</v>
      </c>
      <c r="H279" s="193" t="s">
        <v>3193</v>
      </c>
      <c r="I279" s="120" t="s">
        <v>688</v>
      </c>
      <c r="K279" s="240">
        <v>289850851</v>
      </c>
      <c r="N279" s="193" t="s">
        <v>3212</v>
      </c>
    </row>
    <row r="280" spans="2:16" x14ac:dyDescent="0.3">
      <c r="B280" s="193">
        <v>3</v>
      </c>
      <c r="C280" s="193">
        <v>1000</v>
      </c>
      <c r="D280" s="193" t="s">
        <v>3192</v>
      </c>
      <c r="E280" s="193" t="s">
        <v>3195</v>
      </c>
      <c r="G280" s="193" t="s">
        <v>342</v>
      </c>
      <c r="H280" s="193" t="s">
        <v>3193</v>
      </c>
      <c r="I280" s="120" t="s">
        <v>688</v>
      </c>
      <c r="K280" s="240" t="s">
        <v>3285</v>
      </c>
      <c r="N280" s="193" t="s">
        <v>3214</v>
      </c>
    </row>
    <row r="281" spans="2:16" x14ac:dyDescent="0.3">
      <c r="B281" s="193">
        <v>3</v>
      </c>
      <c r="C281" s="193">
        <v>1000</v>
      </c>
      <c r="D281" s="193" t="s">
        <v>3192</v>
      </c>
      <c r="E281" s="193" t="s">
        <v>3196</v>
      </c>
      <c r="G281" s="193" t="s">
        <v>342</v>
      </c>
      <c r="H281" s="193" t="s">
        <v>3193</v>
      </c>
      <c r="I281" s="120" t="s">
        <v>688</v>
      </c>
      <c r="K281" s="240">
        <v>289850851</v>
      </c>
      <c r="N281" s="193" t="s">
        <v>3212</v>
      </c>
    </row>
    <row r="282" spans="2:16" x14ac:dyDescent="0.3">
      <c r="B282" s="193">
        <v>3</v>
      </c>
      <c r="C282" s="193">
        <v>2500</v>
      </c>
      <c r="D282" s="193" t="s">
        <v>3191</v>
      </c>
      <c r="E282" s="193" t="s">
        <v>3192</v>
      </c>
      <c r="G282" s="193" t="s">
        <v>342</v>
      </c>
      <c r="H282" s="193" t="s">
        <v>3193</v>
      </c>
      <c r="I282" s="120" t="s">
        <v>688</v>
      </c>
      <c r="K282" s="240">
        <v>290850851</v>
      </c>
      <c r="N282" s="193" t="s">
        <v>3194</v>
      </c>
      <c r="P282" s="193" t="e">
        <f>layerlookup(K282,[1]materials_hvac!A$2:I$1014,2)</f>
        <v>#VALUE!</v>
      </c>
    </row>
    <row r="283" spans="2:16" x14ac:dyDescent="0.3">
      <c r="B283" s="193">
        <v>3</v>
      </c>
      <c r="C283" s="193">
        <v>2500</v>
      </c>
      <c r="D283" s="193" t="s">
        <v>3191</v>
      </c>
      <c r="E283" s="193" t="s">
        <v>2935</v>
      </c>
      <c r="G283" s="193" t="s">
        <v>342</v>
      </c>
      <c r="H283" s="193" t="s">
        <v>3193</v>
      </c>
      <c r="I283" s="120" t="s">
        <v>688</v>
      </c>
      <c r="K283" s="240">
        <v>290850851</v>
      </c>
      <c r="N283" s="193" t="s">
        <v>3194</v>
      </c>
      <c r="P283" s="231"/>
    </row>
    <row r="284" spans="2:16" x14ac:dyDescent="0.3">
      <c r="B284" s="193">
        <v>3</v>
      </c>
      <c r="C284" s="193">
        <v>2500</v>
      </c>
      <c r="D284" s="193" t="s">
        <v>3191</v>
      </c>
      <c r="E284" s="193" t="s">
        <v>3195</v>
      </c>
      <c r="G284" s="193" t="s">
        <v>342</v>
      </c>
      <c r="H284" s="193" t="s">
        <v>3193</v>
      </c>
      <c r="I284" s="120" t="s">
        <v>688</v>
      </c>
      <c r="K284" s="240">
        <v>290850851</v>
      </c>
      <c r="N284" s="193" t="s">
        <v>3194</v>
      </c>
    </row>
    <row r="285" spans="2:16" x14ac:dyDescent="0.3">
      <c r="B285" s="193">
        <v>3</v>
      </c>
      <c r="C285" s="193">
        <v>2500</v>
      </c>
      <c r="D285" s="193" t="s">
        <v>3191</v>
      </c>
      <c r="E285" s="193" t="s">
        <v>3196</v>
      </c>
      <c r="G285" s="193" t="s">
        <v>342</v>
      </c>
      <c r="H285" s="193" t="s">
        <v>3193</v>
      </c>
      <c r="I285" s="120" t="s">
        <v>688</v>
      </c>
      <c r="K285" s="240">
        <v>290850851</v>
      </c>
      <c r="N285" s="193" t="s">
        <v>3194</v>
      </c>
    </row>
    <row r="286" spans="2:16" x14ac:dyDescent="0.3">
      <c r="B286" s="193">
        <v>3</v>
      </c>
      <c r="C286" s="193">
        <v>2500</v>
      </c>
      <c r="D286" s="193" t="s">
        <v>3196</v>
      </c>
      <c r="E286" s="193" t="s">
        <v>2935</v>
      </c>
      <c r="G286" s="193" t="s">
        <v>342</v>
      </c>
      <c r="H286" s="193" t="s">
        <v>3193</v>
      </c>
      <c r="I286" s="120" t="s">
        <v>688</v>
      </c>
      <c r="K286" s="240">
        <v>290850851</v>
      </c>
      <c r="N286" s="193" t="s">
        <v>3194</v>
      </c>
    </row>
    <row r="287" spans="2:16" x14ac:dyDescent="0.3">
      <c r="B287" s="193">
        <v>3</v>
      </c>
      <c r="C287" s="193">
        <v>2500</v>
      </c>
      <c r="D287" s="193" t="s">
        <v>3196</v>
      </c>
      <c r="E287" s="193" t="s">
        <v>3192</v>
      </c>
      <c r="G287" s="193" t="s">
        <v>342</v>
      </c>
      <c r="H287" s="193" t="s">
        <v>3193</v>
      </c>
      <c r="I287" s="120" t="s">
        <v>688</v>
      </c>
      <c r="K287" s="240">
        <v>290850851</v>
      </c>
      <c r="N287" s="193" t="s">
        <v>3194</v>
      </c>
    </row>
    <row r="288" spans="2:16" x14ac:dyDescent="0.3">
      <c r="B288" s="193">
        <v>3</v>
      </c>
      <c r="C288" s="193">
        <v>2500</v>
      </c>
      <c r="D288" s="193" t="s">
        <v>3196</v>
      </c>
      <c r="E288" s="193" t="s">
        <v>3195</v>
      </c>
      <c r="G288" s="193" t="s">
        <v>342</v>
      </c>
      <c r="H288" s="193" t="s">
        <v>3193</v>
      </c>
      <c r="I288" s="120" t="s">
        <v>688</v>
      </c>
      <c r="K288" s="240">
        <v>290850851</v>
      </c>
      <c r="N288" s="193" t="s">
        <v>3194</v>
      </c>
    </row>
    <row r="289" spans="2:14" x14ac:dyDescent="0.3">
      <c r="B289" s="193">
        <v>3</v>
      </c>
      <c r="C289" s="193">
        <v>2500</v>
      </c>
      <c r="D289" s="193" t="s">
        <v>3196</v>
      </c>
      <c r="E289" s="193" t="s">
        <v>3196</v>
      </c>
      <c r="G289" s="193" t="s">
        <v>342</v>
      </c>
      <c r="H289" s="193" t="s">
        <v>3193</v>
      </c>
      <c r="I289" s="120" t="s">
        <v>688</v>
      </c>
      <c r="K289" s="240">
        <v>290850851</v>
      </c>
      <c r="N289" s="193" t="s">
        <v>3194</v>
      </c>
    </row>
    <row r="290" spans="2:14" x14ac:dyDescent="0.3">
      <c r="B290" s="193">
        <v>3</v>
      </c>
      <c r="C290" s="193">
        <v>2500</v>
      </c>
      <c r="D290" s="193" t="s">
        <v>3197</v>
      </c>
      <c r="E290" s="193" t="s">
        <v>3192</v>
      </c>
      <c r="G290" s="193" t="s">
        <v>342</v>
      </c>
      <c r="H290" s="193" t="s">
        <v>3193</v>
      </c>
      <c r="I290" s="120" t="s">
        <v>688</v>
      </c>
      <c r="K290" s="240" t="s">
        <v>3286</v>
      </c>
      <c r="N290" s="193" t="s">
        <v>3199</v>
      </c>
    </row>
    <row r="291" spans="2:14" x14ac:dyDescent="0.3">
      <c r="B291" s="193">
        <v>3</v>
      </c>
      <c r="C291" s="193">
        <v>2500</v>
      </c>
      <c r="D291" s="193" t="s">
        <v>3197</v>
      </c>
      <c r="E291" s="193" t="s">
        <v>2935</v>
      </c>
      <c r="G291" s="193" t="s">
        <v>342</v>
      </c>
      <c r="H291" s="193" t="s">
        <v>3193</v>
      </c>
      <c r="I291" s="120" t="s">
        <v>688</v>
      </c>
      <c r="K291" s="240" t="s">
        <v>3286</v>
      </c>
      <c r="N291" s="193" t="s">
        <v>3199</v>
      </c>
    </row>
    <row r="292" spans="2:14" x14ac:dyDescent="0.3">
      <c r="B292" s="193">
        <v>3</v>
      </c>
      <c r="C292" s="193">
        <v>2500</v>
      </c>
      <c r="D292" s="193" t="s">
        <v>3197</v>
      </c>
      <c r="E292" s="193" t="s">
        <v>3195</v>
      </c>
      <c r="G292" s="193" t="s">
        <v>342</v>
      </c>
      <c r="H292" s="193" t="s">
        <v>3193</v>
      </c>
      <c r="I292" s="120" t="s">
        <v>688</v>
      </c>
      <c r="K292" s="240" t="s">
        <v>3287</v>
      </c>
      <c r="N292" s="193" t="s">
        <v>3201</v>
      </c>
    </row>
    <row r="293" spans="2:14" x14ac:dyDescent="0.3">
      <c r="B293" s="193">
        <v>3</v>
      </c>
      <c r="C293" s="193">
        <v>2500</v>
      </c>
      <c r="D293" s="193" t="s">
        <v>3197</v>
      </c>
      <c r="E293" s="193" t="s">
        <v>3196</v>
      </c>
      <c r="G293" s="193" t="s">
        <v>342</v>
      </c>
      <c r="H293" s="193" t="s">
        <v>3193</v>
      </c>
      <c r="I293" s="120" t="s">
        <v>688</v>
      </c>
      <c r="K293" s="240" t="s">
        <v>3286</v>
      </c>
      <c r="N293" s="193" t="s">
        <v>3202</v>
      </c>
    </row>
    <row r="294" spans="2:14" x14ac:dyDescent="0.3">
      <c r="B294" s="193">
        <v>3</v>
      </c>
      <c r="C294" s="193">
        <v>2500</v>
      </c>
      <c r="D294" s="193" t="s">
        <v>2979</v>
      </c>
      <c r="E294" s="193" t="s">
        <v>3192</v>
      </c>
      <c r="G294" s="193" t="s">
        <v>342</v>
      </c>
      <c r="H294" s="193" t="s">
        <v>3193</v>
      </c>
      <c r="I294" s="120" t="s">
        <v>688</v>
      </c>
      <c r="K294" s="240" t="s">
        <v>3288</v>
      </c>
      <c r="N294" s="193" t="s">
        <v>3204</v>
      </c>
    </row>
    <row r="295" spans="2:14" x14ac:dyDescent="0.3">
      <c r="B295" s="193">
        <v>3</v>
      </c>
      <c r="C295" s="193">
        <v>2500</v>
      </c>
      <c r="D295" s="193" t="s">
        <v>2979</v>
      </c>
      <c r="E295" s="193" t="s">
        <v>2935</v>
      </c>
      <c r="G295" s="193" t="s">
        <v>342</v>
      </c>
      <c r="H295" s="193" t="s">
        <v>3193</v>
      </c>
      <c r="I295" s="120" t="s">
        <v>688</v>
      </c>
      <c r="K295" s="240" t="s">
        <v>3288</v>
      </c>
      <c r="N295" s="193" t="s">
        <v>3204</v>
      </c>
    </row>
    <row r="296" spans="2:14" x14ac:dyDescent="0.3">
      <c r="B296" s="193">
        <v>3</v>
      </c>
      <c r="C296" s="193">
        <v>2500</v>
      </c>
      <c r="D296" s="193" t="s">
        <v>2979</v>
      </c>
      <c r="E296" s="193" t="s">
        <v>3195</v>
      </c>
      <c r="G296" s="193" t="s">
        <v>342</v>
      </c>
      <c r="H296" s="193" t="s">
        <v>3193</v>
      </c>
      <c r="I296" s="120" t="s">
        <v>688</v>
      </c>
      <c r="K296" s="240" t="s">
        <v>3289</v>
      </c>
      <c r="N296" s="193" t="s">
        <v>3219</v>
      </c>
    </row>
    <row r="297" spans="2:14" x14ac:dyDescent="0.3">
      <c r="B297" s="193">
        <v>3</v>
      </c>
      <c r="C297" s="193">
        <v>2500</v>
      </c>
      <c r="D297" s="193" t="s">
        <v>2979</v>
      </c>
      <c r="E297" s="193" t="s">
        <v>3196</v>
      </c>
      <c r="G297" s="193" t="s">
        <v>342</v>
      </c>
      <c r="H297" s="193" t="s">
        <v>3193</v>
      </c>
      <c r="I297" s="120" t="s">
        <v>688</v>
      </c>
      <c r="K297" s="240" t="s">
        <v>3288</v>
      </c>
      <c r="N297" s="193" t="s">
        <v>3204</v>
      </c>
    </row>
    <row r="298" spans="2:14" x14ac:dyDescent="0.3">
      <c r="B298" s="193">
        <v>3</v>
      </c>
      <c r="C298" s="193">
        <v>2500</v>
      </c>
      <c r="D298" s="193" t="s">
        <v>3207</v>
      </c>
      <c r="E298" s="193" t="s">
        <v>3192</v>
      </c>
      <c r="G298" s="193" t="s">
        <v>342</v>
      </c>
      <c r="H298" s="193" t="s">
        <v>3193</v>
      </c>
      <c r="I298" s="120" t="s">
        <v>688</v>
      </c>
      <c r="K298" s="240" t="s">
        <v>3288</v>
      </c>
      <c r="N298" s="193" t="s">
        <v>3204</v>
      </c>
    </row>
    <row r="299" spans="2:14" x14ac:dyDescent="0.3">
      <c r="B299" s="193">
        <v>3</v>
      </c>
      <c r="C299" s="193">
        <v>2500</v>
      </c>
      <c r="D299" s="193" t="s">
        <v>3207</v>
      </c>
      <c r="E299" s="193" t="s">
        <v>2935</v>
      </c>
      <c r="G299" s="193" t="s">
        <v>342</v>
      </c>
      <c r="H299" s="193" t="s">
        <v>3193</v>
      </c>
      <c r="I299" s="120" t="s">
        <v>688</v>
      </c>
      <c r="K299" s="240" t="s">
        <v>3288</v>
      </c>
      <c r="N299" s="193" t="s">
        <v>3204</v>
      </c>
    </row>
    <row r="300" spans="2:14" x14ac:dyDescent="0.3">
      <c r="B300" s="193">
        <v>3</v>
      </c>
      <c r="C300" s="193">
        <v>2500</v>
      </c>
      <c r="D300" s="193" t="s">
        <v>3207</v>
      </c>
      <c r="E300" s="193" t="s">
        <v>3195</v>
      </c>
      <c r="G300" s="193" t="s">
        <v>342</v>
      </c>
      <c r="H300" s="193" t="s">
        <v>3193</v>
      </c>
      <c r="I300" s="120" t="s">
        <v>688</v>
      </c>
      <c r="K300" s="240" t="s">
        <v>3290</v>
      </c>
      <c r="N300" s="193" t="s">
        <v>3219</v>
      </c>
    </row>
    <row r="301" spans="2:14" x14ac:dyDescent="0.3">
      <c r="B301" s="193">
        <v>3</v>
      </c>
      <c r="C301" s="193">
        <v>2500</v>
      </c>
      <c r="D301" s="193" t="s">
        <v>3207</v>
      </c>
      <c r="E301" s="193" t="s">
        <v>3196</v>
      </c>
      <c r="G301" s="193" t="s">
        <v>342</v>
      </c>
      <c r="H301" s="193" t="s">
        <v>3193</v>
      </c>
      <c r="I301" s="120" t="s">
        <v>688</v>
      </c>
      <c r="K301" s="240" t="s">
        <v>3288</v>
      </c>
      <c r="N301" s="193" t="s">
        <v>3204</v>
      </c>
    </row>
    <row r="302" spans="2:14" x14ac:dyDescent="0.3">
      <c r="B302" s="193">
        <v>3</v>
      </c>
      <c r="C302" s="193">
        <v>2500</v>
      </c>
      <c r="D302" s="193" t="s">
        <v>3030</v>
      </c>
      <c r="E302" s="193" t="s">
        <v>3192</v>
      </c>
      <c r="G302" s="193" t="s">
        <v>342</v>
      </c>
      <c r="H302" s="193" t="s">
        <v>3193</v>
      </c>
      <c r="I302" s="120" t="s">
        <v>688</v>
      </c>
      <c r="K302" s="240" t="s">
        <v>3291</v>
      </c>
      <c r="N302" s="193" t="s">
        <v>3208</v>
      </c>
    </row>
    <row r="303" spans="2:14" x14ac:dyDescent="0.3">
      <c r="B303" s="193">
        <v>3</v>
      </c>
      <c r="C303" s="193">
        <v>2500</v>
      </c>
      <c r="D303" s="193" t="s">
        <v>3030</v>
      </c>
      <c r="E303" s="193" t="s">
        <v>2935</v>
      </c>
      <c r="G303" s="193" t="s">
        <v>342</v>
      </c>
      <c r="H303" s="193" t="s">
        <v>3193</v>
      </c>
      <c r="I303" s="120" t="s">
        <v>688</v>
      </c>
      <c r="K303" s="240" t="s">
        <v>3291</v>
      </c>
      <c r="N303" s="193" t="s">
        <v>3208</v>
      </c>
    </row>
    <row r="304" spans="2:14" x14ac:dyDescent="0.3">
      <c r="B304" s="193">
        <v>3</v>
      </c>
      <c r="C304" s="193">
        <v>2500</v>
      </c>
      <c r="D304" s="193" t="s">
        <v>3030</v>
      </c>
      <c r="E304" s="193" t="s">
        <v>3195</v>
      </c>
      <c r="G304" s="193" t="s">
        <v>342</v>
      </c>
      <c r="H304" s="193" t="s">
        <v>3193</v>
      </c>
      <c r="I304" s="120" t="s">
        <v>688</v>
      </c>
      <c r="K304" s="240" t="s">
        <v>3292</v>
      </c>
      <c r="N304" s="193" t="s">
        <v>3210</v>
      </c>
    </row>
    <row r="305" spans="2:14" x14ac:dyDescent="0.3">
      <c r="B305" s="193">
        <v>3</v>
      </c>
      <c r="C305" s="193">
        <v>2500</v>
      </c>
      <c r="D305" s="193" t="s">
        <v>3030</v>
      </c>
      <c r="E305" s="193" t="s">
        <v>3196</v>
      </c>
      <c r="G305" s="193" t="s">
        <v>342</v>
      </c>
      <c r="H305" s="193" t="s">
        <v>3193</v>
      </c>
      <c r="I305" s="120" t="s">
        <v>688</v>
      </c>
      <c r="K305" s="240" t="s">
        <v>3291</v>
      </c>
      <c r="N305" s="193" t="s">
        <v>3208</v>
      </c>
    </row>
    <row r="306" spans="2:14" x14ac:dyDescent="0.3">
      <c r="B306" s="193">
        <v>3</v>
      </c>
      <c r="C306" s="193">
        <v>2500</v>
      </c>
      <c r="D306" s="193" t="s">
        <v>3192</v>
      </c>
      <c r="E306" s="193" t="s">
        <v>3192</v>
      </c>
      <c r="G306" s="193" t="s">
        <v>342</v>
      </c>
      <c r="H306" s="193" t="s">
        <v>3193</v>
      </c>
      <c r="I306" s="120" t="s">
        <v>688</v>
      </c>
      <c r="K306" s="240">
        <v>290850851</v>
      </c>
      <c r="N306" s="193" t="s">
        <v>3212</v>
      </c>
    </row>
    <row r="307" spans="2:14" x14ac:dyDescent="0.3">
      <c r="B307" s="193">
        <v>3</v>
      </c>
      <c r="C307" s="193">
        <v>2500</v>
      </c>
      <c r="D307" s="193" t="s">
        <v>3192</v>
      </c>
      <c r="E307" s="193" t="s">
        <v>2935</v>
      </c>
      <c r="G307" s="193" t="s">
        <v>342</v>
      </c>
      <c r="H307" s="193" t="s">
        <v>3193</v>
      </c>
      <c r="I307" s="120" t="s">
        <v>688</v>
      </c>
      <c r="K307" s="240">
        <v>290751752850851</v>
      </c>
      <c r="N307" s="193" t="s">
        <v>3212</v>
      </c>
    </row>
    <row r="308" spans="2:14" x14ac:dyDescent="0.3">
      <c r="B308" s="193">
        <v>3</v>
      </c>
      <c r="C308" s="193">
        <v>2500</v>
      </c>
      <c r="D308" s="193" t="s">
        <v>3192</v>
      </c>
      <c r="E308" s="193" t="s">
        <v>3195</v>
      </c>
      <c r="G308" s="193" t="s">
        <v>342</v>
      </c>
      <c r="H308" s="193" t="s">
        <v>3193</v>
      </c>
      <c r="I308" s="120" t="s">
        <v>688</v>
      </c>
      <c r="K308" s="240" t="s">
        <v>3293</v>
      </c>
      <c r="N308" s="193" t="s">
        <v>3214</v>
      </c>
    </row>
    <row r="309" spans="2:14" x14ac:dyDescent="0.3">
      <c r="B309" s="193">
        <v>3</v>
      </c>
      <c r="C309" s="193">
        <v>2500</v>
      </c>
      <c r="D309" s="193" t="s">
        <v>3192</v>
      </c>
      <c r="E309" s="193" t="s">
        <v>3196</v>
      </c>
      <c r="G309" s="193" t="s">
        <v>342</v>
      </c>
      <c r="H309" s="193" t="s">
        <v>3193</v>
      </c>
      <c r="I309" s="120" t="s">
        <v>688</v>
      </c>
      <c r="K309" s="240">
        <v>290850851</v>
      </c>
      <c r="N309" s="193" t="s">
        <v>3212</v>
      </c>
    </row>
    <row r="310" spans="2:14" x14ac:dyDescent="0.3">
      <c r="B310" s="193">
        <v>3</v>
      </c>
      <c r="C310" s="193">
        <v>5000</v>
      </c>
      <c r="D310" s="193" t="s">
        <v>3191</v>
      </c>
      <c r="E310" s="193" t="s">
        <v>3192</v>
      </c>
      <c r="G310" s="193" t="s">
        <v>342</v>
      </c>
      <c r="H310" s="193" t="s">
        <v>3193</v>
      </c>
      <c r="I310" s="120" t="s">
        <v>688</v>
      </c>
      <c r="K310" s="240">
        <v>291850851</v>
      </c>
      <c r="N310" s="193" t="s">
        <v>3194</v>
      </c>
    </row>
    <row r="311" spans="2:14" x14ac:dyDescent="0.3">
      <c r="B311" s="193">
        <v>3</v>
      </c>
      <c r="C311" s="193">
        <v>5000</v>
      </c>
      <c r="D311" s="193" t="s">
        <v>3191</v>
      </c>
      <c r="E311" s="193" t="s">
        <v>2935</v>
      </c>
      <c r="G311" s="193" t="s">
        <v>342</v>
      </c>
      <c r="H311" s="193" t="s">
        <v>3193</v>
      </c>
      <c r="I311" s="120" t="s">
        <v>688</v>
      </c>
      <c r="K311" s="240">
        <v>291850851</v>
      </c>
      <c r="N311" s="193" t="s">
        <v>3194</v>
      </c>
    </row>
    <row r="312" spans="2:14" x14ac:dyDescent="0.3">
      <c r="B312" s="193">
        <v>3</v>
      </c>
      <c r="C312" s="193">
        <v>5000</v>
      </c>
      <c r="D312" s="193" t="s">
        <v>3191</v>
      </c>
      <c r="E312" s="193" t="s">
        <v>3195</v>
      </c>
      <c r="G312" s="193" t="s">
        <v>342</v>
      </c>
      <c r="H312" s="193" t="s">
        <v>3193</v>
      </c>
      <c r="I312" s="120" t="s">
        <v>688</v>
      </c>
      <c r="K312" s="240">
        <v>291850851</v>
      </c>
      <c r="N312" s="193" t="s">
        <v>3194</v>
      </c>
    </row>
    <row r="313" spans="2:14" x14ac:dyDescent="0.3">
      <c r="B313" s="193">
        <v>3</v>
      </c>
      <c r="C313" s="193">
        <v>5000</v>
      </c>
      <c r="D313" s="193" t="s">
        <v>3191</v>
      </c>
      <c r="E313" s="193" t="s">
        <v>3196</v>
      </c>
      <c r="G313" s="193" t="s">
        <v>342</v>
      </c>
      <c r="H313" s="193" t="s">
        <v>3193</v>
      </c>
      <c r="I313" s="120" t="s">
        <v>688</v>
      </c>
      <c r="K313" s="240">
        <v>291850851</v>
      </c>
      <c r="N313" s="193" t="s">
        <v>3194</v>
      </c>
    </row>
    <row r="314" spans="2:14" x14ac:dyDescent="0.3">
      <c r="B314" s="193">
        <v>3</v>
      </c>
      <c r="C314" s="193">
        <v>5000</v>
      </c>
      <c r="D314" s="193" t="s">
        <v>3196</v>
      </c>
      <c r="E314" s="193" t="s">
        <v>2935</v>
      </c>
      <c r="G314" s="193" t="s">
        <v>342</v>
      </c>
      <c r="H314" s="193" t="s">
        <v>3193</v>
      </c>
      <c r="I314" s="120" t="s">
        <v>688</v>
      </c>
      <c r="K314" s="240">
        <v>291850851</v>
      </c>
      <c r="N314" s="193" t="s">
        <v>3194</v>
      </c>
    </row>
    <row r="315" spans="2:14" x14ac:dyDescent="0.3">
      <c r="B315" s="193">
        <v>3</v>
      </c>
      <c r="C315" s="193">
        <v>5000</v>
      </c>
      <c r="D315" s="193" t="s">
        <v>3196</v>
      </c>
      <c r="E315" s="193" t="s">
        <v>3192</v>
      </c>
      <c r="G315" s="193" t="s">
        <v>342</v>
      </c>
      <c r="H315" s="193" t="s">
        <v>3193</v>
      </c>
      <c r="I315" s="120" t="s">
        <v>688</v>
      </c>
      <c r="K315" s="240">
        <v>291850851</v>
      </c>
      <c r="N315" s="193" t="s">
        <v>3194</v>
      </c>
    </row>
    <row r="316" spans="2:14" x14ac:dyDescent="0.3">
      <c r="B316" s="193">
        <v>3</v>
      </c>
      <c r="C316" s="193">
        <v>5000</v>
      </c>
      <c r="D316" s="193" t="s">
        <v>3196</v>
      </c>
      <c r="E316" s="193" t="s">
        <v>3195</v>
      </c>
      <c r="G316" s="193" t="s">
        <v>342</v>
      </c>
      <c r="H316" s="193" t="s">
        <v>3193</v>
      </c>
      <c r="I316" s="120" t="s">
        <v>688</v>
      </c>
      <c r="K316" s="240">
        <v>291850851</v>
      </c>
      <c r="N316" s="193" t="s">
        <v>3194</v>
      </c>
    </row>
    <row r="317" spans="2:14" x14ac:dyDescent="0.3">
      <c r="B317" s="193">
        <v>3</v>
      </c>
      <c r="C317" s="193">
        <v>5000</v>
      </c>
      <c r="D317" s="193" t="s">
        <v>3196</v>
      </c>
      <c r="E317" s="193" t="s">
        <v>3196</v>
      </c>
      <c r="G317" s="193" t="s">
        <v>342</v>
      </c>
      <c r="H317" s="193" t="s">
        <v>3193</v>
      </c>
      <c r="I317" s="120" t="s">
        <v>688</v>
      </c>
      <c r="K317" s="240">
        <v>291850851</v>
      </c>
      <c r="N317" s="193" t="s">
        <v>3194</v>
      </c>
    </row>
    <row r="318" spans="2:14" x14ac:dyDescent="0.3">
      <c r="B318" s="193">
        <v>3</v>
      </c>
      <c r="C318" s="193">
        <v>5000</v>
      </c>
      <c r="D318" s="193" t="s">
        <v>3197</v>
      </c>
      <c r="E318" s="193" t="s">
        <v>3192</v>
      </c>
      <c r="G318" s="193" t="s">
        <v>342</v>
      </c>
      <c r="H318" s="193" t="s">
        <v>3193</v>
      </c>
      <c r="I318" s="120" t="s">
        <v>688</v>
      </c>
      <c r="K318" s="240" t="s">
        <v>3294</v>
      </c>
      <c r="N318" s="193" t="s">
        <v>3199</v>
      </c>
    </row>
    <row r="319" spans="2:14" x14ac:dyDescent="0.3">
      <c r="B319" s="193">
        <v>3</v>
      </c>
      <c r="C319" s="193">
        <v>5000</v>
      </c>
      <c r="D319" s="193" t="s">
        <v>3197</v>
      </c>
      <c r="E319" s="193" t="s">
        <v>2935</v>
      </c>
      <c r="G319" s="193" t="s">
        <v>342</v>
      </c>
      <c r="H319" s="193" t="s">
        <v>3193</v>
      </c>
      <c r="I319" s="120" t="s">
        <v>688</v>
      </c>
      <c r="K319" s="240" t="s">
        <v>3294</v>
      </c>
      <c r="N319" s="193" t="s">
        <v>3199</v>
      </c>
    </row>
    <row r="320" spans="2:14" x14ac:dyDescent="0.3">
      <c r="B320" s="193">
        <v>3</v>
      </c>
      <c r="C320" s="193">
        <v>5000</v>
      </c>
      <c r="D320" s="193" t="s">
        <v>3197</v>
      </c>
      <c r="E320" s="193" t="s">
        <v>3195</v>
      </c>
      <c r="G320" s="193" t="s">
        <v>342</v>
      </c>
      <c r="H320" s="193" t="s">
        <v>3193</v>
      </c>
      <c r="I320" s="120" t="s">
        <v>688</v>
      </c>
      <c r="K320" s="240" t="s">
        <v>3295</v>
      </c>
      <c r="N320" s="193" t="s">
        <v>3201</v>
      </c>
    </row>
    <row r="321" spans="2:14" x14ac:dyDescent="0.3">
      <c r="B321" s="193">
        <v>3</v>
      </c>
      <c r="C321" s="193">
        <v>5000</v>
      </c>
      <c r="D321" s="193" t="s">
        <v>3197</v>
      </c>
      <c r="E321" s="193" t="s">
        <v>3196</v>
      </c>
      <c r="G321" s="193" t="s">
        <v>342</v>
      </c>
      <c r="H321" s="193" t="s">
        <v>3193</v>
      </c>
      <c r="I321" s="120" t="s">
        <v>688</v>
      </c>
      <c r="K321" s="240" t="s">
        <v>3294</v>
      </c>
      <c r="N321" s="193" t="s">
        <v>3202</v>
      </c>
    </row>
    <row r="322" spans="2:14" x14ac:dyDescent="0.3">
      <c r="B322" s="193">
        <v>3</v>
      </c>
      <c r="C322" s="193">
        <v>5000</v>
      </c>
      <c r="D322" s="193" t="s">
        <v>2979</v>
      </c>
      <c r="E322" s="193" t="s">
        <v>3192</v>
      </c>
      <c r="G322" s="193" t="s">
        <v>342</v>
      </c>
      <c r="H322" s="193" t="s">
        <v>3193</v>
      </c>
      <c r="I322" s="120" t="s">
        <v>688</v>
      </c>
      <c r="K322" s="240" t="s">
        <v>3296</v>
      </c>
      <c r="N322" s="193" t="s">
        <v>3204</v>
      </c>
    </row>
    <row r="323" spans="2:14" x14ac:dyDescent="0.3">
      <c r="B323" s="193">
        <v>3</v>
      </c>
      <c r="C323" s="193">
        <v>5000</v>
      </c>
      <c r="D323" s="193" t="s">
        <v>2979</v>
      </c>
      <c r="E323" s="193" t="s">
        <v>2935</v>
      </c>
      <c r="G323" s="193" t="s">
        <v>342</v>
      </c>
      <c r="H323" s="193" t="s">
        <v>3193</v>
      </c>
      <c r="I323" s="120" t="s">
        <v>688</v>
      </c>
      <c r="K323" s="240" t="s">
        <v>3296</v>
      </c>
      <c r="N323" s="193" t="s">
        <v>3204</v>
      </c>
    </row>
    <row r="324" spans="2:14" x14ac:dyDescent="0.3">
      <c r="B324" s="193">
        <v>3</v>
      </c>
      <c r="C324" s="193">
        <v>5000</v>
      </c>
      <c r="D324" s="193" t="s">
        <v>2979</v>
      </c>
      <c r="E324" s="193" t="s">
        <v>3195</v>
      </c>
      <c r="G324" s="193" t="s">
        <v>342</v>
      </c>
      <c r="H324" s="193" t="s">
        <v>3193</v>
      </c>
      <c r="I324" s="120" t="s">
        <v>688</v>
      </c>
      <c r="K324" s="240" t="s">
        <v>3297</v>
      </c>
      <c r="N324" s="193" t="s">
        <v>3219</v>
      </c>
    </row>
    <row r="325" spans="2:14" x14ac:dyDescent="0.3">
      <c r="B325" s="193">
        <v>3</v>
      </c>
      <c r="C325" s="193">
        <v>5000</v>
      </c>
      <c r="D325" s="193" t="s">
        <v>2979</v>
      </c>
      <c r="E325" s="193" t="s">
        <v>3196</v>
      </c>
      <c r="G325" s="193" t="s">
        <v>342</v>
      </c>
      <c r="H325" s="193" t="s">
        <v>3193</v>
      </c>
      <c r="I325" s="120" t="s">
        <v>688</v>
      </c>
      <c r="K325" s="240" t="s">
        <v>3296</v>
      </c>
      <c r="N325" s="193" t="s">
        <v>3204</v>
      </c>
    </row>
    <row r="326" spans="2:14" x14ac:dyDescent="0.3">
      <c r="B326" s="193">
        <v>3</v>
      </c>
      <c r="C326" s="193">
        <v>5000</v>
      </c>
      <c r="D326" s="193" t="s">
        <v>3207</v>
      </c>
      <c r="E326" s="193" t="s">
        <v>3192</v>
      </c>
      <c r="G326" s="193" t="s">
        <v>342</v>
      </c>
      <c r="H326" s="193" t="s">
        <v>3193</v>
      </c>
      <c r="I326" s="120" t="s">
        <v>688</v>
      </c>
      <c r="K326" s="240" t="s">
        <v>3296</v>
      </c>
      <c r="N326" s="193" t="s">
        <v>3204</v>
      </c>
    </row>
    <row r="327" spans="2:14" x14ac:dyDescent="0.3">
      <c r="B327" s="193">
        <v>3</v>
      </c>
      <c r="C327" s="193">
        <v>5000</v>
      </c>
      <c r="D327" s="193" t="s">
        <v>3207</v>
      </c>
      <c r="E327" s="193" t="s">
        <v>2935</v>
      </c>
      <c r="G327" s="193" t="s">
        <v>342</v>
      </c>
      <c r="H327" s="193" t="s">
        <v>3193</v>
      </c>
      <c r="I327" s="120" t="s">
        <v>688</v>
      </c>
      <c r="K327" s="240" t="s">
        <v>3296</v>
      </c>
      <c r="N327" s="193" t="s">
        <v>3204</v>
      </c>
    </row>
    <row r="328" spans="2:14" x14ac:dyDescent="0.3">
      <c r="B328" s="193">
        <v>3</v>
      </c>
      <c r="C328" s="193">
        <v>5000</v>
      </c>
      <c r="D328" s="193" t="s">
        <v>3207</v>
      </c>
      <c r="E328" s="193" t="s">
        <v>3195</v>
      </c>
      <c r="G328" s="193" t="s">
        <v>342</v>
      </c>
      <c r="H328" s="193" t="s">
        <v>3193</v>
      </c>
      <c r="I328" s="120" t="s">
        <v>688</v>
      </c>
      <c r="K328" s="240" t="s">
        <v>3297</v>
      </c>
      <c r="N328" s="193" t="s">
        <v>3219</v>
      </c>
    </row>
    <row r="329" spans="2:14" x14ac:dyDescent="0.3">
      <c r="B329" s="193">
        <v>3</v>
      </c>
      <c r="C329" s="193">
        <v>5000</v>
      </c>
      <c r="D329" s="193" t="s">
        <v>3207</v>
      </c>
      <c r="E329" s="193" t="s">
        <v>3196</v>
      </c>
      <c r="G329" s="193" t="s">
        <v>342</v>
      </c>
      <c r="H329" s="193" t="s">
        <v>3193</v>
      </c>
      <c r="I329" s="120" t="s">
        <v>688</v>
      </c>
      <c r="K329" s="240" t="s">
        <v>3296</v>
      </c>
      <c r="N329" s="193" t="s">
        <v>3204</v>
      </c>
    </row>
    <row r="330" spans="2:14" x14ac:dyDescent="0.3">
      <c r="B330" s="193">
        <v>3</v>
      </c>
      <c r="C330" s="193">
        <v>5000</v>
      </c>
      <c r="D330" s="193" t="s">
        <v>3030</v>
      </c>
      <c r="E330" s="193" t="s">
        <v>3192</v>
      </c>
      <c r="G330" s="193" t="s">
        <v>342</v>
      </c>
      <c r="H330" s="193" t="s">
        <v>3193</v>
      </c>
      <c r="I330" s="120" t="s">
        <v>688</v>
      </c>
      <c r="K330" s="240" t="s">
        <v>3298</v>
      </c>
      <c r="N330" s="193" t="s">
        <v>3208</v>
      </c>
    </row>
    <row r="331" spans="2:14" x14ac:dyDescent="0.3">
      <c r="B331" s="193">
        <v>3</v>
      </c>
      <c r="C331" s="193">
        <v>5000</v>
      </c>
      <c r="D331" s="193" t="s">
        <v>3030</v>
      </c>
      <c r="E331" s="193" t="s">
        <v>2935</v>
      </c>
      <c r="G331" s="193" t="s">
        <v>342</v>
      </c>
      <c r="H331" s="193" t="s">
        <v>3193</v>
      </c>
      <c r="I331" s="120" t="s">
        <v>688</v>
      </c>
      <c r="K331" s="240" t="s">
        <v>3298</v>
      </c>
      <c r="N331" s="193" t="s">
        <v>3208</v>
      </c>
    </row>
    <row r="332" spans="2:14" x14ac:dyDescent="0.3">
      <c r="B332" s="193">
        <v>3</v>
      </c>
      <c r="C332" s="193">
        <v>5000</v>
      </c>
      <c r="D332" s="193" t="s">
        <v>3030</v>
      </c>
      <c r="E332" s="193" t="s">
        <v>3195</v>
      </c>
      <c r="G332" s="193" t="s">
        <v>342</v>
      </c>
      <c r="H332" s="193" t="s">
        <v>3193</v>
      </c>
      <c r="I332" s="120" t="s">
        <v>688</v>
      </c>
      <c r="K332" s="240" t="s">
        <v>3299</v>
      </c>
      <c r="N332" s="193" t="s">
        <v>3210</v>
      </c>
    </row>
    <row r="333" spans="2:14" x14ac:dyDescent="0.3">
      <c r="B333" s="193">
        <v>3</v>
      </c>
      <c r="C333" s="193">
        <v>5000</v>
      </c>
      <c r="D333" s="193" t="s">
        <v>3030</v>
      </c>
      <c r="E333" s="193" t="s">
        <v>3196</v>
      </c>
      <c r="G333" s="193" t="s">
        <v>342</v>
      </c>
      <c r="H333" s="193" t="s">
        <v>3193</v>
      </c>
      <c r="I333" s="120" t="s">
        <v>688</v>
      </c>
      <c r="K333" s="240" t="s">
        <v>3298</v>
      </c>
      <c r="N333" s="193" t="s">
        <v>3208</v>
      </c>
    </row>
    <row r="334" spans="2:14" x14ac:dyDescent="0.3">
      <c r="B334" s="193">
        <v>3</v>
      </c>
      <c r="C334" s="193">
        <v>5000</v>
      </c>
      <c r="D334" s="193" t="s">
        <v>3192</v>
      </c>
      <c r="E334" s="193" t="s">
        <v>3192</v>
      </c>
      <c r="G334" s="193" t="s">
        <v>342</v>
      </c>
      <c r="H334" s="193" t="s">
        <v>3193</v>
      </c>
      <c r="I334" s="120" t="s">
        <v>688</v>
      </c>
      <c r="K334" s="240">
        <v>291850851</v>
      </c>
      <c r="N334" s="193" t="s">
        <v>3212</v>
      </c>
    </row>
    <row r="335" spans="2:14" x14ac:dyDescent="0.3">
      <c r="B335" s="193">
        <v>3</v>
      </c>
      <c r="C335" s="193">
        <v>5000</v>
      </c>
      <c r="D335" s="193" t="s">
        <v>3192</v>
      </c>
      <c r="E335" s="193" t="s">
        <v>2935</v>
      </c>
      <c r="G335" s="193" t="s">
        <v>342</v>
      </c>
      <c r="H335" s="193" t="s">
        <v>3193</v>
      </c>
      <c r="I335" s="120" t="s">
        <v>688</v>
      </c>
      <c r="K335" s="240">
        <v>291850851</v>
      </c>
      <c r="N335" s="193" t="s">
        <v>3212</v>
      </c>
    </row>
    <row r="336" spans="2:14" x14ac:dyDescent="0.3">
      <c r="B336" s="193">
        <v>3</v>
      </c>
      <c r="C336" s="193">
        <v>5000</v>
      </c>
      <c r="D336" s="193" t="s">
        <v>3192</v>
      </c>
      <c r="E336" s="193" t="s">
        <v>3195</v>
      </c>
      <c r="G336" s="193" t="s">
        <v>342</v>
      </c>
      <c r="H336" s="193" t="s">
        <v>3193</v>
      </c>
      <c r="I336" s="120" t="s">
        <v>688</v>
      </c>
      <c r="K336" s="240" t="s">
        <v>3300</v>
      </c>
      <c r="N336" s="193" t="s">
        <v>3214</v>
      </c>
    </row>
    <row r="337" spans="2:14" x14ac:dyDescent="0.3">
      <c r="B337" s="193">
        <v>3</v>
      </c>
      <c r="C337" s="193">
        <v>5000</v>
      </c>
      <c r="D337" s="193" t="s">
        <v>3192</v>
      </c>
      <c r="E337" s="193" t="s">
        <v>3196</v>
      </c>
      <c r="G337" s="193" t="s">
        <v>342</v>
      </c>
      <c r="H337" s="193" t="s">
        <v>3193</v>
      </c>
      <c r="I337" s="120" t="s">
        <v>688</v>
      </c>
      <c r="K337" s="240">
        <v>291850851</v>
      </c>
      <c r="N337" s="193" t="s">
        <v>3212</v>
      </c>
    </row>
    <row r="338" spans="2:14" x14ac:dyDescent="0.3">
      <c r="B338" s="193">
        <v>3</v>
      </c>
      <c r="C338" s="193">
        <v>7500</v>
      </c>
      <c r="D338" s="193" t="s">
        <v>3191</v>
      </c>
      <c r="E338" s="193" t="s">
        <v>3192</v>
      </c>
      <c r="G338" s="193" t="s">
        <v>342</v>
      </c>
      <c r="H338" s="193" t="s">
        <v>3193</v>
      </c>
      <c r="I338" s="120" t="s">
        <v>688</v>
      </c>
      <c r="K338" s="240">
        <v>292850851</v>
      </c>
      <c r="N338" s="193" t="s">
        <v>3194</v>
      </c>
    </row>
    <row r="339" spans="2:14" x14ac:dyDescent="0.3">
      <c r="B339" s="193">
        <v>3</v>
      </c>
      <c r="C339" s="193">
        <v>7500</v>
      </c>
      <c r="D339" s="193" t="s">
        <v>3191</v>
      </c>
      <c r="E339" s="193" t="s">
        <v>2935</v>
      </c>
      <c r="G339" s="193" t="s">
        <v>342</v>
      </c>
      <c r="H339" s="193" t="s">
        <v>3193</v>
      </c>
      <c r="I339" s="120" t="s">
        <v>688</v>
      </c>
      <c r="K339" s="240">
        <v>292850851</v>
      </c>
      <c r="N339" s="193" t="s">
        <v>3194</v>
      </c>
    </row>
    <row r="340" spans="2:14" x14ac:dyDescent="0.3">
      <c r="B340" s="193">
        <v>3</v>
      </c>
      <c r="C340" s="193">
        <v>7500</v>
      </c>
      <c r="D340" s="193" t="s">
        <v>3191</v>
      </c>
      <c r="E340" s="193" t="s">
        <v>3195</v>
      </c>
      <c r="G340" s="193" t="s">
        <v>342</v>
      </c>
      <c r="H340" s="193" t="s">
        <v>3193</v>
      </c>
      <c r="I340" s="120" t="s">
        <v>688</v>
      </c>
      <c r="K340" s="240" t="s">
        <v>3301</v>
      </c>
      <c r="N340" s="193" t="s">
        <v>3194</v>
      </c>
    </row>
    <row r="341" spans="2:14" x14ac:dyDescent="0.3">
      <c r="B341" s="193">
        <v>3</v>
      </c>
      <c r="C341" s="193">
        <v>7500</v>
      </c>
      <c r="D341" s="193" t="s">
        <v>3191</v>
      </c>
      <c r="E341" s="193" t="s">
        <v>3196</v>
      </c>
      <c r="G341" s="193" t="s">
        <v>342</v>
      </c>
      <c r="H341" s="193" t="s">
        <v>3193</v>
      </c>
      <c r="I341" s="120" t="s">
        <v>688</v>
      </c>
      <c r="K341" s="240">
        <v>292850851</v>
      </c>
      <c r="N341" s="193" t="s">
        <v>3194</v>
      </c>
    </row>
    <row r="342" spans="2:14" x14ac:dyDescent="0.3">
      <c r="B342" s="193">
        <v>3</v>
      </c>
      <c r="C342" s="193">
        <v>7500</v>
      </c>
      <c r="D342" s="193" t="s">
        <v>3196</v>
      </c>
      <c r="E342" s="193" t="s">
        <v>2935</v>
      </c>
      <c r="G342" s="193" t="s">
        <v>342</v>
      </c>
      <c r="H342" s="193" t="s">
        <v>3193</v>
      </c>
      <c r="I342" s="120" t="s">
        <v>688</v>
      </c>
      <c r="K342" s="240">
        <v>292850851</v>
      </c>
      <c r="N342" s="193" t="s">
        <v>3194</v>
      </c>
    </row>
    <row r="343" spans="2:14" x14ac:dyDescent="0.3">
      <c r="B343" s="193">
        <v>3</v>
      </c>
      <c r="C343" s="193">
        <v>7500</v>
      </c>
      <c r="D343" s="193" t="s">
        <v>3196</v>
      </c>
      <c r="E343" s="193" t="s">
        <v>3192</v>
      </c>
      <c r="G343" s="193" t="s">
        <v>342</v>
      </c>
      <c r="H343" s="193" t="s">
        <v>3193</v>
      </c>
      <c r="I343" s="120" t="s">
        <v>688</v>
      </c>
      <c r="K343" s="240">
        <v>292850851</v>
      </c>
      <c r="N343" s="193" t="s">
        <v>3194</v>
      </c>
    </row>
    <row r="344" spans="2:14" x14ac:dyDescent="0.3">
      <c r="B344" s="193">
        <v>3</v>
      </c>
      <c r="C344" s="193">
        <v>7500</v>
      </c>
      <c r="D344" s="193" t="s">
        <v>3196</v>
      </c>
      <c r="E344" s="193" t="s">
        <v>3195</v>
      </c>
      <c r="G344" s="193" t="s">
        <v>342</v>
      </c>
      <c r="H344" s="193" t="s">
        <v>3193</v>
      </c>
      <c r="I344" s="120" t="s">
        <v>688</v>
      </c>
      <c r="K344" s="240" t="s">
        <v>3301</v>
      </c>
      <c r="N344" s="193" t="s">
        <v>3194</v>
      </c>
    </row>
    <row r="345" spans="2:14" x14ac:dyDescent="0.3">
      <c r="B345" s="193">
        <v>3</v>
      </c>
      <c r="C345" s="193">
        <v>7500</v>
      </c>
      <c r="D345" s="193" t="s">
        <v>3196</v>
      </c>
      <c r="E345" s="193" t="s">
        <v>3196</v>
      </c>
      <c r="G345" s="193" t="s">
        <v>342</v>
      </c>
      <c r="H345" s="193" t="s">
        <v>3193</v>
      </c>
      <c r="I345" s="120" t="s">
        <v>688</v>
      </c>
      <c r="K345" s="240">
        <v>292850851</v>
      </c>
      <c r="N345" s="193" t="s">
        <v>3194</v>
      </c>
    </row>
    <row r="346" spans="2:14" x14ac:dyDescent="0.3">
      <c r="B346" s="193">
        <v>3</v>
      </c>
      <c r="C346" s="193">
        <v>7500</v>
      </c>
      <c r="D346" s="193" t="s">
        <v>3197</v>
      </c>
      <c r="E346" s="193" t="s">
        <v>3192</v>
      </c>
      <c r="G346" s="193" t="s">
        <v>342</v>
      </c>
      <c r="H346" s="193" t="s">
        <v>3193</v>
      </c>
      <c r="I346" s="120" t="s">
        <v>688</v>
      </c>
      <c r="K346" s="240" t="s">
        <v>3302</v>
      </c>
      <c r="N346" s="193" t="s">
        <v>3199</v>
      </c>
    </row>
    <row r="347" spans="2:14" x14ac:dyDescent="0.3">
      <c r="B347" s="193">
        <v>3</v>
      </c>
      <c r="C347" s="193">
        <v>7500</v>
      </c>
      <c r="D347" s="193" t="s">
        <v>3197</v>
      </c>
      <c r="E347" s="193" t="s">
        <v>2935</v>
      </c>
      <c r="G347" s="193" t="s">
        <v>342</v>
      </c>
      <c r="H347" s="193" t="s">
        <v>3193</v>
      </c>
      <c r="I347" s="120" t="s">
        <v>688</v>
      </c>
      <c r="K347" s="240" t="s">
        <v>3302</v>
      </c>
      <c r="N347" s="193" t="s">
        <v>3199</v>
      </c>
    </row>
    <row r="348" spans="2:14" x14ac:dyDescent="0.3">
      <c r="B348" s="193">
        <v>3</v>
      </c>
      <c r="C348" s="193">
        <v>7500</v>
      </c>
      <c r="D348" s="193" t="s">
        <v>3197</v>
      </c>
      <c r="E348" s="193" t="s">
        <v>3195</v>
      </c>
      <c r="G348" s="193" t="s">
        <v>342</v>
      </c>
      <c r="H348" s="193" t="s">
        <v>3193</v>
      </c>
      <c r="I348" s="120" t="s">
        <v>688</v>
      </c>
      <c r="K348" s="240" t="s">
        <v>3303</v>
      </c>
      <c r="N348" s="193" t="s">
        <v>3201</v>
      </c>
    </row>
    <row r="349" spans="2:14" x14ac:dyDescent="0.3">
      <c r="B349" s="193">
        <v>3</v>
      </c>
      <c r="C349" s="193">
        <v>7500</v>
      </c>
      <c r="D349" s="193" t="s">
        <v>3197</v>
      </c>
      <c r="E349" s="193" t="s">
        <v>3196</v>
      </c>
      <c r="G349" s="193" t="s">
        <v>342</v>
      </c>
      <c r="H349" s="193" t="s">
        <v>3193</v>
      </c>
      <c r="I349" s="120" t="s">
        <v>688</v>
      </c>
      <c r="K349" s="240" t="s">
        <v>3302</v>
      </c>
      <c r="N349" s="193" t="s">
        <v>3202</v>
      </c>
    </row>
    <row r="350" spans="2:14" x14ac:dyDescent="0.3">
      <c r="B350" s="193">
        <v>3</v>
      </c>
      <c r="C350" s="193">
        <v>7500</v>
      </c>
      <c r="D350" s="193" t="s">
        <v>2979</v>
      </c>
      <c r="E350" s="193" t="s">
        <v>3192</v>
      </c>
      <c r="G350" s="193" t="s">
        <v>342</v>
      </c>
      <c r="H350" s="193" t="s">
        <v>3193</v>
      </c>
      <c r="I350" s="120" t="s">
        <v>688</v>
      </c>
      <c r="K350" s="240" t="s">
        <v>3304</v>
      </c>
      <c r="N350" s="193" t="s">
        <v>3204</v>
      </c>
    </row>
    <row r="351" spans="2:14" x14ac:dyDescent="0.3">
      <c r="B351" s="193">
        <v>3</v>
      </c>
      <c r="C351" s="193">
        <v>7500</v>
      </c>
      <c r="D351" s="193" t="s">
        <v>2979</v>
      </c>
      <c r="E351" s="193" t="s">
        <v>2935</v>
      </c>
      <c r="G351" s="193" t="s">
        <v>342</v>
      </c>
      <c r="H351" s="193" t="s">
        <v>3193</v>
      </c>
      <c r="I351" s="120" t="s">
        <v>688</v>
      </c>
      <c r="K351" s="240" t="s">
        <v>3304</v>
      </c>
      <c r="N351" s="193" t="s">
        <v>3204</v>
      </c>
    </row>
    <row r="352" spans="2:14" x14ac:dyDescent="0.3">
      <c r="B352" s="193">
        <v>3</v>
      </c>
      <c r="C352" s="193">
        <v>7500</v>
      </c>
      <c r="D352" s="193" t="s">
        <v>2979</v>
      </c>
      <c r="E352" s="193" t="s">
        <v>3195</v>
      </c>
      <c r="G352" s="193" t="s">
        <v>342</v>
      </c>
      <c r="H352" s="193" t="s">
        <v>3193</v>
      </c>
      <c r="I352" s="120" t="s">
        <v>688</v>
      </c>
      <c r="K352" s="240" t="s">
        <v>3305</v>
      </c>
      <c r="N352" s="193" t="s">
        <v>3219</v>
      </c>
    </row>
    <row r="353" spans="2:14" x14ac:dyDescent="0.3">
      <c r="B353" s="193">
        <v>3</v>
      </c>
      <c r="C353" s="193">
        <v>7500</v>
      </c>
      <c r="D353" s="193" t="s">
        <v>2979</v>
      </c>
      <c r="E353" s="193" t="s">
        <v>3196</v>
      </c>
      <c r="G353" s="193" t="s">
        <v>342</v>
      </c>
      <c r="H353" s="193" t="s">
        <v>3193</v>
      </c>
      <c r="I353" s="120" t="s">
        <v>688</v>
      </c>
      <c r="K353" s="240" t="s">
        <v>3304</v>
      </c>
      <c r="N353" s="193" t="s">
        <v>3204</v>
      </c>
    </row>
    <row r="354" spans="2:14" x14ac:dyDescent="0.3">
      <c r="B354" s="193">
        <v>3</v>
      </c>
      <c r="C354" s="193">
        <v>7500</v>
      </c>
      <c r="D354" s="193" t="s">
        <v>3207</v>
      </c>
      <c r="E354" s="193" t="s">
        <v>3192</v>
      </c>
      <c r="G354" s="193" t="s">
        <v>342</v>
      </c>
      <c r="H354" s="193" t="s">
        <v>3193</v>
      </c>
      <c r="I354" s="120" t="s">
        <v>688</v>
      </c>
      <c r="K354" s="240" t="s">
        <v>3304</v>
      </c>
      <c r="N354" s="193" t="s">
        <v>3204</v>
      </c>
    </row>
    <row r="355" spans="2:14" x14ac:dyDescent="0.3">
      <c r="B355" s="193">
        <v>3</v>
      </c>
      <c r="C355" s="193">
        <v>7500</v>
      </c>
      <c r="D355" s="193" t="s">
        <v>3207</v>
      </c>
      <c r="E355" s="193" t="s">
        <v>2935</v>
      </c>
      <c r="G355" s="193" t="s">
        <v>342</v>
      </c>
      <c r="H355" s="193" t="s">
        <v>3193</v>
      </c>
      <c r="I355" s="120" t="s">
        <v>688</v>
      </c>
      <c r="K355" s="240" t="s">
        <v>3304</v>
      </c>
      <c r="N355" s="193" t="s">
        <v>3204</v>
      </c>
    </row>
    <row r="356" spans="2:14" x14ac:dyDescent="0.3">
      <c r="B356" s="193">
        <v>3</v>
      </c>
      <c r="C356" s="193">
        <v>7500</v>
      </c>
      <c r="D356" s="193" t="s">
        <v>3207</v>
      </c>
      <c r="E356" s="193" t="s">
        <v>3195</v>
      </c>
      <c r="G356" s="193" t="s">
        <v>342</v>
      </c>
      <c r="H356" s="193" t="s">
        <v>3193</v>
      </c>
      <c r="I356" s="120" t="s">
        <v>688</v>
      </c>
      <c r="K356" s="240" t="s">
        <v>3305</v>
      </c>
      <c r="N356" s="193" t="s">
        <v>3219</v>
      </c>
    </row>
    <row r="357" spans="2:14" x14ac:dyDescent="0.3">
      <c r="B357" s="193">
        <v>3</v>
      </c>
      <c r="C357" s="193">
        <v>7500</v>
      </c>
      <c r="D357" s="193" t="s">
        <v>3207</v>
      </c>
      <c r="E357" s="193" t="s">
        <v>3196</v>
      </c>
      <c r="G357" s="193" t="s">
        <v>342</v>
      </c>
      <c r="H357" s="193" t="s">
        <v>3193</v>
      </c>
      <c r="I357" s="120" t="s">
        <v>688</v>
      </c>
      <c r="K357" s="240" t="s">
        <v>3304</v>
      </c>
      <c r="N357" s="193" t="s">
        <v>3204</v>
      </c>
    </row>
    <row r="358" spans="2:14" x14ac:dyDescent="0.3">
      <c r="B358" s="193">
        <v>3</v>
      </c>
      <c r="C358" s="193">
        <v>7500</v>
      </c>
      <c r="D358" s="193" t="s">
        <v>3030</v>
      </c>
      <c r="E358" s="193" t="s">
        <v>3192</v>
      </c>
      <c r="G358" s="193" t="s">
        <v>342</v>
      </c>
      <c r="H358" s="193" t="s">
        <v>3193</v>
      </c>
      <c r="I358" s="120" t="s">
        <v>688</v>
      </c>
      <c r="K358" s="240" t="s">
        <v>3306</v>
      </c>
      <c r="N358" s="193" t="s">
        <v>3208</v>
      </c>
    </row>
    <row r="359" spans="2:14" x14ac:dyDescent="0.3">
      <c r="B359" s="193">
        <v>3</v>
      </c>
      <c r="C359" s="193">
        <v>7500</v>
      </c>
      <c r="D359" s="193" t="s">
        <v>3030</v>
      </c>
      <c r="E359" s="193" t="s">
        <v>2935</v>
      </c>
      <c r="G359" s="193" t="s">
        <v>342</v>
      </c>
      <c r="H359" s="193" t="s">
        <v>3193</v>
      </c>
      <c r="I359" s="120" t="s">
        <v>688</v>
      </c>
      <c r="K359" s="240" t="s">
        <v>3306</v>
      </c>
      <c r="N359" s="193" t="s">
        <v>3208</v>
      </c>
    </row>
    <row r="360" spans="2:14" x14ac:dyDescent="0.3">
      <c r="B360" s="193">
        <v>3</v>
      </c>
      <c r="C360" s="193">
        <v>7500</v>
      </c>
      <c r="D360" s="193" t="s">
        <v>3030</v>
      </c>
      <c r="E360" s="193" t="s">
        <v>3195</v>
      </c>
      <c r="G360" s="193" t="s">
        <v>342</v>
      </c>
      <c r="H360" s="193" t="s">
        <v>3193</v>
      </c>
      <c r="I360" s="120" t="s">
        <v>688</v>
      </c>
      <c r="K360" s="240" t="s">
        <v>3307</v>
      </c>
      <c r="N360" s="193" t="s">
        <v>3210</v>
      </c>
    </row>
    <row r="361" spans="2:14" x14ac:dyDescent="0.3">
      <c r="B361" s="193">
        <v>3</v>
      </c>
      <c r="C361" s="193">
        <v>7500</v>
      </c>
      <c r="D361" s="193" t="s">
        <v>3030</v>
      </c>
      <c r="E361" s="193" t="s">
        <v>3196</v>
      </c>
      <c r="G361" s="193" t="s">
        <v>342</v>
      </c>
      <c r="H361" s="193" t="s">
        <v>3193</v>
      </c>
      <c r="I361" s="120" t="s">
        <v>688</v>
      </c>
      <c r="K361" s="240" t="s">
        <v>3306</v>
      </c>
      <c r="N361" s="193" t="s">
        <v>3208</v>
      </c>
    </row>
    <row r="362" spans="2:14" x14ac:dyDescent="0.3">
      <c r="B362" s="193">
        <v>3</v>
      </c>
      <c r="C362" s="193">
        <v>7500</v>
      </c>
      <c r="D362" s="193" t="s">
        <v>3192</v>
      </c>
      <c r="E362" s="193" t="s">
        <v>3192</v>
      </c>
      <c r="G362" s="193" t="s">
        <v>342</v>
      </c>
      <c r="H362" s="193" t="s">
        <v>3193</v>
      </c>
      <c r="I362" s="120" t="s">
        <v>688</v>
      </c>
      <c r="K362" s="240">
        <v>292850851</v>
      </c>
      <c r="N362" s="193" t="s">
        <v>3212</v>
      </c>
    </row>
    <row r="363" spans="2:14" x14ac:dyDescent="0.3">
      <c r="B363" s="193">
        <v>3</v>
      </c>
      <c r="C363" s="193">
        <v>7500</v>
      </c>
      <c r="D363" s="193" t="s">
        <v>3192</v>
      </c>
      <c r="E363" s="193" t="s">
        <v>2935</v>
      </c>
      <c r="G363" s="193" t="s">
        <v>342</v>
      </c>
      <c r="H363" s="193" t="s">
        <v>3193</v>
      </c>
      <c r="I363" s="120" t="s">
        <v>688</v>
      </c>
      <c r="K363" s="240">
        <v>292850851</v>
      </c>
      <c r="N363" s="193" t="s">
        <v>3212</v>
      </c>
    </row>
    <row r="364" spans="2:14" x14ac:dyDescent="0.3">
      <c r="B364" s="193">
        <v>3</v>
      </c>
      <c r="C364" s="193">
        <v>7500</v>
      </c>
      <c r="D364" s="193" t="s">
        <v>3192</v>
      </c>
      <c r="E364" s="193" t="s">
        <v>3195</v>
      </c>
      <c r="G364" s="193" t="s">
        <v>342</v>
      </c>
      <c r="H364" s="193" t="s">
        <v>3193</v>
      </c>
      <c r="I364" s="120" t="s">
        <v>688</v>
      </c>
      <c r="K364" s="240" t="s">
        <v>3308</v>
      </c>
      <c r="N364" s="193" t="s">
        <v>3214</v>
      </c>
    </row>
    <row r="365" spans="2:14" x14ac:dyDescent="0.3">
      <c r="B365" s="193">
        <v>3</v>
      </c>
      <c r="C365" s="193">
        <v>7500</v>
      </c>
      <c r="D365" s="193" t="s">
        <v>3192</v>
      </c>
      <c r="E365" s="193" t="s">
        <v>3196</v>
      </c>
      <c r="G365" s="193" t="s">
        <v>342</v>
      </c>
      <c r="H365" s="193" t="s">
        <v>3193</v>
      </c>
      <c r="I365" s="120" t="s">
        <v>688</v>
      </c>
      <c r="K365" s="240">
        <v>292850851</v>
      </c>
      <c r="N365" s="193" t="s">
        <v>3212</v>
      </c>
    </row>
    <row r="366" spans="2:14" x14ac:dyDescent="0.3">
      <c r="B366" s="193">
        <v>3</v>
      </c>
      <c r="C366" s="193">
        <v>10000</v>
      </c>
      <c r="D366" s="193" t="s">
        <v>3191</v>
      </c>
      <c r="E366" s="193" t="s">
        <v>3192</v>
      </c>
      <c r="G366" s="193" t="s">
        <v>342</v>
      </c>
      <c r="H366" s="193" t="s">
        <v>3193</v>
      </c>
      <c r="I366" s="120" t="s">
        <v>688</v>
      </c>
      <c r="K366" s="240">
        <v>293850851</v>
      </c>
      <c r="N366" s="193" t="s">
        <v>3194</v>
      </c>
    </row>
    <row r="367" spans="2:14" x14ac:dyDescent="0.3">
      <c r="B367" s="193">
        <v>3</v>
      </c>
      <c r="C367" s="193">
        <v>10000</v>
      </c>
      <c r="D367" s="193" t="s">
        <v>3191</v>
      </c>
      <c r="E367" s="193" t="s">
        <v>2935</v>
      </c>
      <c r="G367" s="193" t="s">
        <v>342</v>
      </c>
      <c r="H367" s="193" t="s">
        <v>3193</v>
      </c>
      <c r="I367" s="120" t="s">
        <v>688</v>
      </c>
      <c r="K367" s="240">
        <v>293850851</v>
      </c>
      <c r="N367" s="193" t="s">
        <v>3194</v>
      </c>
    </row>
    <row r="368" spans="2:14" x14ac:dyDescent="0.3">
      <c r="B368" s="193">
        <v>3</v>
      </c>
      <c r="C368" s="193">
        <v>10000</v>
      </c>
      <c r="D368" s="193" t="s">
        <v>3191</v>
      </c>
      <c r="E368" s="193" t="s">
        <v>3195</v>
      </c>
      <c r="G368" s="193" t="s">
        <v>342</v>
      </c>
      <c r="H368" s="193" t="s">
        <v>3193</v>
      </c>
      <c r="I368" s="120" t="s">
        <v>688</v>
      </c>
      <c r="K368" s="240" t="s">
        <v>3309</v>
      </c>
      <c r="N368" s="193" t="s">
        <v>3194</v>
      </c>
    </row>
    <row r="369" spans="2:14" x14ac:dyDescent="0.3">
      <c r="B369" s="193">
        <v>3</v>
      </c>
      <c r="C369" s="193">
        <v>10000</v>
      </c>
      <c r="D369" s="193" t="s">
        <v>3191</v>
      </c>
      <c r="E369" s="193" t="s">
        <v>3196</v>
      </c>
      <c r="G369" s="193" t="s">
        <v>342</v>
      </c>
      <c r="H369" s="193" t="s">
        <v>3193</v>
      </c>
      <c r="I369" s="120" t="s">
        <v>688</v>
      </c>
      <c r="K369" s="240">
        <v>293850851</v>
      </c>
      <c r="N369" s="193" t="s">
        <v>3194</v>
      </c>
    </row>
    <row r="370" spans="2:14" x14ac:dyDescent="0.3">
      <c r="B370" s="193">
        <v>3</v>
      </c>
      <c r="C370" s="193">
        <v>10000</v>
      </c>
      <c r="D370" s="193" t="s">
        <v>3196</v>
      </c>
      <c r="E370" s="193" t="s">
        <v>2935</v>
      </c>
      <c r="G370" s="193" t="s">
        <v>342</v>
      </c>
      <c r="H370" s="193" t="s">
        <v>3193</v>
      </c>
      <c r="I370" s="120" t="s">
        <v>688</v>
      </c>
      <c r="K370" s="240">
        <v>293850851</v>
      </c>
      <c r="N370" s="193" t="s">
        <v>3194</v>
      </c>
    </row>
    <row r="371" spans="2:14" x14ac:dyDescent="0.3">
      <c r="B371" s="193">
        <v>3</v>
      </c>
      <c r="C371" s="193">
        <v>10000</v>
      </c>
      <c r="D371" s="193" t="s">
        <v>3196</v>
      </c>
      <c r="E371" s="193" t="s">
        <v>3192</v>
      </c>
      <c r="G371" s="193" t="s">
        <v>342</v>
      </c>
      <c r="H371" s="193" t="s">
        <v>3193</v>
      </c>
      <c r="I371" s="120" t="s">
        <v>688</v>
      </c>
      <c r="K371" s="240">
        <v>293850851</v>
      </c>
      <c r="N371" s="193" t="s">
        <v>3194</v>
      </c>
    </row>
    <row r="372" spans="2:14" x14ac:dyDescent="0.3">
      <c r="B372" s="193">
        <v>3</v>
      </c>
      <c r="C372" s="193">
        <v>10000</v>
      </c>
      <c r="D372" s="193" t="s">
        <v>3196</v>
      </c>
      <c r="E372" s="193" t="s">
        <v>3195</v>
      </c>
      <c r="G372" s="193" t="s">
        <v>342</v>
      </c>
      <c r="H372" s="193" t="s">
        <v>3193</v>
      </c>
      <c r="I372" s="120" t="s">
        <v>688</v>
      </c>
      <c r="K372" s="240" t="s">
        <v>3309</v>
      </c>
      <c r="N372" s="193" t="s">
        <v>3194</v>
      </c>
    </row>
    <row r="373" spans="2:14" x14ac:dyDescent="0.3">
      <c r="B373" s="193">
        <v>3</v>
      </c>
      <c r="C373" s="193">
        <v>10000</v>
      </c>
      <c r="D373" s="193" t="s">
        <v>3196</v>
      </c>
      <c r="E373" s="193" t="s">
        <v>3196</v>
      </c>
      <c r="G373" s="193" t="s">
        <v>342</v>
      </c>
      <c r="H373" s="193" t="s">
        <v>3193</v>
      </c>
      <c r="I373" s="120" t="s">
        <v>688</v>
      </c>
      <c r="K373" s="240">
        <v>293850851</v>
      </c>
      <c r="N373" s="193" t="s">
        <v>3194</v>
      </c>
    </row>
    <row r="374" spans="2:14" x14ac:dyDescent="0.3">
      <c r="B374" s="193">
        <v>3</v>
      </c>
      <c r="C374" s="193">
        <v>10000</v>
      </c>
      <c r="D374" s="193" t="s">
        <v>3197</v>
      </c>
      <c r="E374" s="193" t="s">
        <v>3192</v>
      </c>
      <c r="G374" s="193" t="s">
        <v>342</v>
      </c>
      <c r="H374" s="193" t="s">
        <v>3193</v>
      </c>
      <c r="I374" s="120" t="s">
        <v>688</v>
      </c>
      <c r="K374" s="240" t="s">
        <v>3310</v>
      </c>
      <c r="N374" s="193" t="s">
        <v>3199</v>
      </c>
    </row>
    <row r="375" spans="2:14" x14ac:dyDescent="0.3">
      <c r="B375" s="193">
        <v>3</v>
      </c>
      <c r="C375" s="193">
        <v>10000</v>
      </c>
      <c r="D375" s="193" t="s">
        <v>3197</v>
      </c>
      <c r="E375" s="193" t="s">
        <v>2935</v>
      </c>
      <c r="G375" s="193" t="s">
        <v>342</v>
      </c>
      <c r="H375" s="193" t="s">
        <v>3193</v>
      </c>
      <c r="I375" s="120" t="s">
        <v>688</v>
      </c>
      <c r="K375" s="240" t="s">
        <v>3310</v>
      </c>
      <c r="N375" s="193" t="s">
        <v>3199</v>
      </c>
    </row>
    <row r="376" spans="2:14" x14ac:dyDescent="0.3">
      <c r="B376" s="193">
        <v>3</v>
      </c>
      <c r="C376" s="193">
        <v>10000</v>
      </c>
      <c r="D376" s="193" t="s">
        <v>3197</v>
      </c>
      <c r="E376" s="193" t="s">
        <v>3195</v>
      </c>
      <c r="G376" s="193" t="s">
        <v>342</v>
      </c>
      <c r="H376" s="193" t="s">
        <v>3193</v>
      </c>
      <c r="I376" s="120" t="s">
        <v>688</v>
      </c>
      <c r="K376" s="240" t="s">
        <v>3311</v>
      </c>
      <c r="N376" s="193" t="s">
        <v>3201</v>
      </c>
    </row>
    <row r="377" spans="2:14" x14ac:dyDescent="0.3">
      <c r="B377" s="193">
        <v>3</v>
      </c>
      <c r="C377" s="193">
        <v>10000</v>
      </c>
      <c r="D377" s="193" t="s">
        <v>3197</v>
      </c>
      <c r="E377" s="193" t="s">
        <v>3196</v>
      </c>
      <c r="G377" s="193" t="s">
        <v>342</v>
      </c>
      <c r="H377" s="193" t="s">
        <v>3193</v>
      </c>
      <c r="I377" s="120" t="s">
        <v>688</v>
      </c>
      <c r="K377" s="240" t="s">
        <v>3310</v>
      </c>
      <c r="N377" s="193" t="s">
        <v>3202</v>
      </c>
    </row>
    <row r="378" spans="2:14" x14ac:dyDescent="0.3">
      <c r="B378" s="193">
        <v>3</v>
      </c>
      <c r="C378" s="193">
        <v>10000</v>
      </c>
      <c r="D378" s="193" t="s">
        <v>2979</v>
      </c>
      <c r="E378" s="193" t="s">
        <v>3192</v>
      </c>
      <c r="G378" s="193" t="s">
        <v>342</v>
      </c>
      <c r="H378" s="193" t="s">
        <v>3193</v>
      </c>
      <c r="I378" s="120" t="s">
        <v>688</v>
      </c>
      <c r="K378" s="240" t="s">
        <v>3312</v>
      </c>
      <c r="N378" s="193" t="s">
        <v>3204</v>
      </c>
    </row>
    <row r="379" spans="2:14" x14ac:dyDescent="0.3">
      <c r="B379" s="193">
        <v>3</v>
      </c>
      <c r="C379" s="193">
        <v>10000</v>
      </c>
      <c r="D379" s="193" t="s">
        <v>2979</v>
      </c>
      <c r="E379" s="193" t="s">
        <v>2935</v>
      </c>
      <c r="G379" s="193" t="s">
        <v>342</v>
      </c>
      <c r="H379" s="193" t="s">
        <v>3193</v>
      </c>
      <c r="I379" s="120" t="s">
        <v>688</v>
      </c>
      <c r="K379" s="240" t="s">
        <v>3312</v>
      </c>
      <c r="N379" s="193" t="s">
        <v>3204</v>
      </c>
    </row>
    <row r="380" spans="2:14" x14ac:dyDescent="0.3">
      <c r="B380" s="193">
        <v>3</v>
      </c>
      <c r="C380" s="193">
        <v>10000</v>
      </c>
      <c r="D380" s="193" t="s">
        <v>2979</v>
      </c>
      <c r="E380" s="193" t="s">
        <v>3195</v>
      </c>
      <c r="G380" s="193" t="s">
        <v>342</v>
      </c>
      <c r="H380" s="193" t="s">
        <v>3193</v>
      </c>
      <c r="I380" s="120" t="s">
        <v>688</v>
      </c>
      <c r="K380" s="240" t="s">
        <v>3313</v>
      </c>
      <c r="N380" s="193" t="s">
        <v>3219</v>
      </c>
    </row>
    <row r="381" spans="2:14" x14ac:dyDescent="0.3">
      <c r="B381" s="193">
        <v>3</v>
      </c>
      <c r="C381" s="193">
        <v>10000</v>
      </c>
      <c r="D381" s="193" t="s">
        <v>2979</v>
      </c>
      <c r="E381" s="193" t="s">
        <v>3196</v>
      </c>
      <c r="G381" s="193" t="s">
        <v>342</v>
      </c>
      <c r="H381" s="193" t="s">
        <v>3193</v>
      </c>
      <c r="I381" s="120" t="s">
        <v>688</v>
      </c>
      <c r="K381" s="240" t="s">
        <v>3312</v>
      </c>
      <c r="N381" s="193" t="s">
        <v>3204</v>
      </c>
    </row>
    <row r="382" spans="2:14" x14ac:dyDescent="0.3">
      <c r="B382" s="193">
        <v>3</v>
      </c>
      <c r="C382" s="193">
        <v>10000</v>
      </c>
      <c r="D382" s="193" t="s">
        <v>3207</v>
      </c>
      <c r="E382" s="193" t="s">
        <v>3192</v>
      </c>
      <c r="G382" s="193" t="s">
        <v>342</v>
      </c>
      <c r="H382" s="193" t="s">
        <v>3193</v>
      </c>
      <c r="I382" s="120" t="s">
        <v>688</v>
      </c>
      <c r="K382" s="240" t="s">
        <v>3312</v>
      </c>
      <c r="N382" s="193" t="s">
        <v>3204</v>
      </c>
    </row>
    <row r="383" spans="2:14" x14ac:dyDescent="0.3">
      <c r="B383" s="193">
        <v>3</v>
      </c>
      <c r="C383" s="193">
        <v>10000</v>
      </c>
      <c r="D383" s="193" t="s">
        <v>3207</v>
      </c>
      <c r="E383" s="193" t="s">
        <v>2935</v>
      </c>
      <c r="G383" s="193" t="s">
        <v>342</v>
      </c>
      <c r="H383" s="193" t="s">
        <v>3193</v>
      </c>
      <c r="I383" s="120" t="s">
        <v>688</v>
      </c>
      <c r="K383" s="240" t="s">
        <v>3312</v>
      </c>
      <c r="N383" s="193" t="s">
        <v>3204</v>
      </c>
    </row>
    <row r="384" spans="2:14" x14ac:dyDescent="0.3">
      <c r="B384" s="193">
        <v>3</v>
      </c>
      <c r="C384" s="193">
        <v>10000</v>
      </c>
      <c r="D384" s="193" t="s">
        <v>3207</v>
      </c>
      <c r="E384" s="193" t="s">
        <v>3195</v>
      </c>
      <c r="G384" s="193" t="s">
        <v>342</v>
      </c>
      <c r="H384" s="193" t="s">
        <v>3193</v>
      </c>
      <c r="I384" s="120" t="s">
        <v>688</v>
      </c>
      <c r="K384" s="240" t="s">
        <v>3313</v>
      </c>
      <c r="N384" s="193" t="s">
        <v>3219</v>
      </c>
    </row>
    <row r="385" spans="2:14" x14ac:dyDescent="0.3">
      <c r="B385" s="193">
        <v>3</v>
      </c>
      <c r="C385" s="193">
        <v>10000</v>
      </c>
      <c r="D385" s="193" t="s">
        <v>3207</v>
      </c>
      <c r="E385" s="193" t="s">
        <v>3196</v>
      </c>
      <c r="G385" s="193" t="s">
        <v>342</v>
      </c>
      <c r="H385" s="193" t="s">
        <v>3193</v>
      </c>
      <c r="I385" s="120" t="s">
        <v>688</v>
      </c>
      <c r="K385" s="240" t="s">
        <v>3312</v>
      </c>
      <c r="N385" s="193" t="s">
        <v>3204</v>
      </c>
    </row>
    <row r="386" spans="2:14" x14ac:dyDescent="0.3">
      <c r="B386" s="193">
        <v>3</v>
      </c>
      <c r="C386" s="193">
        <v>10000</v>
      </c>
      <c r="D386" s="193" t="s">
        <v>3030</v>
      </c>
      <c r="E386" s="193" t="s">
        <v>3192</v>
      </c>
      <c r="G386" s="193" t="s">
        <v>342</v>
      </c>
      <c r="H386" s="193" t="s">
        <v>3193</v>
      </c>
      <c r="I386" s="120" t="s">
        <v>688</v>
      </c>
      <c r="K386" s="240" t="s">
        <v>3314</v>
      </c>
      <c r="N386" s="193" t="s">
        <v>3208</v>
      </c>
    </row>
    <row r="387" spans="2:14" x14ac:dyDescent="0.3">
      <c r="B387" s="193">
        <v>3</v>
      </c>
      <c r="C387" s="193">
        <v>10000</v>
      </c>
      <c r="D387" s="193" t="s">
        <v>3030</v>
      </c>
      <c r="E387" s="193" t="s">
        <v>2935</v>
      </c>
      <c r="G387" s="193" t="s">
        <v>342</v>
      </c>
      <c r="H387" s="193" t="s">
        <v>3193</v>
      </c>
      <c r="I387" s="120" t="s">
        <v>688</v>
      </c>
      <c r="K387" s="240" t="s">
        <v>3314</v>
      </c>
      <c r="N387" s="193" t="s">
        <v>3208</v>
      </c>
    </row>
    <row r="388" spans="2:14" x14ac:dyDescent="0.3">
      <c r="B388" s="193">
        <v>3</v>
      </c>
      <c r="C388" s="193">
        <v>10000</v>
      </c>
      <c r="D388" s="193" t="s">
        <v>3030</v>
      </c>
      <c r="E388" s="193" t="s">
        <v>3195</v>
      </c>
      <c r="G388" s="193" t="s">
        <v>342</v>
      </c>
      <c r="H388" s="193" t="s">
        <v>3193</v>
      </c>
      <c r="I388" s="120" t="s">
        <v>688</v>
      </c>
      <c r="K388" s="240" t="s">
        <v>3315</v>
      </c>
      <c r="N388" s="193" t="s">
        <v>3210</v>
      </c>
    </row>
    <row r="389" spans="2:14" x14ac:dyDescent="0.3">
      <c r="B389" s="193">
        <v>3</v>
      </c>
      <c r="C389" s="193">
        <v>10000</v>
      </c>
      <c r="D389" s="193" t="s">
        <v>3030</v>
      </c>
      <c r="E389" s="193" t="s">
        <v>3196</v>
      </c>
      <c r="G389" s="193" t="s">
        <v>342</v>
      </c>
      <c r="H389" s="193" t="s">
        <v>3193</v>
      </c>
      <c r="I389" s="120" t="s">
        <v>688</v>
      </c>
      <c r="K389" s="240" t="s">
        <v>3314</v>
      </c>
      <c r="N389" s="193" t="s">
        <v>3208</v>
      </c>
    </row>
    <row r="390" spans="2:14" x14ac:dyDescent="0.3">
      <c r="B390" s="193">
        <v>3</v>
      </c>
      <c r="C390" s="193">
        <v>10000</v>
      </c>
      <c r="D390" s="193" t="s">
        <v>3192</v>
      </c>
      <c r="E390" s="193" t="s">
        <v>3192</v>
      </c>
      <c r="G390" s="193" t="s">
        <v>342</v>
      </c>
      <c r="H390" s="193" t="s">
        <v>3193</v>
      </c>
      <c r="I390" s="120" t="s">
        <v>688</v>
      </c>
      <c r="K390" s="240">
        <v>293850851</v>
      </c>
      <c r="N390" s="193" t="s">
        <v>3212</v>
      </c>
    </row>
    <row r="391" spans="2:14" x14ac:dyDescent="0.3">
      <c r="B391" s="193">
        <v>3</v>
      </c>
      <c r="C391" s="193">
        <v>10000</v>
      </c>
      <c r="D391" s="193" t="s">
        <v>3192</v>
      </c>
      <c r="E391" s="193" t="s">
        <v>2935</v>
      </c>
      <c r="G391" s="193" t="s">
        <v>342</v>
      </c>
      <c r="H391" s="193" t="s">
        <v>3193</v>
      </c>
      <c r="I391" s="120" t="s">
        <v>688</v>
      </c>
      <c r="K391" s="240">
        <v>293850851</v>
      </c>
      <c r="N391" s="193" t="s">
        <v>3212</v>
      </c>
    </row>
    <row r="392" spans="2:14" x14ac:dyDescent="0.3">
      <c r="B392" s="193">
        <v>3</v>
      </c>
      <c r="C392" s="193">
        <v>10000</v>
      </c>
      <c r="D392" s="193" t="s">
        <v>3192</v>
      </c>
      <c r="E392" s="193" t="s">
        <v>3195</v>
      </c>
      <c r="G392" s="193" t="s">
        <v>342</v>
      </c>
      <c r="H392" s="193" t="s">
        <v>3193</v>
      </c>
      <c r="I392" s="120" t="s">
        <v>688</v>
      </c>
      <c r="K392" s="240" t="s">
        <v>3316</v>
      </c>
      <c r="N392" s="193" t="s">
        <v>3214</v>
      </c>
    </row>
    <row r="393" spans="2:14" x14ac:dyDescent="0.3">
      <c r="B393" s="193">
        <v>3</v>
      </c>
      <c r="C393" s="193">
        <v>10000</v>
      </c>
      <c r="D393" s="193" t="s">
        <v>3192</v>
      </c>
      <c r="E393" s="193" t="s">
        <v>3196</v>
      </c>
      <c r="G393" s="193" t="s">
        <v>342</v>
      </c>
      <c r="H393" s="193" t="s">
        <v>3193</v>
      </c>
      <c r="I393" s="120" t="s">
        <v>688</v>
      </c>
      <c r="K393" s="240">
        <v>293850851</v>
      </c>
      <c r="N393" s="193" t="s">
        <v>3212</v>
      </c>
    </row>
    <row r="394" spans="2:14" x14ac:dyDescent="0.3">
      <c r="B394" s="193">
        <v>3</v>
      </c>
      <c r="C394" s="193">
        <v>15000</v>
      </c>
      <c r="D394" s="193" t="s">
        <v>3191</v>
      </c>
      <c r="E394" s="193" t="s">
        <v>3192</v>
      </c>
      <c r="G394" s="193" t="s">
        <v>342</v>
      </c>
      <c r="H394" s="193" t="s">
        <v>3193</v>
      </c>
      <c r="I394" s="120" t="s">
        <v>688</v>
      </c>
      <c r="K394" s="240">
        <v>294850851</v>
      </c>
      <c r="N394" s="193" t="s">
        <v>3194</v>
      </c>
    </row>
    <row r="395" spans="2:14" x14ac:dyDescent="0.3">
      <c r="B395" s="193">
        <v>3</v>
      </c>
      <c r="C395" s="193">
        <v>15000</v>
      </c>
      <c r="D395" s="193" t="s">
        <v>3191</v>
      </c>
      <c r="E395" s="193" t="s">
        <v>2935</v>
      </c>
      <c r="G395" s="193" t="s">
        <v>342</v>
      </c>
      <c r="H395" s="193" t="s">
        <v>3193</v>
      </c>
      <c r="I395" s="120" t="s">
        <v>688</v>
      </c>
      <c r="K395" s="240">
        <v>294850851</v>
      </c>
      <c r="N395" s="193" t="s">
        <v>3194</v>
      </c>
    </row>
    <row r="396" spans="2:14" x14ac:dyDescent="0.3">
      <c r="B396" s="193">
        <v>3</v>
      </c>
      <c r="C396" s="193">
        <v>15000</v>
      </c>
      <c r="D396" s="193" t="s">
        <v>3191</v>
      </c>
      <c r="E396" s="193" t="s">
        <v>3195</v>
      </c>
      <c r="G396" s="193" t="s">
        <v>342</v>
      </c>
      <c r="H396" s="193" t="s">
        <v>3193</v>
      </c>
      <c r="I396" s="120" t="s">
        <v>688</v>
      </c>
      <c r="K396" s="240" t="s">
        <v>3317</v>
      </c>
      <c r="N396" s="193" t="s">
        <v>3194</v>
      </c>
    </row>
    <row r="397" spans="2:14" x14ac:dyDescent="0.3">
      <c r="B397" s="193">
        <v>3</v>
      </c>
      <c r="C397" s="193">
        <v>15000</v>
      </c>
      <c r="D397" s="193" t="s">
        <v>3191</v>
      </c>
      <c r="E397" s="193" t="s">
        <v>3196</v>
      </c>
      <c r="G397" s="193" t="s">
        <v>342</v>
      </c>
      <c r="H397" s="193" t="s">
        <v>3193</v>
      </c>
      <c r="I397" s="120" t="s">
        <v>688</v>
      </c>
      <c r="K397" s="240">
        <v>294850851</v>
      </c>
      <c r="N397" s="193" t="s">
        <v>3194</v>
      </c>
    </row>
    <row r="398" spans="2:14" x14ac:dyDescent="0.3">
      <c r="B398" s="193">
        <v>3</v>
      </c>
      <c r="C398" s="193">
        <v>15000</v>
      </c>
      <c r="D398" s="193" t="s">
        <v>3196</v>
      </c>
      <c r="E398" s="193" t="s">
        <v>2935</v>
      </c>
      <c r="G398" s="193" t="s">
        <v>342</v>
      </c>
      <c r="H398" s="193" t="s">
        <v>3193</v>
      </c>
      <c r="I398" s="120" t="s">
        <v>688</v>
      </c>
      <c r="K398" s="240">
        <v>294850851</v>
      </c>
      <c r="N398" s="193" t="s">
        <v>3194</v>
      </c>
    </row>
    <row r="399" spans="2:14" x14ac:dyDescent="0.3">
      <c r="B399" s="193">
        <v>3</v>
      </c>
      <c r="C399" s="193">
        <v>15000</v>
      </c>
      <c r="D399" s="193" t="s">
        <v>3196</v>
      </c>
      <c r="E399" s="193" t="s">
        <v>3192</v>
      </c>
      <c r="G399" s="193" t="s">
        <v>342</v>
      </c>
      <c r="H399" s="193" t="s">
        <v>3193</v>
      </c>
      <c r="I399" s="120" t="s">
        <v>688</v>
      </c>
      <c r="K399" s="240">
        <v>294850851</v>
      </c>
      <c r="N399" s="193" t="s">
        <v>3194</v>
      </c>
    </row>
    <row r="400" spans="2:14" x14ac:dyDescent="0.3">
      <c r="B400" s="193">
        <v>3</v>
      </c>
      <c r="C400" s="193">
        <v>15000</v>
      </c>
      <c r="D400" s="193" t="s">
        <v>3196</v>
      </c>
      <c r="E400" s="193" t="s">
        <v>3195</v>
      </c>
      <c r="G400" s="193" t="s">
        <v>342</v>
      </c>
      <c r="H400" s="193" t="s">
        <v>3193</v>
      </c>
      <c r="I400" s="120" t="s">
        <v>688</v>
      </c>
      <c r="K400" s="240" t="s">
        <v>3317</v>
      </c>
      <c r="N400" s="193" t="s">
        <v>3194</v>
      </c>
    </row>
    <row r="401" spans="2:14" x14ac:dyDescent="0.3">
      <c r="B401" s="193">
        <v>3</v>
      </c>
      <c r="C401" s="193">
        <v>15000</v>
      </c>
      <c r="D401" s="193" t="s">
        <v>3196</v>
      </c>
      <c r="E401" s="193" t="s">
        <v>3196</v>
      </c>
      <c r="G401" s="193" t="s">
        <v>342</v>
      </c>
      <c r="H401" s="193" t="s">
        <v>3193</v>
      </c>
      <c r="I401" s="120" t="s">
        <v>688</v>
      </c>
      <c r="K401" s="240">
        <v>294850851</v>
      </c>
      <c r="N401" s="193" t="s">
        <v>3194</v>
      </c>
    </row>
    <row r="402" spans="2:14" x14ac:dyDescent="0.3">
      <c r="B402" s="193">
        <v>3</v>
      </c>
      <c r="C402" s="193">
        <v>15000</v>
      </c>
      <c r="D402" s="193" t="s">
        <v>3197</v>
      </c>
      <c r="E402" s="193" t="s">
        <v>3192</v>
      </c>
      <c r="G402" s="193" t="s">
        <v>342</v>
      </c>
      <c r="H402" s="193" t="s">
        <v>3193</v>
      </c>
      <c r="I402" s="120" t="s">
        <v>688</v>
      </c>
      <c r="K402" s="240" t="s">
        <v>3318</v>
      </c>
      <c r="N402" s="193" t="s">
        <v>3199</v>
      </c>
    </row>
    <row r="403" spans="2:14" x14ac:dyDescent="0.3">
      <c r="B403" s="193">
        <v>3</v>
      </c>
      <c r="C403" s="193">
        <v>15000</v>
      </c>
      <c r="D403" s="193" t="s">
        <v>3197</v>
      </c>
      <c r="E403" s="193" t="s">
        <v>2935</v>
      </c>
      <c r="G403" s="193" t="s">
        <v>342</v>
      </c>
      <c r="H403" s="193" t="s">
        <v>3193</v>
      </c>
      <c r="I403" s="120" t="s">
        <v>688</v>
      </c>
      <c r="K403" s="240" t="s">
        <v>3318</v>
      </c>
      <c r="N403" s="193" t="s">
        <v>3199</v>
      </c>
    </row>
    <row r="404" spans="2:14" x14ac:dyDescent="0.3">
      <c r="B404" s="193">
        <v>3</v>
      </c>
      <c r="C404" s="193">
        <v>15000</v>
      </c>
      <c r="D404" s="193" t="s">
        <v>3197</v>
      </c>
      <c r="E404" s="193" t="s">
        <v>3195</v>
      </c>
      <c r="G404" s="193" t="s">
        <v>342</v>
      </c>
      <c r="H404" s="193" t="s">
        <v>3193</v>
      </c>
      <c r="I404" s="120" t="s">
        <v>688</v>
      </c>
      <c r="K404" s="240" t="s">
        <v>3319</v>
      </c>
      <c r="N404" s="193" t="s">
        <v>3201</v>
      </c>
    </row>
    <row r="405" spans="2:14" x14ac:dyDescent="0.3">
      <c r="B405" s="193">
        <v>3</v>
      </c>
      <c r="C405" s="193">
        <v>15000</v>
      </c>
      <c r="D405" s="193" t="s">
        <v>3197</v>
      </c>
      <c r="E405" s="193" t="s">
        <v>3196</v>
      </c>
      <c r="G405" s="193" t="s">
        <v>342</v>
      </c>
      <c r="H405" s="193" t="s">
        <v>3193</v>
      </c>
      <c r="I405" s="120" t="s">
        <v>688</v>
      </c>
      <c r="K405" s="240" t="s">
        <v>3318</v>
      </c>
      <c r="N405" s="193" t="s">
        <v>3202</v>
      </c>
    </row>
    <row r="406" spans="2:14" x14ac:dyDescent="0.3">
      <c r="B406" s="193">
        <v>3</v>
      </c>
      <c r="C406" s="193">
        <v>15000</v>
      </c>
      <c r="D406" s="193" t="s">
        <v>2979</v>
      </c>
      <c r="E406" s="193" t="s">
        <v>3192</v>
      </c>
      <c r="G406" s="193" t="s">
        <v>342</v>
      </c>
      <c r="H406" s="193" t="s">
        <v>3193</v>
      </c>
      <c r="I406" s="120" t="s">
        <v>688</v>
      </c>
      <c r="K406" s="240" t="s">
        <v>3320</v>
      </c>
      <c r="N406" s="193" t="s">
        <v>3204</v>
      </c>
    </row>
    <row r="407" spans="2:14" x14ac:dyDescent="0.3">
      <c r="B407" s="193">
        <v>3</v>
      </c>
      <c r="C407" s="193">
        <v>15000</v>
      </c>
      <c r="D407" s="193" t="s">
        <v>2979</v>
      </c>
      <c r="E407" s="193" t="s">
        <v>2935</v>
      </c>
      <c r="G407" s="193" t="s">
        <v>342</v>
      </c>
      <c r="H407" s="193" t="s">
        <v>3193</v>
      </c>
      <c r="I407" s="120" t="s">
        <v>688</v>
      </c>
      <c r="K407" s="240" t="s">
        <v>3320</v>
      </c>
      <c r="N407" s="193" t="s">
        <v>3204</v>
      </c>
    </row>
    <row r="408" spans="2:14" x14ac:dyDescent="0.3">
      <c r="B408" s="193">
        <v>3</v>
      </c>
      <c r="C408" s="193">
        <v>15000</v>
      </c>
      <c r="D408" s="193" t="s">
        <v>2979</v>
      </c>
      <c r="E408" s="193" t="s">
        <v>3195</v>
      </c>
      <c r="G408" s="193" t="s">
        <v>342</v>
      </c>
      <c r="H408" s="193" t="s">
        <v>3193</v>
      </c>
      <c r="I408" s="120" t="s">
        <v>688</v>
      </c>
      <c r="K408" s="240" t="s">
        <v>3321</v>
      </c>
      <c r="N408" s="193" t="s">
        <v>3219</v>
      </c>
    </row>
    <row r="409" spans="2:14" x14ac:dyDescent="0.3">
      <c r="B409" s="193">
        <v>3</v>
      </c>
      <c r="C409" s="193">
        <v>15000</v>
      </c>
      <c r="D409" s="193" t="s">
        <v>2979</v>
      </c>
      <c r="E409" s="193" t="s">
        <v>3196</v>
      </c>
      <c r="G409" s="193" t="s">
        <v>342</v>
      </c>
      <c r="H409" s="193" t="s">
        <v>3193</v>
      </c>
      <c r="I409" s="120" t="s">
        <v>688</v>
      </c>
      <c r="K409" s="240" t="s">
        <v>3320</v>
      </c>
      <c r="N409" s="193" t="s">
        <v>3204</v>
      </c>
    </row>
    <row r="410" spans="2:14" x14ac:dyDescent="0.3">
      <c r="B410" s="193">
        <v>3</v>
      </c>
      <c r="C410" s="193">
        <v>15000</v>
      </c>
      <c r="D410" s="193" t="s">
        <v>3207</v>
      </c>
      <c r="E410" s="193" t="s">
        <v>3192</v>
      </c>
      <c r="G410" s="193" t="s">
        <v>342</v>
      </c>
      <c r="H410" s="193" t="s">
        <v>3193</v>
      </c>
      <c r="I410" s="120" t="s">
        <v>688</v>
      </c>
      <c r="K410" s="240" t="s">
        <v>3320</v>
      </c>
      <c r="N410" s="193" t="s">
        <v>3204</v>
      </c>
    </row>
    <row r="411" spans="2:14" x14ac:dyDescent="0.3">
      <c r="B411" s="193">
        <v>3</v>
      </c>
      <c r="C411" s="193">
        <v>15000</v>
      </c>
      <c r="D411" s="193" t="s">
        <v>3207</v>
      </c>
      <c r="E411" s="193" t="s">
        <v>2935</v>
      </c>
      <c r="G411" s="193" t="s">
        <v>342</v>
      </c>
      <c r="H411" s="193" t="s">
        <v>3193</v>
      </c>
      <c r="I411" s="120" t="s">
        <v>688</v>
      </c>
      <c r="K411" s="240" t="s">
        <v>3320</v>
      </c>
      <c r="N411" s="193" t="s">
        <v>3204</v>
      </c>
    </row>
    <row r="412" spans="2:14" x14ac:dyDescent="0.3">
      <c r="B412" s="193">
        <v>3</v>
      </c>
      <c r="C412" s="193">
        <v>15000</v>
      </c>
      <c r="D412" s="193" t="s">
        <v>3207</v>
      </c>
      <c r="E412" s="193" t="s">
        <v>3195</v>
      </c>
      <c r="G412" s="193" t="s">
        <v>342</v>
      </c>
      <c r="H412" s="193" t="s">
        <v>3193</v>
      </c>
      <c r="I412" s="120" t="s">
        <v>688</v>
      </c>
      <c r="K412" s="240" t="s">
        <v>3321</v>
      </c>
      <c r="N412" s="193" t="s">
        <v>3219</v>
      </c>
    </row>
    <row r="413" spans="2:14" x14ac:dyDescent="0.3">
      <c r="B413" s="193">
        <v>3</v>
      </c>
      <c r="C413" s="193">
        <v>15000</v>
      </c>
      <c r="D413" s="193" t="s">
        <v>3207</v>
      </c>
      <c r="E413" s="193" t="s">
        <v>3196</v>
      </c>
      <c r="G413" s="193" t="s">
        <v>342</v>
      </c>
      <c r="H413" s="193" t="s">
        <v>3193</v>
      </c>
      <c r="I413" s="120" t="s">
        <v>688</v>
      </c>
      <c r="K413" s="240" t="s">
        <v>3274</v>
      </c>
      <c r="N413" s="193" t="s">
        <v>3204</v>
      </c>
    </row>
    <row r="414" spans="2:14" x14ac:dyDescent="0.3">
      <c r="B414" s="193">
        <v>3</v>
      </c>
      <c r="C414" s="193">
        <v>15000</v>
      </c>
      <c r="D414" s="193" t="s">
        <v>3030</v>
      </c>
      <c r="E414" s="193" t="s">
        <v>3192</v>
      </c>
      <c r="G414" s="193" t="s">
        <v>342</v>
      </c>
      <c r="H414" s="193" t="s">
        <v>3193</v>
      </c>
      <c r="I414" s="120" t="s">
        <v>688</v>
      </c>
      <c r="K414" s="240" t="s">
        <v>3322</v>
      </c>
      <c r="N414" s="193" t="s">
        <v>3208</v>
      </c>
    </row>
    <row r="415" spans="2:14" x14ac:dyDescent="0.3">
      <c r="B415" s="193">
        <v>3</v>
      </c>
      <c r="C415" s="193">
        <v>15000</v>
      </c>
      <c r="D415" s="193" t="s">
        <v>3030</v>
      </c>
      <c r="E415" s="193" t="s">
        <v>2935</v>
      </c>
      <c r="G415" s="193" t="s">
        <v>342</v>
      </c>
      <c r="H415" s="193" t="s">
        <v>3193</v>
      </c>
      <c r="I415" s="120" t="s">
        <v>688</v>
      </c>
      <c r="K415" s="240" t="s">
        <v>3322</v>
      </c>
      <c r="N415" s="193" t="s">
        <v>3208</v>
      </c>
    </row>
    <row r="416" spans="2:14" x14ac:dyDescent="0.3">
      <c r="B416" s="193">
        <v>3</v>
      </c>
      <c r="C416" s="193">
        <v>15000</v>
      </c>
      <c r="D416" s="193" t="s">
        <v>3030</v>
      </c>
      <c r="E416" s="193" t="s">
        <v>3195</v>
      </c>
      <c r="G416" s="193" t="s">
        <v>342</v>
      </c>
      <c r="H416" s="193" t="s">
        <v>3193</v>
      </c>
      <c r="I416" s="120" t="s">
        <v>688</v>
      </c>
      <c r="K416" s="240" t="s">
        <v>3323</v>
      </c>
      <c r="N416" s="193" t="s">
        <v>3210</v>
      </c>
    </row>
    <row r="417" spans="2:16" x14ac:dyDescent="0.3">
      <c r="B417" s="193">
        <v>3</v>
      </c>
      <c r="C417" s="193">
        <v>15000</v>
      </c>
      <c r="D417" s="193" t="s">
        <v>3030</v>
      </c>
      <c r="E417" s="193" t="s">
        <v>3196</v>
      </c>
      <c r="G417" s="193" t="s">
        <v>342</v>
      </c>
      <c r="H417" s="193" t="s">
        <v>3193</v>
      </c>
      <c r="I417" s="120" t="s">
        <v>688</v>
      </c>
      <c r="K417" s="240" t="s">
        <v>3322</v>
      </c>
      <c r="N417" s="193" t="s">
        <v>3208</v>
      </c>
    </row>
    <row r="418" spans="2:16" x14ac:dyDescent="0.3">
      <c r="B418" s="193">
        <v>3</v>
      </c>
      <c r="C418" s="193">
        <v>15000</v>
      </c>
      <c r="D418" s="193" t="s">
        <v>3192</v>
      </c>
      <c r="E418" s="193" t="s">
        <v>3192</v>
      </c>
      <c r="G418" s="193" t="s">
        <v>342</v>
      </c>
      <c r="H418" s="193" t="s">
        <v>3193</v>
      </c>
      <c r="I418" s="120" t="s">
        <v>688</v>
      </c>
      <c r="K418" s="240">
        <v>294850851</v>
      </c>
      <c r="N418" s="193" t="s">
        <v>3212</v>
      </c>
    </row>
    <row r="419" spans="2:16" x14ac:dyDescent="0.3">
      <c r="B419" s="193">
        <v>3</v>
      </c>
      <c r="C419" s="193">
        <v>15000</v>
      </c>
      <c r="D419" s="193" t="s">
        <v>3192</v>
      </c>
      <c r="E419" s="193" t="s">
        <v>2935</v>
      </c>
      <c r="G419" s="193" t="s">
        <v>342</v>
      </c>
      <c r="H419" s="193" t="s">
        <v>3193</v>
      </c>
      <c r="I419" s="120" t="s">
        <v>688</v>
      </c>
      <c r="K419" s="240">
        <v>294850851</v>
      </c>
      <c r="N419" s="193" t="s">
        <v>3212</v>
      </c>
    </row>
    <row r="420" spans="2:16" x14ac:dyDescent="0.3">
      <c r="B420" s="193">
        <v>3</v>
      </c>
      <c r="C420" s="193">
        <v>15000</v>
      </c>
      <c r="D420" s="193" t="s">
        <v>3192</v>
      </c>
      <c r="E420" s="193" t="s">
        <v>3195</v>
      </c>
      <c r="G420" s="193" t="s">
        <v>342</v>
      </c>
      <c r="H420" s="193" t="s">
        <v>3193</v>
      </c>
      <c r="I420" s="120" t="s">
        <v>688</v>
      </c>
      <c r="K420" s="240" t="s">
        <v>3324</v>
      </c>
      <c r="N420" s="193" t="s">
        <v>3214</v>
      </c>
    </row>
    <row r="421" spans="2:16" x14ac:dyDescent="0.3">
      <c r="B421" s="193">
        <v>3</v>
      </c>
      <c r="C421" s="193">
        <v>15000</v>
      </c>
      <c r="D421" s="193" t="s">
        <v>3192</v>
      </c>
      <c r="E421" s="193" t="s">
        <v>3196</v>
      </c>
      <c r="G421" s="193" t="s">
        <v>342</v>
      </c>
      <c r="H421" s="193" t="s">
        <v>3193</v>
      </c>
      <c r="I421" s="120" t="s">
        <v>688</v>
      </c>
      <c r="K421" s="240">
        <v>294850851</v>
      </c>
      <c r="N421" s="193" t="s">
        <v>3212</v>
      </c>
    </row>
    <row r="422" spans="2:16" x14ac:dyDescent="0.3">
      <c r="B422" s="193">
        <v>6</v>
      </c>
      <c r="C422" s="193">
        <v>1000</v>
      </c>
      <c r="D422" s="193" t="s">
        <v>3191</v>
      </c>
      <c r="E422" s="193" t="s">
        <v>3192</v>
      </c>
      <c r="G422" s="193" t="s">
        <v>342</v>
      </c>
      <c r="H422" s="193" t="s">
        <v>3193</v>
      </c>
      <c r="I422" s="120" t="s">
        <v>688</v>
      </c>
      <c r="K422" s="240">
        <v>295850851</v>
      </c>
      <c r="N422" s="193" t="s">
        <v>3194</v>
      </c>
      <c r="P422" s="193" t="e">
        <f>layerlookup(K422,[1]materials_hvac!A$2:I$1014,2)</f>
        <v>#VALUE!</v>
      </c>
    </row>
    <row r="423" spans="2:16" x14ac:dyDescent="0.3">
      <c r="B423" s="193">
        <v>6</v>
      </c>
      <c r="C423" s="193">
        <v>1000</v>
      </c>
      <c r="D423" s="193" t="s">
        <v>3191</v>
      </c>
      <c r="E423" s="193" t="s">
        <v>2935</v>
      </c>
      <c r="G423" s="193" t="s">
        <v>342</v>
      </c>
      <c r="H423" s="193" t="s">
        <v>3193</v>
      </c>
      <c r="I423" s="120" t="s">
        <v>688</v>
      </c>
      <c r="K423" s="240">
        <v>295850851</v>
      </c>
      <c r="N423" s="193" t="s">
        <v>3194</v>
      </c>
      <c r="P423" s="231"/>
    </row>
    <row r="424" spans="2:16" x14ac:dyDescent="0.3">
      <c r="B424" s="193">
        <v>6</v>
      </c>
      <c r="C424" s="193">
        <v>1000</v>
      </c>
      <c r="D424" s="193" t="s">
        <v>3191</v>
      </c>
      <c r="E424" s="193" t="s">
        <v>3195</v>
      </c>
      <c r="G424" s="193" t="s">
        <v>342</v>
      </c>
      <c r="H424" s="193" t="s">
        <v>3193</v>
      </c>
      <c r="I424" s="120" t="s">
        <v>688</v>
      </c>
      <c r="K424" s="240">
        <v>295850851</v>
      </c>
      <c r="N424" s="193" t="s">
        <v>3194</v>
      </c>
    </row>
    <row r="425" spans="2:16" x14ac:dyDescent="0.3">
      <c r="B425" s="193">
        <v>6</v>
      </c>
      <c r="C425" s="193">
        <v>1000</v>
      </c>
      <c r="D425" s="193" t="s">
        <v>3191</v>
      </c>
      <c r="E425" s="193" t="s">
        <v>3196</v>
      </c>
      <c r="G425" s="193" t="s">
        <v>342</v>
      </c>
      <c r="H425" s="193" t="s">
        <v>3193</v>
      </c>
      <c r="I425" s="120" t="s">
        <v>688</v>
      </c>
      <c r="K425" s="240">
        <v>295850851</v>
      </c>
      <c r="N425" s="193" t="s">
        <v>3194</v>
      </c>
    </row>
    <row r="426" spans="2:16" x14ac:dyDescent="0.3">
      <c r="B426" s="193">
        <v>6</v>
      </c>
      <c r="C426" s="193">
        <v>1000</v>
      </c>
      <c r="D426" s="193" t="s">
        <v>3196</v>
      </c>
      <c r="E426" s="193" t="s">
        <v>2935</v>
      </c>
      <c r="G426" s="193" t="s">
        <v>342</v>
      </c>
      <c r="H426" s="193" t="s">
        <v>3193</v>
      </c>
      <c r="I426" s="120" t="s">
        <v>688</v>
      </c>
      <c r="K426" s="240">
        <v>295850851</v>
      </c>
      <c r="N426" s="193" t="s">
        <v>3194</v>
      </c>
    </row>
    <row r="427" spans="2:16" x14ac:dyDescent="0.3">
      <c r="B427" s="193">
        <v>6</v>
      </c>
      <c r="C427" s="193">
        <v>1000</v>
      </c>
      <c r="D427" s="193" t="s">
        <v>3196</v>
      </c>
      <c r="E427" s="193" t="s">
        <v>3192</v>
      </c>
      <c r="G427" s="193" t="s">
        <v>342</v>
      </c>
      <c r="H427" s="193" t="s">
        <v>3193</v>
      </c>
      <c r="I427" s="120" t="s">
        <v>688</v>
      </c>
      <c r="K427" s="240">
        <v>295850851</v>
      </c>
      <c r="N427" s="193" t="s">
        <v>3194</v>
      </c>
    </row>
    <row r="428" spans="2:16" x14ac:dyDescent="0.3">
      <c r="B428" s="193">
        <v>6</v>
      </c>
      <c r="C428" s="193">
        <v>1000</v>
      </c>
      <c r="D428" s="193" t="s">
        <v>3196</v>
      </c>
      <c r="E428" s="193" t="s">
        <v>3195</v>
      </c>
      <c r="G428" s="193" t="s">
        <v>342</v>
      </c>
      <c r="H428" s="193" t="s">
        <v>3193</v>
      </c>
      <c r="I428" s="120" t="s">
        <v>688</v>
      </c>
      <c r="K428" s="240">
        <v>295850851</v>
      </c>
      <c r="N428" s="193" t="s">
        <v>3194</v>
      </c>
    </row>
    <row r="429" spans="2:16" x14ac:dyDescent="0.3">
      <c r="B429" s="193">
        <v>6</v>
      </c>
      <c r="C429" s="193">
        <v>1000</v>
      </c>
      <c r="D429" s="193" t="s">
        <v>3196</v>
      </c>
      <c r="E429" s="193" t="s">
        <v>3196</v>
      </c>
      <c r="G429" s="193" t="s">
        <v>342</v>
      </c>
      <c r="H429" s="193" t="s">
        <v>3193</v>
      </c>
      <c r="I429" s="120" t="s">
        <v>688</v>
      </c>
      <c r="K429" s="240">
        <v>295850851</v>
      </c>
      <c r="N429" s="193" t="s">
        <v>3194</v>
      </c>
    </row>
    <row r="430" spans="2:16" x14ac:dyDescent="0.3">
      <c r="B430" s="193">
        <v>6</v>
      </c>
      <c r="C430" s="193">
        <v>1000</v>
      </c>
      <c r="D430" s="193" t="s">
        <v>3197</v>
      </c>
      <c r="E430" s="193" t="s">
        <v>3192</v>
      </c>
      <c r="G430" s="193" t="s">
        <v>342</v>
      </c>
      <c r="H430" s="193" t="s">
        <v>3193</v>
      </c>
      <c r="I430" s="120" t="s">
        <v>688</v>
      </c>
      <c r="K430" s="240" t="s">
        <v>3325</v>
      </c>
      <c r="N430" s="193" t="s">
        <v>3199</v>
      </c>
    </row>
    <row r="431" spans="2:16" x14ac:dyDescent="0.3">
      <c r="B431" s="193">
        <v>6</v>
      </c>
      <c r="C431" s="193">
        <v>1000</v>
      </c>
      <c r="D431" s="193" t="s">
        <v>3197</v>
      </c>
      <c r="E431" s="193" t="s">
        <v>2935</v>
      </c>
      <c r="G431" s="193" t="s">
        <v>342</v>
      </c>
      <c r="H431" s="193" t="s">
        <v>3193</v>
      </c>
      <c r="I431" s="120" t="s">
        <v>688</v>
      </c>
      <c r="K431" s="240" t="s">
        <v>3325</v>
      </c>
      <c r="N431" s="193" t="s">
        <v>3199</v>
      </c>
    </row>
    <row r="432" spans="2:16" x14ac:dyDescent="0.3">
      <c r="B432" s="193">
        <v>6</v>
      </c>
      <c r="C432" s="193">
        <v>1000</v>
      </c>
      <c r="D432" s="193" t="s">
        <v>3197</v>
      </c>
      <c r="E432" s="193" t="s">
        <v>3195</v>
      </c>
      <c r="G432" s="193" t="s">
        <v>342</v>
      </c>
      <c r="H432" s="193" t="s">
        <v>3193</v>
      </c>
      <c r="I432" s="120" t="s">
        <v>688</v>
      </c>
      <c r="K432" s="240" t="s">
        <v>3326</v>
      </c>
      <c r="N432" s="193" t="s">
        <v>3201</v>
      </c>
    </row>
    <row r="433" spans="2:14" x14ac:dyDescent="0.3">
      <c r="B433" s="193">
        <v>6</v>
      </c>
      <c r="C433" s="193">
        <v>1000</v>
      </c>
      <c r="D433" s="193" t="s">
        <v>3197</v>
      </c>
      <c r="E433" s="193" t="s">
        <v>3196</v>
      </c>
      <c r="G433" s="193" t="s">
        <v>342</v>
      </c>
      <c r="H433" s="193" t="s">
        <v>3193</v>
      </c>
      <c r="I433" s="120" t="s">
        <v>688</v>
      </c>
      <c r="K433" s="240" t="s">
        <v>3325</v>
      </c>
      <c r="N433" s="193" t="s">
        <v>3202</v>
      </c>
    </row>
    <row r="434" spans="2:14" x14ac:dyDescent="0.3">
      <c r="B434" s="193">
        <v>6</v>
      </c>
      <c r="C434" s="193">
        <v>1000</v>
      </c>
      <c r="D434" s="193" t="s">
        <v>2979</v>
      </c>
      <c r="E434" s="193" t="s">
        <v>3192</v>
      </c>
      <c r="G434" s="193" t="s">
        <v>342</v>
      </c>
      <c r="H434" s="193" t="s">
        <v>3193</v>
      </c>
      <c r="I434" s="120" t="s">
        <v>688</v>
      </c>
      <c r="K434" s="240" t="s">
        <v>3327</v>
      </c>
      <c r="N434" s="193" t="s">
        <v>3204</v>
      </c>
    </row>
    <row r="435" spans="2:14" x14ac:dyDescent="0.3">
      <c r="B435" s="193">
        <v>6</v>
      </c>
      <c r="C435" s="193">
        <v>1000</v>
      </c>
      <c r="D435" s="193" t="s">
        <v>2979</v>
      </c>
      <c r="E435" s="193" t="s">
        <v>2935</v>
      </c>
      <c r="G435" s="193" t="s">
        <v>342</v>
      </c>
      <c r="H435" s="193" t="s">
        <v>3193</v>
      </c>
      <c r="I435" s="120" t="s">
        <v>688</v>
      </c>
      <c r="K435" s="240" t="s">
        <v>3327</v>
      </c>
      <c r="N435" s="193" t="s">
        <v>3204</v>
      </c>
    </row>
    <row r="436" spans="2:14" x14ac:dyDescent="0.3">
      <c r="B436" s="193">
        <v>6</v>
      </c>
      <c r="C436" s="193">
        <v>1000</v>
      </c>
      <c r="D436" s="193" t="s">
        <v>2979</v>
      </c>
      <c r="E436" s="193" t="s">
        <v>3195</v>
      </c>
      <c r="G436" s="193" t="s">
        <v>342</v>
      </c>
      <c r="H436" s="193" t="s">
        <v>3193</v>
      </c>
      <c r="I436" s="120" t="s">
        <v>688</v>
      </c>
      <c r="K436" s="240" t="s">
        <v>3328</v>
      </c>
      <c r="N436" s="193" t="s">
        <v>3219</v>
      </c>
    </row>
    <row r="437" spans="2:14" x14ac:dyDescent="0.3">
      <c r="B437" s="193">
        <v>6</v>
      </c>
      <c r="C437" s="193">
        <v>1000</v>
      </c>
      <c r="D437" s="193" t="s">
        <v>2979</v>
      </c>
      <c r="E437" s="193" t="s">
        <v>3196</v>
      </c>
      <c r="G437" s="193" t="s">
        <v>342</v>
      </c>
      <c r="H437" s="193" t="s">
        <v>3193</v>
      </c>
      <c r="I437" s="120" t="s">
        <v>688</v>
      </c>
      <c r="K437" s="240" t="s">
        <v>3327</v>
      </c>
      <c r="N437" s="193" t="s">
        <v>3204</v>
      </c>
    </row>
    <row r="438" spans="2:14" x14ac:dyDescent="0.3">
      <c r="B438" s="193">
        <v>6</v>
      </c>
      <c r="C438" s="193">
        <v>1000</v>
      </c>
      <c r="D438" s="193" t="s">
        <v>3207</v>
      </c>
      <c r="E438" s="193" t="s">
        <v>3192</v>
      </c>
      <c r="G438" s="193" t="s">
        <v>342</v>
      </c>
      <c r="H438" s="193" t="s">
        <v>3193</v>
      </c>
      <c r="I438" s="120" t="s">
        <v>688</v>
      </c>
      <c r="K438" s="240" t="s">
        <v>3327</v>
      </c>
      <c r="N438" s="193" t="s">
        <v>3204</v>
      </c>
    </row>
    <row r="439" spans="2:14" x14ac:dyDescent="0.3">
      <c r="B439" s="193">
        <v>6</v>
      </c>
      <c r="C439" s="193">
        <v>1000</v>
      </c>
      <c r="D439" s="193" t="s">
        <v>3207</v>
      </c>
      <c r="E439" s="193" t="s">
        <v>2935</v>
      </c>
      <c r="G439" s="193" t="s">
        <v>342</v>
      </c>
      <c r="H439" s="193" t="s">
        <v>3193</v>
      </c>
      <c r="I439" s="120" t="s">
        <v>688</v>
      </c>
      <c r="K439" s="240" t="s">
        <v>3327</v>
      </c>
      <c r="N439" s="193" t="s">
        <v>3204</v>
      </c>
    </row>
    <row r="440" spans="2:14" x14ac:dyDescent="0.3">
      <c r="B440" s="193">
        <v>6</v>
      </c>
      <c r="C440" s="193">
        <v>1000</v>
      </c>
      <c r="D440" s="193" t="s">
        <v>3207</v>
      </c>
      <c r="E440" s="193" t="s">
        <v>3195</v>
      </c>
      <c r="G440" s="193" t="s">
        <v>342</v>
      </c>
      <c r="H440" s="193" t="s">
        <v>3193</v>
      </c>
      <c r="I440" s="120" t="s">
        <v>688</v>
      </c>
      <c r="K440" s="240" t="s">
        <v>3328</v>
      </c>
      <c r="N440" s="193" t="s">
        <v>3219</v>
      </c>
    </row>
    <row r="441" spans="2:14" x14ac:dyDescent="0.3">
      <c r="B441" s="193">
        <v>6</v>
      </c>
      <c r="C441" s="193">
        <v>1000</v>
      </c>
      <c r="D441" s="193" t="s">
        <v>3207</v>
      </c>
      <c r="E441" s="193" t="s">
        <v>3196</v>
      </c>
      <c r="G441" s="193" t="s">
        <v>342</v>
      </c>
      <c r="H441" s="193" t="s">
        <v>3193</v>
      </c>
      <c r="I441" s="120" t="s">
        <v>688</v>
      </c>
      <c r="K441" s="240" t="s">
        <v>3327</v>
      </c>
      <c r="N441" s="193" t="s">
        <v>3204</v>
      </c>
    </row>
    <row r="442" spans="2:14" x14ac:dyDescent="0.3">
      <c r="B442" s="193">
        <v>6</v>
      </c>
      <c r="C442" s="193">
        <v>1000</v>
      </c>
      <c r="D442" s="193" t="s">
        <v>3030</v>
      </c>
      <c r="E442" s="193" t="s">
        <v>3192</v>
      </c>
      <c r="G442" s="193" t="s">
        <v>342</v>
      </c>
      <c r="H442" s="193" t="s">
        <v>3193</v>
      </c>
      <c r="I442" s="120" t="s">
        <v>688</v>
      </c>
      <c r="K442" s="240" t="s">
        <v>3329</v>
      </c>
      <c r="N442" s="193" t="s">
        <v>3208</v>
      </c>
    </row>
    <row r="443" spans="2:14" x14ac:dyDescent="0.3">
      <c r="B443" s="193">
        <v>6</v>
      </c>
      <c r="C443" s="193">
        <v>1000</v>
      </c>
      <c r="D443" s="193" t="s">
        <v>3030</v>
      </c>
      <c r="E443" s="193" t="s">
        <v>2935</v>
      </c>
      <c r="G443" s="193" t="s">
        <v>342</v>
      </c>
      <c r="H443" s="193" t="s">
        <v>3193</v>
      </c>
      <c r="I443" s="120" t="s">
        <v>688</v>
      </c>
      <c r="K443" s="240" t="s">
        <v>3329</v>
      </c>
      <c r="N443" s="193" t="s">
        <v>3208</v>
      </c>
    </row>
    <row r="444" spans="2:14" x14ac:dyDescent="0.3">
      <c r="B444" s="193">
        <v>6</v>
      </c>
      <c r="C444" s="193">
        <v>1000</v>
      </c>
      <c r="D444" s="193" t="s">
        <v>3030</v>
      </c>
      <c r="E444" s="193" t="s">
        <v>3195</v>
      </c>
      <c r="G444" s="193" t="s">
        <v>342</v>
      </c>
      <c r="H444" s="193" t="s">
        <v>3193</v>
      </c>
      <c r="I444" s="120" t="s">
        <v>688</v>
      </c>
      <c r="K444" s="240" t="s">
        <v>3330</v>
      </c>
      <c r="N444" s="193" t="s">
        <v>3210</v>
      </c>
    </row>
    <row r="445" spans="2:14" x14ac:dyDescent="0.3">
      <c r="B445" s="193">
        <v>6</v>
      </c>
      <c r="C445" s="193">
        <v>1000</v>
      </c>
      <c r="D445" s="193" t="s">
        <v>3030</v>
      </c>
      <c r="E445" s="193" t="s">
        <v>3196</v>
      </c>
      <c r="G445" s="193" t="s">
        <v>342</v>
      </c>
      <c r="H445" s="193" t="s">
        <v>3193</v>
      </c>
      <c r="I445" s="120" t="s">
        <v>688</v>
      </c>
      <c r="K445" s="240" t="s">
        <v>3329</v>
      </c>
      <c r="N445" s="193" t="s">
        <v>3208</v>
      </c>
    </row>
    <row r="446" spans="2:14" x14ac:dyDescent="0.3">
      <c r="B446" s="193">
        <v>6</v>
      </c>
      <c r="C446" s="193">
        <v>1000</v>
      </c>
      <c r="D446" s="193" t="s">
        <v>3192</v>
      </c>
      <c r="E446" s="193" t="s">
        <v>3192</v>
      </c>
      <c r="G446" s="193" t="s">
        <v>342</v>
      </c>
      <c r="H446" s="193" t="s">
        <v>3193</v>
      </c>
      <c r="I446" s="120" t="s">
        <v>688</v>
      </c>
      <c r="K446" s="240">
        <v>295850851</v>
      </c>
      <c r="N446" s="193" t="s">
        <v>3212</v>
      </c>
    </row>
    <row r="447" spans="2:14" x14ac:dyDescent="0.3">
      <c r="B447" s="193">
        <v>6</v>
      </c>
      <c r="C447" s="193">
        <v>1000</v>
      </c>
      <c r="D447" s="193" t="s">
        <v>3192</v>
      </c>
      <c r="E447" s="193" t="s">
        <v>2935</v>
      </c>
      <c r="G447" s="193" t="s">
        <v>342</v>
      </c>
      <c r="H447" s="193" t="s">
        <v>3193</v>
      </c>
      <c r="I447" s="120" t="s">
        <v>688</v>
      </c>
      <c r="K447" s="240">
        <v>295850851</v>
      </c>
      <c r="N447" s="193" t="s">
        <v>3212</v>
      </c>
    </row>
    <row r="448" spans="2:14" x14ac:dyDescent="0.3">
      <c r="B448" s="193">
        <v>6</v>
      </c>
      <c r="C448" s="193">
        <v>1000</v>
      </c>
      <c r="D448" s="193" t="s">
        <v>3192</v>
      </c>
      <c r="E448" s="193" t="s">
        <v>3195</v>
      </c>
      <c r="G448" s="193" t="s">
        <v>342</v>
      </c>
      <c r="H448" s="193" t="s">
        <v>3193</v>
      </c>
      <c r="I448" s="120" t="s">
        <v>688</v>
      </c>
      <c r="K448" s="240" t="s">
        <v>3331</v>
      </c>
      <c r="N448" s="193" t="s">
        <v>3214</v>
      </c>
    </row>
    <row r="449" spans="2:16" x14ac:dyDescent="0.3">
      <c r="B449" s="193">
        <v>6</v>
      </c>
      <c r="C449" s="193">
        <v>1000</v>
      </c>
      <c r="D449" s="193" t="s">
        <v>3192</v>
      </c>
      <c r="E449" s="193" t="s">
        <v>3196</v>
      </c>
      <c r="G449" s="193" t="s">
        <v>342</v>
      </c>
      <c r="H449" s="193" t="s">
        <v>3193</v>
      </c>
      <c r="I449" s="120" t="s">
        <v>688</v>
      </c>
      <c r="K449" s="240">
        <v>295850851</v>
      </c>
      <c r="N449" s="193" t="s">
        <v>3212</v>
      </c>
    </row>
    <row r="450" spans="2:16" x14ac:dyDescent="0.3">
      <c r="B450" s="193">
        <v>6</v>
      </c>
      <c r="C450" s="193">
        <v>2500</v>
      </c>
      <c r="D450" s="193" t="s">
        <v>3191</v>
      </c>
      <c r="E450" s="193" t="s">
        <v>3192</v>
      </c>
      <c r="G450" s="193" t="s">
        <v>342</v>
      </c>
      <c r="H450" s="193" t="s">
        <v>3193</v>
      </c>
      <c r="I450" s="120" t="s">
        <v>688</v>
      </c>
      <c r="K450" s="240">
        <v>296850851</v>
      </c>
      <c r="N450" s="193" t="s">
        <v>3194</v>
      </c>
      <c r="P450" s="193" t="e">
        <f>layerlookup(K450,[1]materials_hvac!A$2:I$1014,2)</f>
        <v>#VALUE!</v>
      </c>
    </row>
    <row r="451" spans="2:16" x14ac:dyDescent="0.3">
      <c r="B451" s="193">
        <v>6</v>
      </c>
      <c r="C451" s="193">
        <v>2500</v>
      </c>
      <c r="D451" s="193" t="s">
        <v>3191</v>
      </c>
      <c r="E451" s="193" t="s">
        <v>2935</v>
      </c>
      <c r="G451" s="193" t="s">
        <v>342</v>
      </c>
      <c r="H451" s="193" t="s">
        <v>3193</v>
      </c>
      <c r="I451" s="120" t="s">
        <v>688</v>
      </c>
      <c r="K451" s="240">
        <v>296850851</v>
      </c>
      <c r="N451" s="193" t="s">
        <v>3194</v>
      </c>
      <c r="P451" s="231"/>
    </row>
    <row r="452" spans="2:16" x14ac:dyDescent="0.3">
      <c r="B452" s="193">
        <v>6</v>
      </c>
      <c r="C452" s="193">
        <v>2500</v>
      </c>
      <c r="D452" s="193" t="s">
        <v>3191</v>
      </c>
      <c r="E452" s="193" t="s">
        <v>3195</v>
      </c>
      <c r="G452" s="193" t="s">
        <v>342</v>
      </c>
      <c r="H452" s="193" t="s">
        <v>3193</v>
      </c>
      <c r="I452" s="120" t="s">
        <v>688</v>
      </c>
      <c r="K452" s="240">
        <v>296850851</v>
      </c>
      <c r="N452" s="193" t="s">
        <v>3194</v>
      </c>
    </row>
    <row r="453" spans="2:16" x14ac:dyDescent="0.3">
      <c r="B453" s="193">
        <v>6</v>
      </c>
      <c r="C453" s="193">
        <v>2500</v>
      </c>
      <c r="D453" s="193" t="s">
        <v>3191</v>
      </c>
      <c r="E453" s="193" t="s">
        <v>3196</v>
      </c>
      <c r="G453" s="193" t="s">
        <v>342</v>
      </c>
      <c r="H453" s="193" t="s">
        <v>3193</v>
      </c>
      <c r="I453" s="120" t="s">
        <v>688</v>
      </c>
      <c r="K453" s="240">
        <v>296850851</v>
      </c>
      <c r="N453" s="193" t="s">
        <v>3194</v>
      </c>
    </row>
    <row r="454" spans="2:16" x14ac:dyDescent="0.3">
      <c r="B454" s="193">
        <v>6</v>
      </c>
      <c r="C454" s="193">
        <v>2500</v>
      </c>
      <c r="D454" s="193" t="s">
        <v>3196</v>
      </c>
      <c r="E454" s="193" t="s">
        <v>2935</v>
      </c>
      <c r="G454" s="193" t="s">
        <v>342</v>
      </c>
      <c r="H454" s="193" t="s">
        <v>3193</v>
      </c>
      <c r="I454" s="120" t="s">
        <v>688</v>
      </c>
      <c r="K454" s="240">
        <v>296850851</v>
      </c>
      <c r="N454" s="193" t="s">
        <v>3194</v>
      </c>
    </row>
    <row r="455" spans="2:16" x14ac:dyDescent="0.3">
      <c r="B455" s="193">
        <v>6</v>
      </c>
      <c r="C455" s="193">
        <v>2500</v>
      </c>
      <c r="D455" s="193" t="s">
        <v>3196</v>
      </c>
      <c r="E455" s="193" t="s">
        <v>3192</v>
      </c>
      <c r="G455" s="193" t="s">
        <v>342</v>
      </c>
      <c r="H455" s="193" t="s">
        <v>3193</v>
      </c>
      <c r="I455" s="120" t="s">
        <v>688</v>
      </c>
      <c r="K455" s="240">
        <v>296850851</v>
      </c>
      <c r="N455" s="193" t="s">
        <v>3194</v>
      </c>
    </row>
    <row r="456" spans="2:16" x14ac:dyDescent="0.3">
      <c r="B456" s="193">
        <v>6</v>
      </c>
      <c r="C456" s="193">
        <v>2500</v>
      </c>
      <c r="D456" s="193" t="s">
        <v>3196</v>
      </c>
      <c r="E456" s="193" t="s">
        <v>3195</v>
      </c>
      <c r="G456" s="193" t="s">
        <v>342</v>
      </c>
      <c r="H456" s="193" t="s">
        <v>3193</v>
      </c>
      <c r="I456" s="120" t="s">
        <v>688</v>
      </c>
      <c r="K456" s="240">
        <v>296850851</v>
      </c>
      <c r="N456" s="193" t="s">
        <v>3194</v>
      </c>
    </row>
    <row r="457" spans="2:16" x14ac:dyDescent="0.3">
      <c r="B457" s="193">
        <v>6</v>
      </c>
      <c r="C457" s="193">
        <v>2500</v>
      </c>
      <c r="D457" s="193" t="s">
        <v>3196</v>
      </c>
      <c r="E457" s="193" t="s">
        <v>3196</v>
      </c>
      <c r="G457" s="193" t="s">
        <v>342</v>
      </c>
      <c r="H457" s="193" t="s">
        <v>3193</v>
      </c>
      <c r="I457" s="120" t="s">
        <v>688</v>
      </c>
      <c r="K457" s="240">
        <v>296850851</v>
      </c>
      <c r="N457" s="193" t="s">
        <v>3194</v>
      </c>
    </row>
    <row r="458" spans="2:16" x14ac:dyDescent="0.3">
      <c r="B458" s="193">
        <v>6</v>
      </c>
      <c r="C458" s="193">
        <v>2500</v>
      </c>
      <c r="D458" s="193" t="s">
        <v>3197</v>
      </c>
      <c r="E458" s="193" t="s">
        <v>3192</v>
      </c>
      <c r="G458" s="193" t="s">
        <v>342</v>
      </c>
      <c r="H458" s="193" t="s">
        <v>3193</v>
      </c>
      <c r="I458" s="120" t="s">
        <v>688</v>
      </c>
      <c r="K458" s="240" t="s">
        <v>3332</v>
      </c>
      <c r="N458" s="193" t="s">
        <v>3199</v>
      </c>
    </row>
    <row r="459" spans="2:16" x14ac:dyDescent="0.3">
      <c r="B459" s="193">
        <v>6</v>
      </c>
      <c r="C459" s="193">
        <v>2500</v>
      </c>
      <c r="D459" s="193" t="s">
        <v>3197</v>
      </c>
      <c r="E459" s="193" t="s">
        <v>2935</v>
      </c>
      <c r="G459" s="193" t="s">
        <v>342</v>
      </c>
      <c r="H459" s="193" t="s">
        <v>3193</v>
      </c>
      <c r="I459" s="120" t="s">
        <v>688</v>
      </c>
      <c r="K459" s="240" t="s">
        <v>3332</v>
      </c>
      <c r="N459" s="193" t="s">
        <v>3199</v>
      </c>
    </row>
    <row r="460" spans="2:16" x14ac:dyDescent="0.3">
      <c r="B460" s="193">
        <v>6</v>
      </c>
      <c r="C460" s="193">
        <v>2500</v>
      </c>
      <c r="D460" s="193" t="s">
        <v>3197</v>
      </c>
      <c r="E460" s="193" t="s">
        <v>3195</v>
      </c>
      <c r="G460" s="193" t="s">
        <v>342</v>
      </c>
      <c r="H460" s="193" t="s">
        <v>3193</v>
      </c>
      <c r="I460" s="120" t="s">
        <v>688</v>
      </c>
      <c r="K460" s="240" t="s">
        <v>3333</v>
      </c>
      <c r="N460" s="193" t="s">
        <v>3201</v>
      </c>
    </row>
    <row r="461" spans="2:16" x14ac:dyDescent="0.3">
      <c r="B461" s="193">
        <v>6</v>
      </c>
      <c r="C461" s="193">
        <v>2500</v>
      </c>
      <c r="D461" s="193" t="s">
        <v>3197</v>
      </c>
      <c r="E461" s="193" t="s">
        <v>3196</v>
      </c>
      <c r="G461" s="193" t="s">
        <v>342</v>
      </c>
      <c r="H461" s="193" t="s">
        <v>3193</v>
      </c>
      <c r="I461" s="120" t="s">
        <v>688</v>
      </c>
      <c r="K461" s="240" t="s">
        <v>3332</v>
      </c>
      <c r="N461" s="193" t="s">
        <v>3202</v>
      </c>
    </row>
    <row r="462" spans="2:16" x14ac:dyDescent="0.3">
      <c r="B462" s="193">
        <v>6</v>
      </c>
      <c r="C462" s="193">
        <v>2500</v>
      </c>
      <c r="D462" s="193" t="s">
        <v>2979</v>
      </c>
      <c r="E462" s="193" t="s">
        <v>3192</v>
      </c>
      <c r="G462" s="193" t="s">
        <v>342</v>
      </c>
      <c r="H462" s="193" t="s">
        <v>3193</v>
      </c>
      <c r="I462" s="120" t="s">
        <v>688</v>
      </c>
      <c r="K462" s="240" t="s">
        <v>3334</v>
      </c>
      <c r="N462" s="193" t="s">
        <v>3204</v>
      </c>
    </row>
    <row r="463" spans="2:16" x14ac:dyDescent="0.3">
      <c r="B463" s="193">
        <v>6</v>
      </c>
      <c r="C463" s="193">
        <v>2500</v>
      </c>
      <c r="D463" s="193" t="s">
        <v>2979</v>
      </c>
      <c r="E463" s="193" t="s">
        <v>2935</v>
      </c>
      <c r="G463" s="193" t="s">
        <v>342</v>
      </c>
      <c r="H463" s="193" t="s">
        <v>3193</v>
      </c>
      <c r="I463" s="120" t="s">
        <v>688</v>
      </c>
      <c r="K463" s="240" t="s">
        <v>3334</v>
      </c>
      <c r="N463" s="193" t="s">
        <v>3204</v>
      </c>
    </row>
    <row r="464" spans="2:16" x14ac:dyDescent="0.3">
      <c r="B464" s="193">
        <v>6</v>
      </c>
      <c r="C464" s="193">
        <v>2500</v>
      </c>
      <c r="D464" s="193" t="s">
        <v>2979</v>
      </c>
      <c r="E464" s="193" t="s">
        <v>3195</v>
      </c>
      <c r="G464" s="193" t="s">
        <v>342</v>
      </c>
      <c r="H464" s="193" t="s">
        <v>3193</v>
      </c>
      <c r="I464" s="120" t="s">
        <v>688</v>
      </c>
      <c r="K464" s="240" t="s">
        <v>3335</v>
      </c>
      <c r="N464" s="193" t="s">
        <v>3219</v>
      </c>
    </row>
    <row r="465" spans="2:14" x14ac:dyDescent="0.3">
      <c r="B465" s="193">
        <v>6</v>
      </c>
      <c r="C465" s="193">
        <v>2500</v>
      </c>
      <c r="D465" s="193" t="s">
        <v>2979</v>
      </c>
      <c r="E465" s="193" t="s">
        <v>3196</v>
      </c>
      <c r="G465" s="193" t="s">
        <v>342</v>
      </c>
      <c r="H465" s="193" t="s">
        <v>3193</v>
      </c>
      <c r="I465" s="120" t="s">
        <v>688</v>
      </c>
      <c r="K465" s="240" t="s">
        <v>3334</v>
      </c>
      <c r="N465" s="193" t="s">
        <v>3204</v>
      </c>
    </row>
    <row r="466" spans="2:14" x14ac:dyDescent="0.3">
      <c r="B466" s="193">
        <v>6</v>
      </c>
      <c r="C466" s="193">
        <v>2500</v>
      </c>
      <c r="D466" s="193" t="s">
        <v>3207</v>
      </c>
      <c r="E466" s="193" t="s">
        <v>3192</v>
      </c>
      <c r="G466" s="193" t="s">
        <v>342</v>
      </c>
      <c r="H466" s="193" t="s">
        <v>3193</v>
      </c>
      <c r="I466" s="120" t="s">
        <v>688</v>
      </c>
      <c r="K466" s="240" t="s">
        <v>3334</v>
      </c>
      <c r="N466" s="193" t="s">
        <v>3204</v>
      </c>
    </row>
    <row r="467" spans="2:14" x14ac:dyDescent="0.3">
      <c r="B467" s="193">
        <v>6</v>
      </c>
      <c r="C467" s="193">
        <v>2500</v>
      </c>
      <c r="D467" s="193" t="s">
        <v>3207</v>
      </c>
      <c r="E467" s="193" t="s">
        <v>2935</v>
      </c>
      <c r="G467" s="193" t="s">
        <v>342</v>
      </c>
      <c r="H467" s="193" t="s">
        <v>3193</v>
      </c>
      <c r="I467" s="120" t="s">
        <v>688</v>
      </c>
      <c r="K467" s="240" t="s">
        <v>3334</v>
      </c>
      <c r="N467" s="193" t="s">
        <v>3204</v>
      </c>
    </row>
    <row r="468" spans="2:14" x14ac:dyDescent="0.3">
      <c r="B468" s="193">
        <v>6</v>
      </c>
      <c r="C468" s="193">
        <v>2500</v>
      </c>
      <c r="D468" s="193" t="s">
        <v>3207</v>
      </c>
      <c r="E468" s="193" t="s">
        <v>3195</v>
      </c>
      <c r="G468" s="193" t="s">
        <v>342</v>
      </c>
      <c r="H468" s="193" t="s">
        <v>3193</v>
      </c>
      <c r="I468" s="120" t="s">
        <v>688</v>
      </c>
      <c r="K468" s="240" t="s">
        <v>3336</v>
      </c>
      <c r="N468" s="193" t="s">
        <v>3219</v>
      </c>
    </row>
    <row r="469" spans="2:14" x14ac:dyDescent="0.3">
      <c r="B469" s="193">
        <v>6</v>
      </c>
      <c r="C469" s="193">
        <v>2500</v>
      </c>
      <c r="D469" s="193" t="s">
        <v>3207</v>
      </c>
      <c r="E469" s="193" t="s">
        <v>3196</v>
      </c>
      <c r="G469" s="193" t="s">
        <v>342</v>
      </c>
      <c r="H469" s="193" t="s">
        <v>3193</v>
      </c>
      <c r="I469" s="120" t="s">
        <v>688</v>
      </c>
      <c r="K469" s="240" t="s">
        <v>3334</v>
      </c>
      <c r="N469" s="193" t="s">
        <v>3204</v>
      </c>
    </row>
    <row r="470" spans="2:14" x14ac:dyDescent="0.3">
      <c r="B470" s="193">
        <v>6</v>
      </c>
      <c r="C470" s="193">
        <v>2500</v>
      </c>
      <c r="D470" s="193" t="s">
        <v>3030</v>
      </c>
      <c r="E470" s="193" t="s">
        <v>3192</v>
      </c>
      <c r="G470" s="193" t="s">
        <v>342</v>
      </c>
      <c r="H470" s="193" t="s">
        <v>3193</v>
      </c>
      <c r="I470" s="120" t="s">
        <v>688</v>
      </c>
      <c r="K470" s="240" t="s">
        <v>3337</v>
      </c>
      <c r="N470" s="193" t="s">
        <v>3208</v>
      </c>
    </row>
    <row r="471" spans="2:14" x14ac:dyDescent="0.3">
      <c r="B471" s="193">
        <v>6</v>
      </c>
      <c r="C471" s="193">
        <v>2500</v>
      </c>
      <c r="D471" s="193" t="s">
        <v>3030</v>
      </c>
      <c r="E471" s="193" t="s">
        <v>2935</v>
      </c>
      <c r="G471" s="193" t="s">
        <v>342</v>
      </c>
      <c r="H471" s="193" t="s">
        <v>3193</v>
      </c>
      <c r="I471" s="120" t="s">
        <v>688</v>
      </c>
      <c r="K471" s="240" t="s">
        <v>3337</v>
      </c>
      <c r="N471" s="193" t="s">
        <v>3208</v>
      </c>
    </row>
    <row r="472" spans="2:14" x14ac:dyDescent="0.3">
      <c r="B472" s="193">
        <v>6</v>
      </c>
      <c r="C472" s="193">
        <v>2500</v>
      </c>
      <c r="D472" s="193" t="s">
        <v>3030</v>
      </c>
      <c r="E472" s="193" t="s">
        <v>3195</v>
      </c>
      <c r="G472" s="193" t="s">
        <v>342</v>
      </c>
      <c r="H472" s="193" t="s">
        <v>3193</v>
      </c>
      <c r="I472" s="120" t="s">
        <v>688</v>
      </c>
      <c r="K472" s="240" t="s">
        <v>3338</v>
      </c>
      <c r="N472" s="193" t="s">
        <v>3210</v>
      </c>
    </row>
    <row r="473" spans="2:14" x14ac:dyDescent="0.3">
      <c r="B473" s="193">
        <v>6</v>
      </c>
      <c r="C473" s="193">
        <v>2500</v>
      </c>
      <c r="D473" s="193" t="s">
        <v>3030</v>
      </c>
      <c r="E473" s="193" t="s">
        <v>3196</v>
      </c>
      <c r="G473" s="193" t="s">
        <v>342</v>
      </c>
      <c r="H473" s="193" t="s">
        <v>3193</v>
      </c>
      <c r="I473" s="120" t="s">
        <v>688</v>
      </c>
      <c r="K473" s="240" t="s">
        <v>3337</v>
      </c>
      <c r="N473" s="193" t="s">
        <v>3208</v>
      </c>
    </row>
    <row r="474" spans="2:14" x14ac:dyDescent="0.3">
      <c r="B474" s="193">
        <v>6</v>
      </c>
      <c r="C474" s="193">
        <v>2500</v>
      </c>
      <c r="D474" s="193" t="s">
        <v>3192</v>
      </c>
      <c r="E474" s="193" t="s">
        <v>3192</v>
      </c>
      <c r="G474" s="193" t="s">
        <v>342</v>
      </c>
      <c r="H474" s="193" t="s">
        <v>3193</v>
      </c>
      <c r="I474" s="120" t="s">
        <v>688</v>
      </c>
      <c r="K474" s="240">
        <v>296850851</v>
      </c>
      <c r="N474" s="193" t="s">
        <v>3212</v>
      </c>
    </row>
    <row r="475" spans="2:14" x14ac:dyDescent="0.3">
      <c r="B475" s="193">
        <v>6</v>
      </c>
      <c r="C475" s="193">
        <v>2500</v>
      </c>
      <c r="D475" s="193" t="s">
        <v>3192</v>
      </c>
      <c r="E475" s="193" t="s">
        <v>2935</v>
      </c>
      <c r="G475" s="193" t="s">
        <v>342</v>
      </c>
      <c r="H475" s="193" t="s">
        <v>3193</v>
      </c>
      <c r="I475" s="120" t="s">
        <v>688</v>
      </c>
      <c r="K475" s="240">
        <v>296751752850851</v>
      </c>
      <c r="N475" s="193" t="s">
        <v>3212</v>
      </c>
    </row>
    <row r="476" spans="2:14" x14ac:dyDescent="0.3">
      <c r="B476" s="193">
        <v>6</v>
      </c>
      <c r="C476" s="193">
        <v>2500</v>
      </c>
      <c r="D476" s="193" t="s">
        <v>3192</v>
      </c>
      <c r="E476" s="193" t="s">
        <v>3195</v>
      </c>
      <c r="G476" s="193" t="s">
        <v>342</v>
      </c>
      <c r="H476" s="193" t="s">
        <v>3193</v>
      </c>
      <c r="I476" s="120" t="s">
        <v>688</v>
      </c>
      <c r="K476" s="240" t="s">
        <v>3339</v>
      </c>
      <c r="N476" s="193" t="s">
        <v>3214</v>
      </c>
    </row>
    <row r="477" spans="2:14" x14ac:dyDescent="0.3">
      <c r="B477" s="193">
        <v>6</v>
      </c>
      <c r="C477" s="193">
        <v>2500</v>
      </c>
      <c r="D477" s="193" t="s">
        <v>3192</v>
      </c>
      <c r="E477" s="193" t="s">
        <v>3196</v>
      </c>
      <c r="G477" s="193" t="s">
        <v>342</v>
      </c>
      <c r="H477" s="193" t="s">
        <v>3193</v>
      </c>
      <c r="I477" s="120" t="s">
        <v>688</v>
      </c>
      <c r="K477" s="240">
        <v>296850851</v>
      </c>
      <c r="N477" s="193" t="s">
        <v>3212</v>
      </c>
    </row>
    <row r="478" spans="2:14" x14ac:dyDescent="0.3">
      <c r="B478" s="193">
        <v>6</v>
      </c>
      <c r="C478" s="193">
        <v>5000</v>
      </c>
      <c r="D478" s="193" t="s">
        <v>3191</v>
      </c>
      <c r="E478" s="193" t="s">
        <v>3192</v>
      </c>
      <c r="G478" s="193" t="s">
        <v>342</v>
      </c>
      <c r="H478" s="193" t="s">
        <v>3193</v>
      </c>
      <c r="I478" s="120" t="s">
        <v>688</v>
      </c>
      <c r="K478" s="240">
        <v>297850851</v>
      </c>
      <c r="N478" s="193" t="s">
        <v>3194</v>
      </c>
    </row>
    <row r="479" spans="2:14" x14ac:dyDescent="0.3">
      <c r="B479" s="193">
        <v>6</v>
      </c>
      <c r="C479" s="193">
        <v>5000</v>
      </c>
      <c r="D479" s="193" t="s">
        <v>3191</v>
      </c>
      <c r="E479" s="193" t="s">
        <v>2935</v>
      </c>
      <c r="G479" s="193" t="s">
        <v>342</v>
      </c>
      <c r="H479" s="193" t="s">
        <v>3193</v>
      </c>
      <c r="I479" s="120" t="s">
        <v>688</v>
      </c>
      <c r="K479" s="240">
        <v>297850851</v>
      </c>
      <c r="N479" s="193" t="s">
        <v>3194</v>
      </c>
    </row>
    <row r="480" spans="2:14" x14ac:dyDescent="0.3">
      <c r="B480" s="193">
        <v>6</v>
      </c>
      <c r="C480" s="193">
        <v>5000</v>
      </c>
      <c r="D480" s="193" t="s">
        <v>3191</v>
      </c>
      <c r="E480" s="193" t="s">
        <v>3195</v>
      </c>
      <c r="G480" s="193" t="s">
        <v>342</v>
      </c>
      <c r="H480" s="193" t="s">
        <v>3193</v>
      </c>
      <c r="I480" s="120" t="s">
        <v>688</v>
      </c>
      <c r="K480" s="240">
        <v>297850851</v>
      </c>
      <c r="N480" s="193" t="s">
        <v>3194</v>
      </c>
    </row>
    <row r="481" spans="2:14" x14ac:dyDescent="0.3">
      <c r="B481" s="193">
        <v>6</v>
      </c>
      <c r="C481" s="193">
        <v>5000</v>
      </c>
      <c r="D481" s="193" t="s">
        <v>3191</v>
      </c>
      <c r="E481" s="193" t="s">
        <v>3196</v>
      </c>
      <c r="G481" s="193" t="s">
        <v>342</v>
      </c>
      <c r="H481" s="193" t="s">
        <v>3193</v>
      </c>
      <c r="I481" s="120" t="s">
        <v>688</v>
      </c>
      <c r="K481" s="240">
        <v>297850851</v>
      </c>
      <c r="N481" s="193" t="s">
        <v>3194</v>
      </c>
    </row>
    <row r="482" spans="2:14" x14ac:dyDescent="0.3">
      <c r="B482" s="193">
        <v>6</v>
      </c>
      <c r="C482" s="193">
        <v>5000</v>
      </c>
      <c r="D482" s="193" t="s">
        <v>3196</v>
      </c>
      <c r="E482" s="193" t="s">
        <v>2935</v>
      </c>
      <c r="G482" s="193" t="s">
        <v>342</v>
      </c>
      <c r="H482" s="193" t="s">
        <v>3193</v>
      </c>
      <c r="I482" s="120" t="s">
        <v>688</v>
      </c>
      <c r="K482" s="240">
        <v>297850851</v>
      </c>
      <c r="N482" s="193" t="s">
        <v>3194</v>
      </c>
    </row>
    <row r="483" spans="2:14" x14ac:dyDescent="0.3">
      <c r="B483" s="193">
        <v>6</v>
      </c>
      <c r="C483" s="193">
        <v>5000</v>
      </c>
      <c r="D483" s="193" t="s">
        <v>3196</v>
      </c>
      <c r="E483" s="193" t="s">
        <v>3192</v>
      </c>
      <c r="G483" s="193" t="s">
        <v>342</v>
      </c>
      <c r="H483" s="193" t="s">
        <v>3193</v>
      </c>
      <c r="I483" s="120" t="s">
        <v>688</v>
      </c>
      <c r="K483" s="240">
        <v>297850851</v>
      </c>
      <c r="N483" s="193" t="s">
        <v>3194</v>
      </c>
    </row>
    <row r="484" spans="2:14" x14ac:dyDescent="0.3">
      <c r="B484" s="193">
        <v>6</v>
      </c>
      <c r="C484" s="193">
        <v>5000</v>
      </c>
      <c r="D484" s="193" t="s">
        <v>3196</v>
      </c>
      <c r="E484" s="193" t="s">
        <v>3195</v>
      </c>
      <c r="G484" s="193" t="s">
        <v>342</v>
      </c>
      <c r="H484" s="193" t="s">
        <v>3193</v>
      </c>
      <c r="I484" s="120" t="s">
        <v>688</v>
      </c>
      <c r="K484" s="240">
        <v>297850851</v>
      </c>
      <c r="N484" s="193" t="s">
        <v>3194</v>
      </c>
    </row>
    <row r="485" spans="2:14" x14ac:dyDescent="0.3">
      <c r="B485" s="193">
        <v>6</v>
      </c>
      <c r="C485" s="193">
        <v>5000</v>
      </c>
      <c r="D485" s="193" t="s">
        <v>3196</v>
      </c>
      <c r="E485" s="193" t="s">
        <v>3196</v>
      </c>
      <c r="G485" s="193" t="s">
        <v>342</v>
      </c>
      <c r="H485" s="193" t="s">
        <v>3193</v>
      </c>
      <c r="I485" s="120" t="s">
        <v>688</v>
      </c>
      <c r="K485" s="240">
        <v>297850851</v>
      </c>
      <c r="N485" s="193" t="s">
        <v>3194</v>
      </c>
    </row>
    <row r="486" spans="2:14" x14ac:dyDescent="0.3">
      <c r="B486" s="193">
        <v>6</v>
      </c>
      <c r="C486" s="193">
        <v>5000</v>
      </c>
      <c r="D486" s="193" t="s">
        <v>3197</v>
      </c>
      <c r="E486" s="193" t="s">
        <v>3192</v>
      </c>
      <c r="G486" s="193" t="s">
        <v>342</v>
      </c>
      <c r="H486" s="193" t="s">
        <v>3193</v>
      </c>
      <c r="I486" s="120" t="s">
        <v>688</v>
      </c>
      <c r="K486" s="240" t="s">
        <v>3340</v>
      </c>
      <c r="N486" s="193" t="s">
        <v>3199</v>
      </c>
    </row>
    <row r="487" spans="2:14" x14ac:dyDescent="0.3">
      <c r="B487" s="193">
        <v>6</v>
      </c>
      <c r="C487" s="193">
        <v>5000</v>
      </c>
      <c r="D487" s="193" t="s">
        <v>3197</v>
      </c>
      <c r="E487" s="193" t="s">
        <v>2935</v>
      </c>
      <c r="G487" s="193" t="s">
        <v>342</v>
      </c>
      <c r="H487" s="193" t="s">
        <v>3193</v>
      </c>
      <c r="I487" s="120" t="s">
        <v>688</v>
      </c>
      <c r="K487" s="240" t="s">
        <v>3340</v>
      </c>
      <c r="N487" s="193" t="s">
        <v>3199</v>
      </c>
    </row>
    <row r="488" spans="2:14" x14ac:dyDescent="0.3">
      <c r="B488" s="193">
        <v>6</v>
      </c>
      <c r="C488" s="193">
        <v>5000</v>
      </c>
      <c r="D488" s="193" t="s">
        <v>3197</v>
      </c>
      <c r="E488" s="193" t="s">
        <v>3195</v>
      </c>
      <c r="G488" s="193" t="s">
        <v>342</v>
      </c>
      <c r="H488" s="193" t="s">
        <v>3193</v>
      </c>
      <c r="I488" s="120" t="s">
        <v>688</v>
      </c>
      <c r="K488" s="240" t="s">
        <v>3341</v>
      </c>
      <c r="N488" s="193" t="s">
        <v>3201</v>
      </c>
    </row>
    <row r="489" spans="2:14" x14ac:dyDescent="0.3">
      <c r="B489" s="193">
        <v>6</v>
      </c>
      <c r="C489" s="193">
        <v>5000</v>
      </c>
      <c r="D489" s="193" t="s">
        <v>3197</v>
      </c>
      <c r="E489" s="193" t="s">
        <v>3196</v>
      </c>
      <c r="G489" s="193" t="s">
        <v>342</v>
      </c>
      <c r="H489" s="193" t="s">
        <v>3193</v>
      </c>
      <c r="I489" s="120" t="s">
        <v>688</v>
      </c>
      <c r="K489" s="240" t="s">
        <v>3340</v>
      </c>
      <c r="N489" s="193" t="s">
        <v>3202</v>
      </c>
    </row>
    <row r="490" spans="2:14" x14ac:dyDescent="0.3">
      <c r="B490" s="193">
        <v>6</v>
      </c>
      <c r="C490" s="193">
        <v>5000</v>
      </c>
      <c r="D490" s="193" t="s">
        <v>2979</v>
      </c>
      <c r="E490" s="193" t="s">
        <v>3192</v>
      </c>
      <c r="G490" s="193" t="s">
        <v>342</v>
      </c>
      <c r="H490" s="193" t="s">
        <v>3193</v>
      </c>
      <c r="I490" s="120" t="s">
        <v>688</v>
      </c>
      <c r="K490" s="240" t="s">
        <v>3342</v>
      </c>
      <c r="N490" s="193" t="s">
        <v>3204</v>
      </c>
    </row>
    <row r="491" spans="2:14" x14ac:dyDescent="0.3">
      <c r="B491" s="193">
        <v>6</v>
      </c>
      <c r="C491" s="193">
        <v>5000</v>
      </c>
      <c r="D491" s="193" t="s">
        <v>2979</v>
      </c>
      <c r="E491" s="193" t="s">
        <v>2935</v>
      </c>
      <c r="G491" s="193" t="s">
        <v>342</v>
      </c>
      <c r="H491" s="193" t="s">
        <v>3193</v>
      </c>
      <c r="I491" s="120" t="s">
        <v>688</v>
      </c>
      <c r="K491" s="240" t="s">
        <v>3342</v>
      </c>
      <c r="N491" s="193" t="s">
        <v>3204</v>
      </c>
    </row>
    <row r="492" spans="2:14" x14ac:dyDescent="0.3">
      <c r="B492" s="193">
        <v>6</v>
      </c>
      <c r="C492" s="193">
        <v>5000</v>
      </c>
      <c r="D492" s="193" t="s">
        <v>2979</v>
      </c>
      <c r="E492" s="193" t="s">
        <v>3195</v>
      </c>
      <c r="G492" s="193" t="s">
        <v>342</v>
      </c>
      <c r="H492" s="193" t="s">
        <v>3193</v>
      </c>
      <c r="I492" s="120" t="s">
        <v>688</v>
      </c>
      <c r="K492" s="240" t="s">
        <v>3343</v>
      </c>
      <c r="N492" s="193" t="s">
        <v>3219</v>
      </c>
    </row>
    <row r="493" spans="2:14" x14ac:dyDescent="0.3">
      <c r="B493" s="193">
        <v>6</v>
      </c>
      <c r="C493" s="193">
        <v>5000</v>
      </c>
      <c r="D493" s="193" t="s">
        <v>2979</v>
      </c>
      <c r="E493" s="193" t="s">
        <v>3196</v>
      </c>
      <c r="G493" s="193" t="s">
        <v>342</v>
      </c>
      <c r="H493" s="193" t="s">
        <v>3193</v>
      </c>
      <c r="I493" s="120" t="s">
        <v>688</v>
      </c>
      <c r="K493" s="240" t="s">
        <v>3342</v>
      </c>
      <c r="N493" s="193" t="s">
        <v>3204</v>
      </c>
    </row>
    <row r="494" spans="2:14" x14ac:dyDescent="0.3">
      <c r="B494" s="193">
        <v>6</v>
      </c>
      <c r="C494" s="193">
        <v>5000</v>
      </c>
      <c r="D494" s="193" t="s">
        <v>3207</v>
      </c>
      <c r="E494" s="193" t="s">
        <v>3192</v>
      </c>
      <c r="G494" s="193" t="s">
        <v>342</v>
      </c>
      <c r="H494" s="193" t="s">
        <v>3193</v>
      </c>
      <c r="I494" s="120" t="s">
        <v>688</v>
      </c>
      <c r="K494" s="240" t="s">
        <v>3342</v>
      </c>
      <c r="N494" s="193" t="s">
        <v>3204</v>
      </c>
    </row>
    <row r="495" spans="2:14" x14ac:dyDescent="0.3">
      <c r="B495" s="193">
        <v>6</v>
      </c>
      <c r="C495" s="193">
        <v>5000</v>
      </c>
      <c r="D495" s="193" t="s">
        <v>3207</v>
      </c>
      <c r="E495" s="193" t="s">
        <v>2935</v>
      </c>
      <c r="G495" s="193" t="s">
        <v>342</v>
      </c>
      <c r="H495" s="193" t="s">
        <v>3193</v>
      </c>
      <c r="I495" s="120" t="s">
        <v>688</v>
      </c>
      <c r="K495" s="240" t="s">
        <v>3342</v>
      </c>
      <c r="N495" s="193" t="s">
        <v>3204</v>
      </c>
    </row>
    <row r="496" spans="2:14" x14ac:dyDescent="0.3">
      <c r="B496" s="193">
        <v>6</v>
      </c>
      <c r="C496" s="193">
        <v>5000</v>
      </c>
      <c r="D496" s="193" t="s">
        <v>3207</v>
      </c>
      <c r="E496" s="193" t="s">
        <v>3195</v>
      </c>
      <c r="G496" s="193" t="s">
        <v>342</v>
      </c>
      <c r="H496" s="193" t="s">
        <v>3193</v>
      </c>
      <c r="I496" s="120" t="s">
        <v>688</v>
      </c>
      <c r="K496" s="240" t="s">
        <v>3343</v>
      </c>
      <c r="N496" s="193" t="s">
        <v>3219</v>
      </c>
    </row>
    <row r="497" spans="2:14" x14ac:dyDescent="0.3">
      <c r="B497" s="193">
        <v>6</v>
      </c>
      <c r="C497" s="193">
        <v>5000</v>
      </c>
      <c r="D497" s="193" t="s">
        <v>3207</v>
      </c>
      <c r="E497" s="193" t="s">
        <v>3196</v>
      </c>
      <c r="G497" s="193" t="s">
        <v>342</v>
      </c>
      <c r="H497" s="193" t="s">
        <v>3193</v>
      </c>
      <c r="I497" s="120" t="s">
        <v>688</v>
      </c>
      <c r="K497" s="240" t="s">
        <v>3342</v>
      </c>
      <c r="N497" s="193" t="s">
        <v>3204</v>
      </c>
    </row>
    <row r="498" spans="2:14" x14ac:dyDescent="0.3">
      <c r="B498" s="193">
        <v>6</v>
      </c>
      <c r="C498" s="193">
        <v>5000</v>
      </c>
      <c r="D498" s="193" t="s">
        <v>3030</v>
      </c>
      <c r="E498" s="193" t="s">
        <v>3192</v>
      </c>
      <c r="G498" s="193" t="s">
        <v>342</v>
      </c>
      <c r="H498" s="193" t="s">
        <v>3193</v>
      </c>
      <c r="I498" s="120" t="s">
        <v>688</v>
      </c>
      <c r="K498" s="240" t="s">
        <v>3344</v>
      </c>
      <c r="N498" s="193" t="s">
        <v>3208</v>
      </c>
    </row>
    <row r="499" spans="2:14" x14ac:dyDescent="0.3">
      <c r="B499" s="193">
        <v>6</v>
      </c>
      <c r="C499" s="193">
        <v>5000</v>
      </c>
      <c r="D499" s="193" t="s">
        <v>3030</v>
      </c>
      <c r="E499" s="193" t="s">
        <v>2935</v>
      </c>
      <c r="G499" s="193" t="s">
        <v>342</v>
      </c>
      <c r="H499" s="193" t="s">
        <v>3193</v>
      </c>
      <c r="I499" s="120" t="s">
        <v>688</v>
      </c>
      <c r="K499" s="240" t="s">
        <v>3344</v>
      </c>
      <c r="N499" s="193" t="s">
        <v>3208</v>
      </c>
    </row>
    <row r="500" spans="2:14" x14ac:dyDescent="0.3">
      <c r="B500" s="193">
        <v>6</v>
      </c>
      <c r="C500" s="193">
        <v>5000</v>
      </c>
      <c r="D500" s="193" t="s">
        <v>3030</v>
      </c>
      <c r="E500" s="193" t="s">
        <v>3195</v>
      </c>
      <c r="G500" s="193" t="s">
        <v>342</v>
      </c>
      <c r="H500" s="193" t="s">
        <v>3193</v>
      </c>
      <c r="I500" s="120" t="s">
        <v>688</v>
      </c>
      <c r="K500" s="240" t="s">
        <v>3345</v>
      </c>
      <c r="N500" s="193" t="s">
        <v>3210</v>
      </c>
    </row>
    <row r="501" spans="2:14" x14ac:dyDescent="0.3">
      <c r="B501" s="193">
        <v>6</v>
      </c>
      <c r="C501" s="193">
        <v>5000</v>
      </c>
      <c r="D501" s="193" t="s">
        <v>3030</v>
      </c>
      <c r="E501" s="193" t="s">
        <v>3196</v>
      </c>
      <c r="G501" s="193" t="s">
        <v>342</v>
      </c>
      <c r="H501" s="193" t="s">
        <v>3193</v>
      </c>
      <c r="I501" s="120" t="s">
        <v>688</v>
      </c>
      <c r="K501" s="240" t="s">
        <v>3344</v>
      </c>
      <c r="N501" s="193" t="s">
        <v>3208</v>
      </c>
    </row>
    <row r="502" spans="2:14" x14ac:dyDescent="0.3">
      <c r="B502" s="193">
        <v>6</v>
      </c>
      <c r="C502" s="193">
        <v>5000</v>
      </c>
      <c r="D502" s="193" t="s">
        <v>3192</v>
      </c>
      <c r="E502" s="193" t="s">
        <v>3192</v>
      </c>
      <c r="G502" s="193" t="s">
        <v>342</v>
      </c>
      <c r="H502" s="193" t="s">
        <v>3193</v>
      </c>
      <c r="I502" s="120" t="s">
        <v>688</v>
      </c>
      <c r="K502" s="240">
        <v>297850851</v>
      </c>
      <c r="N502" s="193" t="s">
        <v>3212</v>
      </c>
    </row>
    <row r="503" spans="2:14" x14ac:dyDescent="0.3">
      <c r="B503" s="193">
        <v>6</v>
      </c>
      <c r="C503" s="193">
        <v>5000</v>
      </c>
      <c r="D503" s="193" t="s">
        <v>3192</v>
      </c>
      <c r="E503" s="193" t="s">
        <v>2935</v>
      </c>
      <c r="G503" s="193" t="s">
        <v>342</v>
      </c>
      <c r="H503" s="193" t="s">
        <v>3193</v>
      </c>
      <c r="I503" s="120" t="s">
        <v>688</v>
      </c>
      <c r="K503" s="240">
        <v>297850851</v>
      </c>
      <c r="N503" s="193" t="s">
        <v>3212</v>
      </c>
    </row>
    <row r="504" spans="2:14" x14ac:dyDescent="0.3">
      <c r="B504" s="193">
        <v>6</v>
      </c>
      <c r="C504" s="193">
        <v>5000</v>
      </c>
      <c r="D504" s="193" t="s">
        <v>3192</v>
      </c>
      <c r="E504" s="193" t="s">
        <v>3195</v>
      </c>
      <c r="G504" s="193" t="s">
        <v>342</v>
      </c>
      <c r="H504" s="193" t="s">
        <v>3193</v>
      </c>
      <c r="I504" s="120" t="s">
        <v>688</v>
      </c>
      <c r="K504" s="240" t="s">
        <v>3346</v>
      </c>
      <c r="N504" s="193" t="s">
        <v>3214</v>
      </c>
    </row>
    <row r="505" spans="2:14" x14ac:dyDescent="0.3">
      <c r="B505" s="193">
        <v>6</v>
      </c>
      <c r="C505" s="193">
        <v>5000</v>
      </c>
      <c r="D505" s="193" t="s">
        <v>3192</v>
      </c>
      <c r="E505" s="193" t="s">
        <v>3196</v>
      </c>
      <c r="G505" s="193" t="s">
        <v>342</v>
      </c>
      <c r="H505" s="193" t="s">
        <v>3193</v>
      </c>
      <c r="I505" s="120" t="s">
        <v>688</v>
      </c>
      <c r="K505" s="240">
        <v>297850851</v>
      </c>
      <c r="N505" s="193" t="s">
        <v>3212</v>
      </c>
    </row>
    <row r="506" spans="2:14" x14ac:dyDescent="0.3">
      <c r="B506" s="193">
        <v>6</v>
      </c>
      <c r="C506" s="193">
        <v>7500</v>
      </c>
      <c r="D506" s="193" t="s">
        <v>3191</v>
      </c>
      <c r="E506" s="193" t="s">
        <v>3192</v>
      </c>
      <c r="G506" s="193" t="s">
        <v>342</v>
      </c>
      <c r="H506" s="193" t="s">
        <v>3193</v>
      </c>
      <c r="I506" s="120" t="s">
        <v>688</v>
      </c>
      <c r="K506" s="240">
        <v>298850851</v>
      </c>
      <c r="N506" s="193" t="s">
        <v>3194</v>
      </c>
    </row>
    <row r="507" spans="2:14" x14ac:dyDescent="0.3">
      <c r="B507" s="193">
        <v>6</v>
      </c>
      <c r="C507" s="193">
        <v>7500</v>
      </c>
      <c r="D507" s="193" t="s">
        <v>3191</v>
      </c>
      <c r="E507" s="193" t="s">
        <v>2935</v>
      </c>
      <c r="G507" s="193" t="s">
        <v>342</v>
      </c>
      <c r="H507" s="193" t="s">
        <v>3193</v>
      </c>
      <c r="I507" s="120" t="s">
        <v>688</v>
      </c>
      <c r="K507" s="240">
        <v>298850851</v>
      </c>
      <c r="N507" s="193" t="s">
        <v>3194</v>
      </c>
    </row>
    <row r="508" spans="2:14" x14ac:dyDescent="0.3">
      <c r="B508" s="193">
        <v>6</v>
      </c>
      <c r="C508" s="193">
        <v>7500</v>
      </c>
      <c r="D508" s="193" t="s">
        <v>3191</v>
      </c>
      <c r="E508" s="193" t="s">
        <v>3195</v>
      </c>
      <c r="G508" s="193" t="s">
        <v>342</v>
      </c>
      <c r="H508" s="193" t="s">
        <v>3193</v>
      </c>
      <c r="I508" s="120" t="s">
        <v>688</v>
      </c>
      <c r="K508" s="240" t="s">
        <v>3301</v>
      </c>
      <c r="N508" s="193" t="s">
        <v>3194</v>
      </c>
    </row>
    <row r="509" spans="2:14" x14ac:dyDescent="0.3">
      <c r="B509" s="193">
        <v>6</v>
      </c>
      <c r="C509" s="193">
        <v>7500</v>
      </c>
      <c r="D509" s="193" t="s">
        <v>3191</v>
      </c>
      <c r="E509" s="193" t="s">
        <v>3196</v>
      </c>
      <c r="G509" s="193" t="s">
        <v>342</v>
      </c>
      <c r="H509" s="193" t="s">
        <v>3193</v>
      </c>
      <c r="I509" s="120" t="s">
        <v>688</v>
      </c>
      <c r="K509" s="240">
        <v>298850851</v>
      </c>
      <c r="N509" s="193" t="s">
        <v>3194</v>
      </c>
    </row>
    <row r="510" spans="2:14" x14ac:dyDescent="0.3">
      <c r="B510" s="193">
        <v>6</v>
      </c>
      <c r="C510" s="193">
        <v>7500</v>
      </c>
      <c r="D510" s="193" t="s">
        <v>3196</v>
      </c>
      <c r="E510" s="193" t="s">
        <v>2935</v>
      </c>
      <c r="G510" s="193" t="s">
        <v>342</v>
      </c>
      <c r="H510" s="193" t="s">
        <v>3193</v>
      </c>
      <c r="I510" s="120" t="s">
        <v>688</v>
      </c>
      <c r="K510" s="240">
        <v>298850851</v>
      </c>
      <c r="N510" s="193" t="s">
        <v>3194</v>
      </c>
    </row>
    <row r="511" spans="2:14" x14ac:dyDescent="0.3">
      <c r="B511" s="193">
        <v>6</v>
      </c>
      <c r="C511" s="193">
        <v>7500</v>
      </c>
      <c r="D511" s="193" t="s">
        <v>3196</v>
      </c>
      <c r="E511" s="193" t="s">
        <v>3192</v>
      </c>
      <c r="G511" s="193" t="s">
        <v>342</v>
      </c>
      <c r="H511" s="193" t="s">
        <v>3193</v>
      </c>
      <c r="I511" s="120" t="s">
        <v>688</v>
      </c>
      <c r="K511" s="240">
        <v>298850851</v>
      </c>
      <c r="N511" s="193" t="s">
        <v>3194</v>
      </c>
    </row>
    <row r="512" spans="2:14" x14ac:dyDescent="0.3">
      <c r="B512" s="193">
        <v>6</v>
      </c>
      <c r="C512" s="193">
        <v>7500</v>
      </c>
      <c r="D512" s="193" t="s">
        <v>3196</v>
      </c>
      <c r="E512" s="193" t="s">
        <v>3195</v>
      </c>
      <c r="G512" s="193" t="s">
        <v>342</v>
      </c>
      <c r="H512" s="193" t="s">
        <v>3193</v>
      </c>
      <c r="I512" s="120" t="s">
        <v>688</v>
      </c>
      <c r="K512" s="240" t="s">
        <v>3301</v>
      </c>
      <c r="N512" s="193" t="s">
        <v>3194</v>
      </c>
    </row>
    <row r="513" spans="2:14" x14ac:dyDescent="0.3">
      <c r="B513" s="193">
        <v>6</v>
      </c>
      <c r="C513" s="193">
        <v>7500</v>
      </c>
      <c r="D513" s="193" t="s">
        <v>3196</v>
      </c>
      <c r="E513" s="193" t="s">
        <v>3196</v>
      </c>
      <c r="G513" s="193" t="s">
        <v>342</v>
      </c>
      <c r="H513" s="193" t="s">
        <v>3193</v>
      </c>
      <c r="I513" s="120" t="s">
        <v>688</v>
      </c>
      <c r="K513" s="240">
        <v>298850851</v>
      </c>
      <c r="N513" s="193" t="s">
        <v>3194</v>
      </c>
    </row>
    <row r="514" spans="2:14" x14ac:dyDescent="0.3">
      <c r="B514" s="193">
        <v>6</v>
      </c>
      <c r="C514" s="193">
        <v>7500</v>
      </c>
      <c r="D514" s="193" t="s">
        <v>3197</v>
      </c>
      <c r="E514" s="193" t="s">
        <v>3192</v>
      </c>
      <c r="G514" s="193" t="s">
        <v>342</v>
      </c>
      <c r="H514" s="193" t="s">
        <v>3193</v>
      </c>
      <c r="I514" s="120" t="s">
        <v>688</v>
      </c>
      <c r="K514" s="240" t="s">
        <v>3347</v>
      </c>
      <c r="N514" s="193" t="s">
        <v>3199</v>
      </c>
    </row>
    <row r="515" spans="2:14" x14ac:dyDescent="0.3">
      <c r="B515" s="193">
        <v>6</v>
      </c>
      <c r="C515" s="193">
        <v>7500</v>
      </c>
      <c r="D515" s="193" t="s">
        <v>3197</v>
      </c>
      <c r="E515" s="193" t="s">
        <v>2935</v>
      </c>
      <c r="G515" s="193" t="s">
        <v>342</v>
      </c>
      <c r="H515" s="193" t="s">
        <v>3193</v>
      </c>
      <c r="I515" s="120" t="s">
        <v>688</v>
      </c>
      <c r="K515" s="240" t="s">
        <v>3347</v>
      </c>
      <c r="N515" s="193" t="s">
        <v>3199</v>
      </c>
    </row>
    <row r="516" spans="2:14" x14ac:dyDescent="0.3">
      <c r="B516" s="193">
        <v>6</v>
      </c>
      <c r="C516" s="193">
        <v>7500</v>
      </c>
      <c r="D516" s="193" t="s">
        <v>3197</v>
      </c>
      <c r="E516" s="193" t="s">
        <v>3195</v>
      </c>
      <c r="G516" s="193" t="s">
        <v>342</v>
      </c>
      <c r="H516" s="193" t="s">
        <v>3193</v>
      </c>
      <c r="I516" s="120" t="s">
        <v>688</v>
      </c>
      <c r="K516" s="240" t="s">
        <v>3348</v>
      </c>
      <c r="N516" s="193" t="s">
        <v>3201</v>
      </c>
    </row>
    <row r="517" spans="2:14" x14ac:dyDescent="0.3">
      <c r="B517" s="193">
        <v>6</v>
      </c>
      <c r="C517" s="193">
        <v>7500</v>
      </c>
      <c r="D517" s="193" t="s">
        <v>3197</v>
      </c>
      <c r="E517" s="193" t="s">
        <v>3196</v>
      </c>
      <c r="G517" s="193" t="s">
        <v>342</v>
      </c>
      <c r="H517" s="193" t="s">
        <v>3193</v>
      </c>
      <c r="I517" s="120" t="s">
        <v>688</v>
      </c>
      <c r="K517" s="240" t="s">
        <v>3347</v>
      </c>
      <c r="N517" s="193" t="s">
        <v>3202</v>
      </c>
    </row>
    <row r="518" spans="2:14" x14ac:dyDescent="0.3">
      <c r="B518" s="193">
        <v>6</v>
      </c>
      <c r="C518" s="193">
        <v>7500</v>
      </c>
      <c r="D518" s="193" t="s">
        <v>2979</v>
      </c>
      <c r="E518" s="193" t="s">
        <v>3192</v>
      </c>
      <c r="G518" s="193" t="s">
        <v>342</v>
      </c>
      <c r="H518" s="193" t="s">
        <v>3193</v>
      </c>
      <c r="I518" s="120" t="s">
        <v>688</v>
      </c>
      <c r="K518" s="240" t="s">
        <v>3349</v>
      </c>
      <c r="N518" s="193" t="s">
        <v>3204</v>
      </c>
    </row>
    <row r="519" spans="2:14" x14ac:dyDescent="0.3">
      <c r="B519" s="193">
        <v>6</v>
      </c>
      <c r="C519" s="193">
        <v>7500</v>
      </c>
      <c r="D519" s="193" t="s">
        <v>2979</v>
      </c>
      <c r="E519" s="193" t="s">
        <v>2935</v>
      </c>
      <c r="G519" s="193" t="s">
        <v>342</v>
      </c>
      <c r="H519" s="193" t="s">
        <v>3193</v>
      </c>
      <c r="I519" s="120" t="s">
        <v>688</v>
      </c>
      <c r="K519" s="240" t="s">
        <v>3349</v>
      </c>
      <c r="N519" s="193" t="s">
        <v>3204</v>
      </c>
    </row>
    <row r="520" spans="2:14" x14ac:dyDescent="0.3">
      <c r="B520" s="193">
        <v>6</v>
      </c>
      <c r="C520" s="193">
        <v>7500</v>
      </c>
      <c r="D520" s="193" t="s">
        <v>2979</v>
      </c>
      <c r="E520" s="193" t="s">
        <v>3195</v>
      </c>
      <c r="G520" s="193" t="s">
        <v>342</v>
      </c>
      <c r="H520" s="193" t="s">
        <v>3193</v>
      </c>
      <c r="I520" s="120" t="s">
        <v>688</v>
      </c>
      <c r="K520" s="240" t="s">
        <v>3350</v>
      </c>
      <c r="N520" s="193" t="s">
        <v>3219</v>
      </c>
    </row>
    <row r="521" spans="2:14" x14ac:dyDescent="0.3">
      <c r="B521" s="193">
        <v>6</v>
      </c>
      <c r="C521" s="193">
        <v>7500</v>
      </c>
      <c r="D521" s="193" t="s">
        <v>2979</v>
      </c>
      <c r="E521" s="193" t="s">
        <v>3196</v>
      </c>
      <c r="G521" s="193" t="s">
        <v>342</v>
      </c>
      <c r="H521" s="193" t="s">
        <v>3193</v>
      </c>
      <c r="I521" s="120" t="s">
        <v>688</v>
      </c>
      <c r="K521" s="240" t="s">
        <v>3349</v>
      </c>
      <c r="N521" s="193" t="s">
        <v>3204</v>
      </c>
    </row>
    <row r="522" spans="2:14" x14ac:dyDescent="0.3">
      <c r="B522" s="193">
        <v>6</v>
      </c>
      <c r="C522" s="193">
        <v>7500</v>
      </c>
      <c r="D522" s="193" t="s">
        <v>3207</v>
      </c>
      <c r="E522" s="193" t="s">
        <v>3192</v>
      </c>
      <c r="G522" s="193" t="s">
        <v>342</v>
      </c>
      <c r="H522" s="193" t="s">
        <v>3193</v>
      </c>
      <c r="I522" s="120" t="s">
        <v>688</v>
      </c>
      <c r="K522" s="240" t="s">
        <v>3349</v>
      </c>
      <c r="N522" s="193" t="s">
        <v>3204</v>
      </c>
    </row>
    <row r="523" spans="2:14" x14ac:dyDescent="0.3">
      <c r="B523" s="193">
        <v>6</v>
      </c>
      <c r="C523" s="193">
        <v>7500</v>
      </c>
      <c r="D523" s="193" t="s">
        <v>3207</v>
      </c>
      <c r="E523" s="193" t="s">
        <v>2935</v>
      </c>
      <c r="G523" s="193" t="s">
        <v>342</v>
      </c>
      <c r="H523" s="193" t="s">
        <v>3193</v>
      </c>
      <c r="I523" s="120" t="s">
        <v>688</v>
      </c>
      <c r="K523" s="240" t="s">
        <v>3349</v>
      </c>
      <c r="N523" s="193" t="s">
        <v>3204</v>
      </c>
    </row>
    <row r="524" spans="2:14" x14ac:dyDescent="0.3">
      <c r="B524" s="193">
        <v>6</v>
      </c>
      <c r="C524" s="193">
        <v>7500</v>
      </c>
      <c r="D524" s="193" t="s">
        <v>3207</v>
      </c>
      <c r="E524" s="193" t="s">
        <v>3195</v>
      </c>
      <c r="G524" s="193" t="s">
        <v>342</v>
      </c>
      <c r="H524" s="193" t="s">
        <v>3193</v>
      </c>
      <c r="I524" s="120" t="s">
        <v>688</v>
      </c>
      <c r="K524" s="240" t="s">
        <v>3350</v>
      </c>
      <c r="N524" s="193" t="s">
        <v>3219</v>
      </c>
    </row>
    <row r="525" spans="2:14" x14ac:dyDescent="0.3">
      <c r="B525" s="193">
        <v>6</v>
      </c>
      <c r="C525" s="193">
        <v>7500</v>
      </c>
      <c r="D525" s="193" t="s">
        <v>3207</v>
      </c>
      <c r="E525" s="193" t="s">
        <v>3196</v>
      </c>
      <c r="G525" s="193" t="s">
        <v>342</v>
      </c>
      <c r="H525" s="193" t="s">
        <v>3193</v>
      </c>
      <c r="I525" s="120" t="s">
        <v>688</v>
      </c>
      <c r="K525" s="240" t="s">
        <v>3349</v>
      </c>
      <c r="N525" s="193" t="s">
        <v>3204</v>
      </c>
    </row>
    <row r="526" spans="2:14" x14ac:dyDescent="0.3">
      <c r="B526" s="193">
        <v>6</v>
      </c>
      <c r="C526" s="193">
        <v>7500</v>
      </c>
      <c r="D526" s="193" t="s">
        <v>3030</v>
      </c>
      <c r="E526" s="193" t="s">
        <v>3192</v>
      </c>
      <c r="G526" s="193" t="s">
        <v>342</v>
      </c>
      <c r="H526" s="193" t="s">
        <v>3193</v>
      </c>
      <c r="I526" s="120" t="s">
        <v>688</v>
      </c>
      <c r="K526" s="240" t="s">
        <v>3351</v>
      </c>
      <c r="N526" s="193" t="s">
        <v>3208</v>
      </c>
    </row>
    <row r="527" spans="2:14" x14ac:dyDescent="0.3">
      <c r="B527" s="193">
        <v>6</v>
      </c>
      <c r="C527" s="193">
        <v>7500</v>
      </c>
      <c r="D527" s="193" t="s">
        <v>3030</v>
      </c>
      <c r="E527" s="193" t="s">
        <v>2935</v>
      </c>
      <c r="G527" s="193" t="s">
        <v>342</v>
      </c>
      <c r="H527" s="193" t="s">
        <v>3193</v>
      </c>
      <c r="I527" s="120" t="s">
        <v>688</v>
      </c>
      <c r="K527" s="240" t="s">
        <v>3351</v>
      </c>
      <c r="N527" s="193" t="s">
        <v>3208</v>
      </c>
    </row>
    <row r="528" spans="2:14" x14ac:dyDescent="0.3">
      <c r="B528" s="193">
        <v>6</v>
      </c>
      <c r="C528" s="193">
        <v>7500</v>
      </c>
      <c r="D528" s="193" t="s">
        <v>3030</v>
      </c>
      <c r="E528" s="193" t="s">
        <v>3195</v>
      </c>
      <c r="G528" s="193" t="s">
        <v>342</v>
      </c>
      <c r="H528" s="193" t="s">
        <v>3193</v>
      </c>
      <c r="I528" s="120" t="s">
        <v>688</v>
      </c>
      <c r="K528" s="240" t="s">
        <v>3352</v>
      </c>
      <c r="N528" s="193" t="s">
        <v>3210</v>
      </c>
    </row>
    <row r="529" spans="2:14" x14ac:dyDescent="0.3">
      <c r="B529" s="193">
        <v>6</v>
      </c>
      <c r="C529" s="193">
        <v>7500</v>
      </c>
      <c r="D529" s="193" t="s">
        <v>3030</v>
      </c>
      <c r="E529" s="193" t="s">
        <v>3196</v>
      </c>
      <c r="G529" s="193" t="s">
        <v>342</v>
      </c>
      <c r="H529" s="193" t="s">
        <v>3193</v>
      </c>
      <c r="I529" s="120" t="s">
        <v>688</v>
      </c>
      <c r="K529" s="240" t="s">
        <v>3351</v>
      </c>
      <c r="N529" s="193" t="s">
        <v>3208</v>
      </c>
    </row>
    <row r="530" spans="2:14" x14ac:dyDescent="0.3">
      <c r="B530" s="193">
        <v>6</v>
      </c>
      <c r="C530" s="193">
        <v>7500</v>
      </c>
      <c r="D530" s="193" t="s">
        <v>3192</v>
      </c>
      <c r="E530" s="193" t="s">
        <v>3192</v>
      </c>
      <c r="G530" s="193" t="s">
        <v>342</v>
      </c>
      <c r="H530" s="193" t="s">
        <v>3193</v>
      </c>
      <c r="I530" s="120" t="s">
        <v>688</v>
      </c>
      <c r="K530" s="240">
        <v>298850851</v>
      </c>
      <c r="N530" s="193" t="s">
        <v>3212</v>
      </c>
    </row>
    <row r="531" spans="2:14" x14ac:dyDescent="0.3">
      <c r="B531" s="193">
        <v>6</v>
      </c>
      <c r="C531" s="193">
        <v>7500</v>
      </c>
      <c r="D531" s="193" t="s">
        <v>3192</v>
      </c>
      <c r="E531" s="193" t="s">
        <v>2935</v>
      </c>
      <c r="G531" s="193" t="s">
        <v>342</v>
      </c>
      <c r="H531" s="193" t="s">
        <v>3193</v>
      </c>
      <c r="I531" s="120" t="s">
        <v>688</v>
      </c>
      <c r="K531" s="240">
        <v>298850851</v>
      </c>
      <c r="N531" s="193" t="s">
        <v>3212</v>
      </c>
    </row>
    <row r="532" spans="2:14" x14ac:dyDescent="0.3">
      <c r="B532" s="193">
        <v>6</v>
      </c>
      <c r="C532" s="193">
        <v>7500</v>
      </c>
      <c r="D532" s="193" t="s">
        <v>3192</v>
      </c>
      <c r="E532" s="193" t="s">
        <v>3195</v>
      </c>
      <c r="G532" s="193" t="s">
        <v>342</v>
      </c>
      <c r="H532" s="193" t="s">
        <v>3193</v>
      </c>
      <c r="I532" s="120" t="s">
        <v>688</v>
      </c>
      <c r="K532" s="240" t="s">
        <v>3353</v>
      </c>
      <c r="N532" s="193" t="s">
        <v>3214</v>
      </c>
    </row>
    <row r="533" spans="2:14" x14ac:dyDescent="0.3">
      <c r="B533" s="193">
        <v>6</v>
      </c>
      <c r="C533" s="193">
        <v>7500</v>
      </c>
      <c r="D533" s="193" t="s">
        <v>3192</v>
      </c>
      <c r="E533" s="193" t="s">
        <v>3196</v>
      </c>
      <c r="G533" s="193" t="s">
        <v>342</v>
      </c>
      <c r="H533" s="193" t="s">
        <v>3193</v>
      </c>
      <c r="I533" s="120" t="s">
        <v>688</v>
      </c>
      <c r="K533" s="240">
        <v>298850851</v>
      </c>
      <c r="N533" s="193" t="s">
        <v>3212</v>
      </c>
    </row>
    <row r="534" spans="2:14" x14ac:dyDescent="0.3">
      <c r="B534" s="193">
        <v>6</v>
      </c>
      <c r="C534" s="193">
        <v>10000</v>
      </c>
      <c r="D534" s="193" t="s">
        <v>3191</v>
      </c>
      <c r="E534" s="193" t="s">
        <v>3192</v>
      </c>
      <c r="G534" s="193" t="s">
        <v>342</v>
      </c>
      <c r="H534" s="193" t="s">
        <v>3193</v>
      </c>
      <c r="I534" s="120" t="s">
        <v>688</v>
      </c>
      <c r="K534" s="240">
        <v>299850851</v>
      </c>
      <c r="N534" s="193" t="s">
        <v>3194</v>
      </c>
    </row>
    <row r="535" spans="2:14" x14ac:dyDescent="0.3">
      <c r="B535" s="193">
        <v>6</v>
      </c>
      <c r="C535" s="193">
        <v>10000</v>
      </c>
      <c r="D535" s="193" t="s">
        <v>3191</v>
      </c>
      <c r="E535" s="193" t="s">
        <v>2935</v>
      </c>
      <c r="G535" s="193" t="s">
        <v>342</v>
      </c>
      <c r="H535" s="193" t="s">
        <v>3193</v>
      </c>
      <c r="I535" s="120" t="s">
        <v>688</v>
      </c>
      <c r="K535" s="240">
        <v>299850851</v>
      </c>
      <c r="N535" s="193" t="s">
        <v>3194</v>
      </c>
    </row>
    <row r="536" spans="2:14" x14ac:dyDescent="0.3">
      <c r="B536" s="193">
        <v>6</v>
      </c>
      <c r="C536" s="193">
        <v>10000</v>
      </c>
      <c r="D536" s="193" t="s">
        <v>3191</v>
      </c>
      <c r="E536" s="193" t="s">
        <v>3195</v>
      </c>
      <c r="G536" s="193" t="s">
        <v>342</v>
      </c>
      <c r="H536" s="193" t="s">
        <v>3193</v>
      </c>
      <c r="I536" s="120" t="s">
        <v>688</v>
      </c>
      <c r="K536" s="240" t="s">
        <v>3354</v>
      </c>
      <c r="N536" s="193" t="s">
        <v>3194</v>
      </c>
    </row>
    <row r="537" spans="2:14" x14ac:dyDescent="0.3">
      <c r="B537" s="193">
        <v>6</v>
      </c>
      <c r="C537" s="193">
        <v>10000</v>
      </c>
      <c r="D537" s="193" t="s">
        <v>3191</v>
      </c>
      <c r="E537" s="193" t="s">
        <v>3196</v>
      </c>
      <c r="G537" s="193" t="s">
        <v>342</v>
      </c>
      <c r="H537" s="193" t="s">
        <v>3193</v>
      </c>
      <c r="I537" s="120" t="s">
        <v>688</v>
      </c>
      <c r="K537" s="240">
        <v>299850851</v>
      </c>
      <c r="N537" s="193" t="s">
        <v>3194</v>
      </c>
    </row>
    <row r="538" spans="2:14" x14ac:dyDescent="0.3">
      <c r="B538" s="193">
        <v>6</v>
      </c>
      <c r="C538" s="193">
        <v>10000</v>
      </c>
      <c r="D538" s="193" t="s">
        <v>3196</v>
      </c>
      <c r="E538" s="193" t="s">
        <v>2935</v>
      </c>
      <c r="G538" s="193" t="s">
        <v>342</v>
      </c>
      <c r="H538" s="193" t="s">
        <v>3193</v>
      </c>
      <c r="I538" s="120" t="s">
        <v>688</v>
      </c>
      <c r="K538" s="240">
        <v>299850851</v>
      </c>
      <c r="N538" s="193" t="s">
        <v>3194</v>
      </c>
    </row>
    <row r="539" spans="2:14" x14ac:dyDescent="0.3">
      <c r="B539" s="193">
        <v>6</v>
      </c>
      <c r="C539" s="193">
        <v>10000</v>
      </c>
      <c r="D539" s="193" t="s">
        <v>3196</v>
      </c>
      <c r="E539" s="193" t="s">
        <v>3192</v>
      </c>
      <c r="G539" s="193" t="s">
        <v>342</v>
      </c>
      <c r="H539" s="193" t="s">
        <v>3193</v>
      </c>
      <c r="I539" s="120" t="s">
        <v>688</v>
      </c>
      <c r="K539" s="240">
        <v>299850851</v>
      </c>
      <c r="N539" s="193" t="s">
        <v>3194</v>
      </c>
    </row>
    <row r="540" spans="2:14" x14ac:dyDescent="0.3">
      <c r="B540" s="193">
        <v>6</v>
      </c>
      <c r="C540" s="193">
        <v>10000</v>
      </c>
      <c r="D540" s="193" t="s">
        <v>3196</v>
      </c>
      <c r="E540" s="193" t="s">
        <v>3195</v>
      </c>
      <c r="G540" s="193" t="s">
        <v>342</v>
      </c>
      <c r="H540" s="193" t="s">
        <v>3193</v>
      </c>
      <c r="I540" s="120" t="s">
        <v>688</v>
      </c>
      <c r="K540" s="240" t="s">
        <v>3354</v>
      </c>
      <c r="N540" s="193" t="s">
        <v>3194</v>
      </c>
    </row>
    <row r="541" spans="2:14" x14ac:dyDescent="0.3">
      <c r="B541" s="193">
        <v>6</v>
      </c>
      <c r="C541" s="193">
        <v>10000</v>
      </c>
      <c r="D541" s="193" t="s">
        <v>3196</v>
      </c>
      <c r="E541" s="193" t="s">
        <v>3196</v>
      </c>
      <c r="G541" s="193" t="s">
        <v>342</v>
      </c>
      <c r="H541" s="193" t="s">
        <v>3193</v>
      </c>
      <c r="I541" s="120" t="s">
        <v>688</v>
      </c>
      <c r="K541" s="240">
        <v>299850851</v>
      </c>
      <c r="N541" s="193" t="s">
        <v>3194</v>
      </c>
    </row>
    <row r="542" spans="2:14" x14ac:dyDescent="0.3">
      <c r="B542" s="193">
        <v>6</v>
      </c>
      <c r="C542" s="193">
        <v>10000</v>
      </c>
      <c r="D542" s="193" t="s">
        <v>3197</v>
      </c>
      <c r="E542" s="193" t="s">
        <v>3192</v>
      </c>
      <c r="G542" s="193" t="s">
        <v>342</v>
      </c>
      <c r="H542" s="193" t="s">
        <v>3193</v>
      </c>
      <c r="I542" s="120" t="s">
        <v>688</v>
      </c>
      <c r="K542" s="240" t="s">
        <v>3355</v>
      </c>
      <c r="N542" s="193" t="s">
        <v>3199</v>
      </c>
    </row>
    <row r="543" spans="2:14" x14ac:dyDescent="0.3">
      <c r="B543" s="193">
        <v>6</v>
      </c>
      <c r="C543" s="193">
        <v>10000</v>
      </c>
      <c r="D543" s="193" t="s">
        <v>3197</v>
      </c>
      <c r="E543" s="193" t="s">
        <v>2935</v>
      </c>
      <c r="G543" s="193" t="s">
        <v>342</v>
      </c>
      <c r="H543" s="193" t="s">
        <v>3193</v>
      </c>
      <c r="I543" s="120" t="s">
        <v>688</v>
      </c>
      <c r="K543" s="240" t="s">
        <v>3355</v>
      </c>
      <c r="N543" s="193" t="s">
        <v>3199</v>
      </c>
    </row>
    <row r="544" spans="2:14" x14ac:dyDescent="0.3">
      <c r="B544" s="193">
        <v>6</v>
      </c>
      <c r="C544" s="193">
        <v>10000</v>
      </c>
      <c r="D544" s="193" t="s">
        <v>3197</v>
      </c>
      <c r="E544" s="193" t="s">
        <v>3195</v>
      </c>
      <c r="G544" s="193" t="s">
        <v>342</v>
      </c>
      <c r="H544" s="193" t="s">
        <v>3193</v>
      </c>
      <c r="I544" s="120" t="s">
        <v>688</v>
      </c>
      <c r="K544" s="240" t="s">
        <v>3356</v>
      </c>
      <c r="N544" s="193" t="s">
        <v>3201</v>
      </c>
    </row>
    <row r="545" spans="2:14" x14ac:dyDescent="0.3">
      <c r="B545" s="193">
        <v>6</v>
      </c>
      <c r="C545" s="193">
        <v>10000</v>
      </c>
      <c r="D545" s="193" t="s">
        <v>3197</v>
      </c>
      <c r="E545" s="193" t="s">
        <v>3196</v>
      </c>
      <c r="G545" s="193" t="s">
        <v>342</v>
      </c>
      <c r="H545" s="193" t="s">
        <v>3193</v>
      </c>
      <c r="I545" s="120" t="s">
        <v>688</v>
      </c>
      <c r="K545" s="240" t="s">
        <v>3355</v>
      </c>
      <c r="N545" s="193" t="s">
        <v>3202</v>
      </c>
    </row>
    <row r="546" spans="2:14" x14ac:dyDescent="0.3">
      <c r="B546" s="193">
        <v>6</v>
      </c>
      <c r="C546" s="193">
        <v>10000</v>
      </c>
      <c r="D546" s="193" t="s">
        <v>2979</v>
      </c>
      <c r="E546" s="193" t="s">
        <v>3192</v>
      </c>
      <c r="G546" s="193" t="s">
        <v>342</v>
      </c>
      <c r="H546" s="193" t="s">
        <v>3193</v>
      </c>
      <c r="I546" s="120" t="s">
        <v>688</v>
      </c>
      <c r="K546" s="240" t="s">
        <v>3357</v>
      </c>
      <c r="N546" s="193" t="s">
        <v>3204</v>
      </c>
    </row>
    <row r="547" spans="2:14" x14ac:dyDescent="0.3">
      <c r="B547" s="193">
        <v>6</v>
      </c>
      <c r="C547" s="193">
        <v>10000</v>
      </c>
      <c r="D547" s="193" t="s">
        <v>2979</v>
      </c>
      <c r="E547" s="193" t="s">
        <v>2935</v>
      </c>
      <c r="G547" s="193" t="s">
        <v>342</v>
      </c>
      <c r="H547" s="193" t="s">
        <v>3193</v>
      </c>
      <c r="I547" s="120" t="s">
        <v>688</v>
      </c>
      <c r="K547" s="240" t="s">
        <v>3357</v>
      </c>
      <c r="N547" s="193" t="s">
        <v>3204</v>
      </c>
    </row>
    <row r="548" spans="2:14" x14ac:dyDescent="0.3">
      <c r="B548" s="193">
        <v>6</v>
      </c>
      <c r="C548" s="193">
        <v>10000</v>
      </c>
      <c r="D548" s="193" t="s">
        <v>2979</v>
      </c>
      <c r="E548" s="193" t="s">
        <v>3195</v>
      </c>
      <c r="G548" s="193" t="s">
        <v>342</v>
      </c>
      <c r="H548" s="193" t="s">
        <v>3193</v>
      </c>
      <c r="I548" s="120" t="s">
        <v>688</v>
      </c>
      <c r="K548" s="240" t="s">
        <v>3358</v>
      </c>
      <c r="N548" s="193" t="s">
        <v>3219</v>
      </c>
    </row>
    <row r="549" spans="2:14" x14ac:dyDescent="0.3">
      <c r="B549" s="193">
        <v>6</v>
      </c>
      <c r="C549" s="193">
        <v>10000</v>
      </c>
      <c r="D549" s="193" t="s">
        <v>2979</v>
      </c>
      <c r="E549" s="193" t="s">
        <v>3196</v>
      </c>
      <c r="G549" s="193" t="s">
        <v>342</v>
      </c>
      <c r="H549" s="193" t="s">
        <v>3193</v>
      </c>
      <c r="I549" s="120" t="s">
        <v>688</v>
      </c>
      <c r="K549" s="240" t="s">
        <v>3357</v>
      </c>
      <c r="N549" s="193" t="s">
        <v>3204</v>
      </c>
    </row>
    <row r="550" spans="2:14" x14ac:dyDescent="0.3">
      <c r="B550" s="193">
        <v>6</v>
      </c>
      <c r="C550" s="193">
        <v>10000</v>
      </c>
      <c r="D550" s="193" t="s">
        <v>3207</v>
      </c>
      <c r="E550" s="193" t="s">
        <v>3192</v>
      </c>
      <c r="G550" s="193" t="s">
        <v>342</v>
      </c>
      <c r="H550" s="193" t="s">
        <v>3193</v>
      </c>
      <c r="I550" s="120" t="s">
        <v>688</v>
      </c>
      <c r="K550" s="240" t="s">
        <v>3357</v>
      </c>
      <c r="N550" s="193" t="s">
        <v>3204</v>
      </c>
    </row>
    <row r="551" spans="2:14" x14ac:dyDescent="0.3">
      <c r="B551" s="193">
        <v>6</v>
      </c>
      <c r="C551" s="193">
        <v>10000</v>
      </c>
      <c r="D551" s="193" t="s">
        <v>3207</v>
      </c>
      <c r="E551" s="193" t="s">
        <v>2935</v>
      </c>
      <c r="G551" s="193" t="s">
        <v>342</v>
      </c>
      <c r="H551" s="193" t="s">
        <v>3193</v>
      </c>
      <c r="I551" s="120" t="s">
        <v>688</v>
      </c>
      <c r="K551" s="240" t="s">
        <v>3357</v>
      </c>
      <c r="N551" s="193" t="s">
        <v>3204</v>
      </c>
    </row>
    <row r="552" spans="2:14" x14ac:dyDescent="0.3">
      <c r="B552" s="193">
        <v>6</v>
      </c>
      <c r="C552" s="193">
        <v>10000</v>
      </c>
      <c r="D552" s="193" t="s">
        <v>3207</v>
      </c>
      <c r="E552" s="193" t="s">
        <v>3195</v>
      </c>
      <c r="G552" s="193" t="s">
        <v>342</v>
      </c>
      <c r="H552" s="193" t="s">
        <v>3193</v>
      </c>
      <c r="I552" s="120" t="s">
        <v>688</v>
      </c>
      <c r="K552" s="240" t="s">
        <v>3313</v>
      </c>
      <c r="N552" s="193" t="s">
        <v>3219</v>
      </c>
    </row>
    <row r="553" spans="2:14" x14ac:dyDescent="0.3">
      <c r="B553" s="193">
        <v>6</v>
      </c>
      <c r="C553" s="193">
        <v>10000</v>
      </c>
      <c r="D553" s="193" t="s">
        <v>3207</v>
      </c>
      <c r="E553" s="193" t="s">
        <v>3196</v>
      </c>
      <c r="G553" s="193" t="s">
        <v>342</v>
      </c>
      <c r="H553" s="193" t="s">
        <v>3193</v>
      </c>
      <c r="I553" s="120" t="s">
        <v>688</v>
      </c>
      <c r="K553" s="240" t="s">
        <v>3357</v>
      </c>
      <c r="N553" s="193" t="s">
        <v>3204</v>
      </c>
    </row>
    <row r="554" spans="2:14" x14ac:dyDescent="0.3">
      <c r="B554" s="193">
        <v>6</v>
      </c>
      <c r="C554" s="193">
        <v>10000</v>
      </c>
      <c r="D554" s="193" t="s">
        <v>3030</v>
      </c>
      <c r="E554" s="193" t="s">
        <v>3192</v>
      </c>
      <c r="G554" s="193" t="s">
        <v>342</v>
      </c>
      <c r="H554" s="193" t="s">
        <v>3193</v>
      </c>
      <c r="I554" s="120" t="s">
        <v>688</v>
      </c>
      <c r="K554" s="240" t="s">
        <v>3359</v>
      </c>
      <c r="N554" s="193" t="s">
        <v>3208</v>
      </c>
    </row>
    <row r="555" spans="2:14" x14ac:dyDescent="0.3">
      <c r="B555" s="193">
        <v>6</v>
      </c>
      <c r="C555" s="193">
        <v>10000</v>
      </c>
      <c r="D555" s="193" t="s">
        <v>3030</v>
      </c>
      <c r="E555" s="193" t="s">
        <v>2935</v>
      </c>
      <c r="G555" s="193" t="s">
        <v>342</v>
      </c>
      <c r="H555" s="193" t="s">
        <v>3193</v>
      </c>
      <c r="I555" s="120" t="s">
        <v>688</v>
      </c>
      <c r="K555" s="240" t="s">
        <v>3359</v>
      </c>
      <c r="N555" s="193" t="s">
        <v>3208</v>
      </c>
    </row>
    <row r="556" spans="2:14" x14ac:dyDescent="0.3">
      <c r="B556" s="193">
        <v>6</v>
      </c>
      <c r="C556" s="193">
        <v>10000</v>
      </c>
      <c r="D556" s="193" t="s">
        <v>3030</v>
      </c>
      <c r="E556" s="193" t="s">
        <v>3195</v>
      </c>
      <c r="G556" s="193" t="s">
        <v>342</v>
      </c>
      <c r="H556" s="193" t="s">
        <v>3193</v>
      </c>
      <c r="I556" s="120" t="s">
        <v>688</v>
      </c>
      <c r="K556" s="240" t="s">
        <v>3360</v>
      </c>
      <c r="N556" s="193" t="s">
        <v>3210</v>
      </c>
    </row>
    <row r="557" spans="2:14" x14ac:dyDescent="0.3">
      <c r="B557" s="193">
        <v>6</v>
      </c>
      <c r="C557" s="193">
        <v>10000</v>
      </c>
      <c r="D557" s="193" t="s">
        <v>3030</v>
      </c>
      <c r="E557" s="193" t="s">
        <v>3196</v>
      </c>
      <c r="G557" s="193" t="s">
        <v>342</v>
      </c>
      <c r="H557" s="193" t="s">
        <v>3193</v>
      </c>
      <c r="I557" s="120" t="s">
        <v>688</v>
      </c>
      <c r="K557" s="240" t="s">
        <v>3359</v>
      </c>
      <c r="N557" s="193" t="s">
        <v>3208</v>
      </c>
    </row>
    <row r="558" spans="2:14" x14ac:dyDescent="0.3">
      <c r="B558" s="193">
        <v>6</v>
      </c>
      <c r="C558" s="193">
        <v>10000</v>
      </c>
      <c r="D558" s="193" t="s">
        <v>3192</v>
      </c>
      <c r="E558" s="193" t="s">
        <v>3192</v>
      </c>
      <c r="G558" s="193" t="s">
        <v>342</v>
      </c>
      <c r="H558" s="193" t="s">
        <v>3193</v>
      </c>
      <c r="I558" s="120" t="s">
        <v>688</v>
      </c>
      <c r="K558" s="240">
        <v>299850851</v>
      </c>
      <c r="N558" s="193" t="s">
        <v>3212</v>
      </c>
    </row>
    <row r="559" spans="2:14" x14ac:dyDescent="0.3">
      <c r="B559" s="193">
        <v>6</v>
      </c>
      <c r="C559" s="193">
        <v>10000</v>
      </c>
      <c r="D559" s="193" t="s">
        <v>3192</v>
      </c>
      <c r="E559" s="193" t="s">
        <v>2935</v>
      </c>
      <c r="G559" s="193" t="s">
        <v>342</v>
      </c>
      <c r="H559" s="193" t="s">
        <v>3193</v>
      </c>
      <c r="I559" s="120" t="s">
        <v>688</v>
      </c>
      <c r="K559" s="240">
        <v>299850851</v>
      </c>
      <c r="N559" s="193" t="s">
        <v>3212</v>
      </c>
    </row>
    <row r="560" spans="2:14" x14ac:dyDescent="0.3">
      <c r="B560" s="193">
        <v>6</v>
      </c>
      <c r="C560" s="193">
        <v>10000</v>
      </c>
      <c r="D560" s="193" t="s">
        <v>3192</v>
      </c>
      <c r="E560" s="193" t="s">
        <v>3195</v>
      </c>
      <c r="G560" s="193" t="s">
        <v>342</v>
      </c>
      <c r="H560" s="193" t="s">
        <v>3193</v>
      </c>
      <c r="I560" s="120" t="s">
        <v>688</v>
      </c>
      <c r="K560" s="240" t="s">
        <v>3361</v>
      </c>
      <c r="N560" s="193" t="s">
        <v>3214</v>
      </c>
    </row>
    <row r="561" spans="2:14" x14ac:dyDescent="0.3">
      <c r="B561" s="193">
        <v>6</v>
      </c>
      <c r="C561" s="193">
        <v>10000</v>
      </c>
      <c r="D561" s="193" t="s">
        <v>3192</v>
      </c>
      <c r="E561" s="193" t="s">
        <v>3196</v>
      </c>
      <c r="G561" s="193" t="s">
        <v>342</v>
      </c>
      <c r="H561" s="193" t="s">
        <v>3193</v>
      </c>
      <c r="I561" s="120" t="s">
        <v>688</v>
      </c>
      <c r="K561" s="240">
        <v>299850851</v>
      </c>
      <c r="N561" s="193" t="s">
        <v>3212</v>
      </c>
    </row>
    <row r="562" spans="2:14" x14ac:dyDescent="0.3">
      <c r="B562" s="193">
        <v>6</v>
      </c>
      <c r="C562" s="193">
        <v>15000</v>
      </c>
      <c r="D562" s="193" t="s">
        <v>3191</v>
      </c>
      <c r="E562" s="193" t="s">
        <v>3192</v>
      </c>
      <c r="G562" s="193" t="s">
        <v>342</v>
      </c>
      <c r="H562" s="193" t="s">
        <v>3193</v>
      </c>
      <c r="I562" s="120" t="s">
        <v>688</v>
      </c>
      <c r="K562" s="240">
        <v>300850851</v>
      </c>
      <c r="N562" s="193" t="s">
        <v>3194</v>
      </c>
    </row>
    <row r="563" spans="2:14" x14ac:dyDescent="0.3">
      <c r="B563" s="193">
        <v>6</v>
      </c>
      <c r="C563" s="193">
        <v>15000</v>
      </c>
      <c r="D563" s="193" t="s">
        <v>3191</v>
      </c>
      <c r="E563" s="193" t="s">
        <v>2935</v>
      </c>
      <c r="G563" s="193" t="s">
        <v>342</v>
      </c>
      <c r="H563" s="193" t="s">
        <v>3193</v>
      </c>
      <c r="I563" s="120" t="s">
        <v>688</v>
      </c>
      <c r="K563" s="240">
        <v>300850851</v>
      </c>
      <c r="N563" s="193" t="s">
        <v>3194</v>
      </c>
    </row>
    <row r="564" spans="2:14" x14ac:dyDescent="0.3">
      <c r="B564" s="193">
        <v>6</v>
      </c>
      <c r="C564" s="193">
        <v>15000</v>
      </c>
      <c r="D564" s="193" t="s">
        <v>3191</v>
      </c>
      <c r="E564" s="193" t="s">
        <v>3195</v>
      </c>
      <c r="G564" s="193" t="s">
        <v>342</v>
      </c>
      <c r="H564" s="193" t="s">
        <v>3193</v>
      </c>
      <c r="I564" s="120" t="s">
        <v>688</v>
      </c>
      <c r="K564" s="240" t="s">
        <v>3362</v>
      </c>
      <c r="N564" s="193" t="s">
        <v>3194</v>
      </c>
    </row>
    <row r="565" spans="2:14" x14ac:dyDescent="0.3">
      <c r="B565" s="193">
        <v>6</v>
      </c>
      <c r="C565" s="193">
        <v>15000</v>
      </c>
      <c r="D565" s="193" t="s">
        <v>3191</v>
      </c>
      <c r="E565" s="193" t="s">
        <v>3196</v>
      </c>
      <c r="G565" s="193" t="s">
        <v>342</v>
      </c>
      <c r="H565" s="193" t="s">
        <v>3193</v>
      </c>
      <c r="I565" s="120" t="s">
        <v>688</v>
      </c>
      <c r="K565" s="240">
        <v>300850851</v>
      </c>
      <c r="N565" s="193" t="s">
        <v>3194</v>
      </c>
    </row>
    <row r="566" spans="2:14" x14ac:dyDescent="0.3">
      <c r="B566" s="193">
        <v>6</v>
      </c>
      <c r="C566" s="193">
        <v>15000</v>
      </c>
      <c r="D566" s="193" t="s">
        <v>3196</v>
      </c>
      <c r="E566" s="193" t="s">
        <v>2935</v>
      </c>
      <c r="G566" s="193" t="s">
        <v>342</v>
      </c>
      <c r="H566" s="193" t="s">
        <v>3193</v>
      </c>
      <c r="I566" s="120" t="s">
        <v>688</v>
      </c>
      <c r="K566" s="240">
        <v>300850851</v>
      </c>
      <c r="N566" s="193" t="s">
        <v>3194</v>
      </c>
    </row>
    <row r="567" spans="2:14" x14ac:dyDescent="0.3">
      <c r="B567" s="193">
        <v>6</v>
      </c>
      <c r="C567" s="193">
        <v>15000</v>
      </c>
      <c r="D567" s="193" t="s">
        <v>3196</v>
      </c>
      <c r="E567" s="193" t="s">
        <v>3192</v>
      </c>
      <c r="G567" s="193" t="s">
        <v>342</v>
      </c>
      <c r="H567" s="193" t="s">
        <v>3193</v>
      </c>
      <c r="I567" s="120" t="s">
        <v>688</v>
      </c>
      <c r="K567" s="240">
        <v>300850851</v>
      </c>
      <c r="N567" s="193" t="s">
        <v>3194</v>
      </c>
    </row>
    <row r="568" spans="2:14" x14ac:dyDescent="0.3">
      <c r="B568" s="193">
        <v>6</v>
      </c>
      <c r="C568" s="193">
        <v>15000</v>
      </c>
      <c r="D568" s="193" t="s">
        <v>3196</v>
      </c>
      <c r="E568" s="193" t="s">
        <v>3195</v>
      </c>
      <c r="G568" s="193" t="s">
        <v>342</v>
      </c>
      <c r="H568" s="193" t="s">
        <v>3193</v>
      </c>
      <c r="I568" s="120" t="s">
        <v>688</v>
      </c>
      <c r="K568" s="240" t="s">
        <v>3362</v>
      </c>
      <c r="N568" s="193" t="s">
        <v>3194</v>
      </c>
    </row>
    <row r="569" spans="2:14" x14ac:dyDescent="0.3">
      <c r="B569" s="193">
        <v>6</v>
      </c>
      <c r="C569" s="193">
        <v>15000</v>
      </c>
      <c r="D569" s="193" t="s">
        <v>3196</v>
      </c>
      <c r="E569" s="193" t="s">
        <v>3196</v>
      </c>
      <c r="G569" s="193" t="s">
        <v>342</v>
      </c>
      <c r="H569" s="193" t="s">
        <v>3193</v>
      </c>
      <c r="I569" s="120" t="s">
        <v>688</v>
      </c>
      <c r="K569" s="240">
        <v>300850851</v>
      </c>
      <c r="N569" s="193" t="s">
        <v>3194</v>
      </c>
    </row>
    <row r="570" spans="2:14" x14ac:dyDescent="0.3">
      <c r="B570" s="193">
        <v>6</v>
      </c>
      <c r="C570" s="193">
        <v>15000</v>
      </c>
      <c r="D570" s="193" t="s">
        <v>3197</v>
      </c>
      <c r="E570" s="193" t="s">
        <v>3192</v>
      </c>
      <c r="G570" s="193" t="s">
        <v>342</v>
      </c>
      <c r="H570" s="193" t="s">
        <v>3193</v>
      </c>
      <c r="I570" s="120" t="s">
        <v>688</v>
      </c>
      <c r="K570" s="240" t="s">
        <v>3363</v>
      </c>
      <c r="N570" s="193" t="s">
        <v>3199</v>
      </c>
    </row>
    <row r="571" spans="2:14" x14ac:dyDescent="0.3">
      <c r="B571" s="193">
        <v>6</v>
      </c>
      <c r="C571" s="193">
        <v>15000</v>
      </c>
      <c r="D571" s="193" t="s">
        <v>3197</v>
      </c>
      <c r="E571" s="193" t="s">
        <v>2935</v>
      </c>
      <c r="G571" s="193" t="s">
        <v>342</v>
      </c>
      <c r="H571" s="193" t="s">
        <v>3193</v>
      </c>
      <c r="I571" s="120" t="s">
        <v>688</v>
      </c>
      <c r="K571" s="240" t="s">
        <v>3363</v>
      </c>
      <c r="N571" s="193" t="s">
        <v>3199</v>
      </c>
    </row>
    <row r="572" spans="2:14" x14ac:dyDescent="0.3">
      <c r="B572" s="193">
        <v>6</v>
      </c>
      <c r="C572" s="193">
        <v>15000</v>
      </c>
      <c r="D572" s="193" t="s">
        <v>3197</v>
      </c>
      <c r="E572" s="193" t="s">
        <v>3195</v>
      </c>
      <c r="G572" s="193" t="s">
        <v>342</v>
      </c>
      <c r="H572" s="193" t="s">
        <v>3193</v>
      </c>
      <c r="I572" s="120" t="s">
        <v>688</v>
      </c>
      <c r="K572" s="240" t="s">
        <v>3364</v>
      </c>
      <c r="N572" s="193" t="s">
        <v>3201</v>
      </c>
    </row>
    <row r="573" spans="2:14" x14ac:dyDescent="0.3">
      <c r="B573" s="193">
        <v>6</v>
      </c>
      <c r="C573" s="193">
        <v>15000</v>
      </c>
      <c r="D573" s="193" t="s">
        <v>3197</v>
      </c>
      <c r="E573" s="193" t="s">
        <v>3196</v>
      </c>
      <c r="G573" s="193" t="s">
        <v>342</v>
      </c>
      <c r="H573" s="193" t="s">
        <v>3193</v>
      </c>
      <c r="I573" s="120" t="s">
        <v>688</v>
      </c>
      <c r="K573" s="240" t="s">
        <v>3363</v>
      </c>
      <c r="N573" s="193" t="s">
        <v>3202</v>
      </c>
    </row>
    <row r="574" spans="2:14" x14ac:dyDescent="0.3">
      <c r="B574" s="193">
        <v>6</v>
      </c>
      <c r="C574" s="193">
        <v>15000</v>
      </c>
      <c r="D574" s="193" t="s">
        <v>2979</v>
      </c>
      <c r="E574" s="193" t="s">
        <v>3192</v>
      </c>
      <c r="G574" s="193" t="s">
        <v>342</v>
      </c>
      <c r="H574" s="193" t="s">
        <v>3193</v>
      </c>
      <c r="I574" s="120" t="s">
        <v>688</v>
      </c>
      <c r="K574" s="240" t="s">
        <v>3365</v>
      </c>
      <c r="N574" s="193" t="s">
        <v>3204</v>
      </c>
    </row>
    <row r="575" spans="2:14" x14ac:dyDescent="0.3">
      <c r="B575" s="193">
        <v>6</v>
      </c>
      <c r="C575" s="193">
        <v>15000</v>
      </c>
      <c r="D575" s="193" t="s">
        <v>2979</v>
      </c>
      <c r="E575" s="193" t="s">
        <v>2935</v>
      </c>
      <c r="G575" s="193" t="s">
        <v>342</v>
      </c>
      <c r="H575" s="193" t="s">
        <v>3193</v>
      </c>
      <c r="I575" s="120" t="s">
        <v>688</v>
      </c>
      <c r="K575" s="240" t="s">
        <v>3365</v>
      </c>
      <c r="N575" s="193" t="s">
        <v>3204</v>
      </c>
    </row>
    <row r="576" spans="2:14" x14ac:dyDescent="0.3">
      <c r="B576" s="193">
        <v>6</v>
      </c>
      <c r="C576" s="193">
        <v>15000</v>
      </c>
      <c r="D576" s="193" t="s">
        <v>2979</v>
      </c>
      <c r="E576" s="193" t="s">
        <v>3195</v>
      </c>
      <c r="G576" s="193" t="s">
        <v>342</v>
      </c>
      <c r="H576" s="193" t="s">
        <v>3193</v>
      </c>
      <c r="I576" s="120" t="s">
        <v>688</v>
      </c>
      <c r="K576" s="240" t="s">
        <v>3366</v>
      </c>
      <c r="N576" s="193" t="s">
        <v>3219</v>
      </c>
    </row>
    <row r="577" spans="2:14" x14ac:dyDescent="0.3">
      <c r="B577" s="193">
        <v>6</v>
      </c>
      <c r="C577" s="193">
        <v>15000</v>
      </c>
      <c r="D577" s="193" t="s">
        <v>2979</v>
      </c>
      <c r="E577" s="193" t="s">
        <v>3196</v>
      </c>
      <c r="G577" s="193" t="s">
        <v>342</v>
      </c>
      <c r="H577" s="193" t="s">
        <v>3193</v>
      </c>
      <c r="I577" s="120" t="s">
        <v>688</v>
      </c>
      <c r="K577" s="240" t="s">
        <v>3365</v>
      </c>
      <c r="N577" s="193" t="s">
        <v>3204</v>
      </c>
    </row>
    <row r="578" spans="2:14" x14ac:dyDescent="0.3">
      <c r="B578" s="193">
        <v>6</v>
      </c>
      <c r="C578" s="193">
        <v>15000</v>
      </c>
      <c r="D578" s="193" t="s">
        <v>3207</v>
      </c>
      <c r="E578" s="193" t="s">
        <v>3192</v>
      </c>
      <c r="G578" s="193" t="s">
        <v>342</v>
      </c>
      <c r="H578" s="193" t="s">
        <v>3193</v>
      </c>
      <c r="I578" s="120" t="s">
        <v>688</v>
      </c>
      <c r="K578" s="240" t="s">
        <v>3365</v>
      </c>
      <c r="N578" s="193" t="s">
        <v>3204</v>
      </c>
    </row>
    <row r="579" spans="2:14" x14ac:dyDescent="0.3">
      <c r="B579" s="193">
        <v>6</v>
      </c>
      <c r="C579" s="193">
        <v>15000</v>
      </c>
      <c r="D579" s="193" t="s">
        <v>3207</v>
      </c>
      <c r="E579" s="193" t="s">
        <v>2935</v>
      </c>
      <c r="G579" s="193" t="s">
        <v>342</v>
      </c>
      <c r="H579" s="193" t="s">
        <v>3193</v>
      </c>
      <c r="I579" s="120" t="s">
        <v>688</v>
      </c>
      <c r="K579" s="240" t="s">
        <v>3365</v>
      </c>
      <c r="N579" s="193" t="s">
        <v>3204</v>
      </c>
    </row>
    <row r="580" spans="2:14" x14ac:dyDescent="0.3">
      <c r="B580" s="193">
        <v>6</v>
      </c>
      <c r="C580" s="193">
        <v>15000</v>
      </c>
      <c r="D580" s="193" t="s">
        <v>3207</v>
      </c>
      <c r="E580" s="193" t="s">
        <v>3195</v>
      </c>
      <c r="G580" s="193" t="s">
        <v>342</v>
      </c>
      <c r="H580" s="193" t="s">
        <v>3193</v>
      </c>
      <c r="I580" s="120" t="s">
        <v>688</v>
      </c>
      <c r="K580" s="240" t="s">
        <v>3366</v>
      </c>
      <c r="N580" s="193" t="s">
        <v>3219</v>
      </c>
    </row>
    <row r="581" spans="2:14" x14ac:dyDescent="0.3">
      <c r="B581" s="193">
        <v>6</v>
      </c>
      <c r="C581" s="193">
        <v>15000</v>
      </c>
      <c r="D581" s="193" t="s">
        <v>3207</v>
      </c>
      <c r="E581" s="193" t="s">
        <v>3196</v>
      </c>
      <c r="G581" s="193" t="s">
        <v>342</v>
      </c>
      <c r="H581" s="193" t="s">
        <v>3193</v>
      </c>
      <c r="I581" s="120" t="s">
        <v>688</v>
      </c>
      <c r="K581" s="240" t="s">
        <v>3365</v>
      </c>
      <c r="N581" s="193" t="s">
        <v>3204</v>
      </c>
    </row>
    <row r="582" spans="2:14" x14ac:dyDescent="0.3">
      <c r="B582" s="193">
        <v>6</v>
      </c>
      <c r="C582" s="193">
        <v>15000</v>
      </c>
      <c r="D582" s="193" t="s">
        <v>3030</v>
      </c>
      <c r="E582" s="193" t="s">
        <v>3192</v>
      </c>
      <c r="G582" s="193" t="s">
        <v>342</v>
      </c>
      <c r="H582" s="193" t="s">
        <v>3193</v>
      </c>
      <c r="I582" s="120" t="s">
        <v>688</v>
      </c>
      <c r="K582" s="240" t="s">
        <v>3367</v>
      </c>
      <c r="N582" s="193" t="s">
        <v>3208</v>
      </c>
    </row>
    <row r="583" spans="2:14" x14ac:dyDescent="0.3">
      <c r="B583" s="193">
        <v>6</v>
      </c>
      <c r="C583" s="193">
        <v>15000</v>
      </c>
      <c r="D583" s="193" t="s">
        <v>3030</v>
      </c>
      <c r="E583" s="193" t="s">
        <v>2935</v>
      </c>
      <c r="G583" s="193" t="s">
        <v>342</v>
      </c>
      <c r="H583" s="193" t="s">
        <v>3193</v>
      </c>
      <c r="I583" s="120" t="s">
        <v>688</v>
      </c>
      <c r="K583" s="240" t="s">
        <v>3367</v>
      </c>
      <c r="N583" s="193" t="s">
        <v>3208</v>
      </c>
    </row>
    <row r="584" spans="2:14" x14ac:dyDescent="0.3">
      <c r="B584" s="193">
        <v>6</v>
      </c>
      <c r="C584" s="193">
        <v>15000</v>
      </c>
      <c r="D584" s="193" t="s">
        <v>3030</v>
      </c>
      <c r="E584" s="193" t="s">
        <v>3195</v>
      </c>
      <c r="G584" s="193" t="s">
        <v>342</v>
      </c>
      <c r="H584" s="193" t="s">
        <v>3193</v>
      </c>
      <c r="I584" s="120" t="s">
        <v>688</v>
      </c>
      <c r="K584" s="240" t="s">
        <v>3368</v>
      </c>
      <c r="N584" s="193" t="s">
        <v>3210</v>
      </c>
    </row>
    <row r="585" spans="2:14" x14ac:dyDescent="0.3">
      <c r="B585" s="193">
        <v>6</v>
      </c>
      <c r="C585" s="193">
        <v>15000</v>
      </c>
      <c r="D585" s="193" t="s">
        <v>3030</v>
      </c>
      <c r="E585" s="193" t="s">
        <v>3196</v>
      </c>
      <c r="G585" s="193" t="s">
        <v>342</v>
      </c>
      <c r="H585" s="193" t="s">
        <v>3193</v>
      </c>
      <c r="I585" s="120" t="s">
        <v>688</v>
      </c>
      <c r="K585" s="240" t="s">
        <v>3367</v>
      </c>
      <c r="N585" s="193" t="s">
        <v>3208</v>
      </c>
    </row>
    <row r="586" spans="2:14" x14ac:dyDescent="0.3">
      <c r="B586" s="193">
        <v>6</v>
      </c>
      <c r="C586" s="193">
        <v>15000</v>
      </c>
      <c r="D586" s="193" t="s">
        <v>3192</v>
      </c>
      <c r="E586" s="193" t="s">
        <v>3192</v>
      </c>
      <c r="G586" s="193" t="s">
        <v>342</v>
      </c>
      <c r="H586" s="193" t="s">
        <v>3193</v>
      </c>
      <c r="I586" s="120" t="s">
        <v>688</v>
      </c>
      <c r="K586" s="240">
        <v>300850851</v>
      </c>
      <c r="N586" s="193" t="s">
        <v>3212</v>
      </c>
    </row>
    <row r="587" spans="2:14" x14ac:dyDescent="0.3">
      <c r="B587" s="193">
        <v>6</v>
      </c>
      <c r="C587" s="193">
        <v>15000</v>
      </c>
      <c r="D587" s="193" t="s">
        <v>3192</v>
      </c>
      <c r="E587" s="193" t="s">
        <v>2935</v>
      </c>
      <c r="G587" s="193" t="s">
        <v>342</v>
      </c>
      <c r="H587" s="193" t="s">
        <v>3193</v>
      </c>
      <c r="I587" s="120" t="s">
        <v>688</v>
      </c>
      <c r="K587" s="240">
        <v>300850851</v>
      </c>
      <c r="N587" s="193" t="s">
        <v>3212</v>
      </c>
    </row>
    <row r="588" spans="2:14" x14ac:dyDescent="0.3">
      <c r="B588" s="193">
        <v>6</v>
      </c>
      <c r="C588" s="193">
        <v>15000</v>
      </c>
      <c r="D588" s="193" t="s">
        <v>3192</v>
      </c>
      <c r="E588" s="193" t="s">
        <v>3195</v>
      </c>
      <c r="G588" s="193" t="s">
        <v>342</v>
      </c>
      <c r="H588" s="193" t="s">
        <v>3193</v>
      </c>
      <c r="I588" s="120" t="s">
        <v>688</v>
      </c>
      <c r="K588" s="240" t="s">
        <v>3369</v>
      </c>
      <c r="N588" s="193" t="s">
        <v>3214</v>
      </c>
    </row>
    <row r="589" spans="2:14" x14ac:dyDescent="0.3">
      <c r="B589" s="193">
        <v>6</v>
      </c>
      <c r="C589" s="193">
        <v>15000</v>
      </c>
      <c r="D589" s="193" t="s">
        <v>3192</v>
      </c>
      <c r="E589" s="193" t="s">
        <v>3196</v>
      </c>
      <c r="G589" s="193" t="s">
        <v>342</v>
      </c>
      <c r="H589" s="193" t="s">
        <v>3193</v>
      </c>
      <c r="I589" s="120" t="s">
        <v>688</v>
      </c>
      <c r="K589" s="240">
        <v>300850851</v>
      </c>
      <c r="N589" s="193" t="s">
        <v>3212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02"/>
  <sheetViews>
    <sheetView tabSelected="1" topLeftCell="C776" workbookViewId="0">
      <selection activeCell="I793" sqref="I793"/>
    </sheetView>
  </sheetViews>
  <sheetFormatPr defaultRowHeight="14.4" x14ac:dyDescent="0.3"/>
  <cols>
    <col min="3" max="3" width="85.44140625" customWidth="1"/>
    <col min="5" max="6" width="0" hidden="1" customWidth="1"/>
    <col min="7" max="7" width="5" bestFit="1" customWidth="1"/>
    <col min="8" max="8" width="10" bestFit="1" customWidth="1"/>
    <col min="9" max="9" width="18.88671875" customWidth="1"/>
  </cols>
  <sheetData>
    <row r="1" spans="1:11" x14ac:dyDescent="0.3">
      <c r="A1" s="110" t="s">
        <v>2010</v>
      </c>
      <c r="B1" s="110" t="s">
        <v>2</v>
      </c>
      <c r="C1" s="88" t="s">
        <v>286</v>
      </c>
      <c r="D1" s="88" t="s">
        <v>2011</v>
      </c>
      <c r="E1" s="88" t="s">
        <v>2012</v>
      </c>
      <c r="F1" s="105" t="s">
        <v>341</v>
      </c>
      <c r="G1" s="144" t="s">
        <v>343</v>
      </c>
      <c r="H1" s="119" t="s">
        <v>345</v>
      </c>
      <c r="I1" s="96" t="s">
        <v>346</v>
      </c>
      <c r="J1" s="88" t="s">
        <v>348</v>
      </c>
      <c r="K1" s="88" t="s">
        <v>795</v>
      </c>
    </row>
    <row r="2" spans="1:11" x14ac:dyDescent="0.3">
      <c r="A2" s="193">
        <v>1</v>
      </c>
      <c r="B2" s="193" t="s">
        <v>2013</v>
      </c>
      <c r="C2" s="193" t="s">
        <v>2014</v>
      </c>
      <c r="D2" s="233"/>
      <c r="E2" s="233"/>
      <c r="F2" s="193"/>
      <c r="G2" s="193" t="s">
        <v>13</v>
      </c>
      <c r="H2" s="120" t="s">
        <v>688</v>
      </c>
      <c r="I2" s="199">
        <v>231123200140</v>
      </c>
      <c r="J2" s="193" t="s">
        <v>2015</v>
      </c>
      <c r="K2" s="193"/>
    </row>
    <row r="3" spans="1:11" x14ac:dyDescent="0.3">
      <c r="A3" s="193">
        <f>A2+1</f>
        <v>2</v>
      </c>
      <c r="B3" s="193" t="s">
        <v>2013</v>
      </c>
      <c r="C3" s="193" t="s">
        <v>2016</v>
      </c>
      <c r="D3" s="233"/>
      <c r="E3" s="233"/>
      <c r="F3" s="193"/>
      <c r="G3" s="193" t="s">
        <v>13</v>
      </c>
      <c r="H3" s="120" t="s">
        <v>688</v>
      </c>
      <c r="I3" s="199">
        <v>231123205310</v>
      </c>
      <c r="J3" s="193" t="s">
        <v>2017</v>
      </c>
      <c r="K3" s="193"/>
    </row>
    <row r="4" spans="1:11" x14ac:dyDescent="0.3">
      <c r="A4" s="193">
        <f t="shared" ref="A4:A67" si="0">A3+1</f>
        <v>3</v>
      </c>
      <c r="B4" s="193" t="s">
        <v>2018</v>
      </c>
      <c r="C4" s="193" t="s">
        <v>2019</v>
      </c>
      <c r="D4" s="233"/>
      <c r="E4" s="233"/>
      <c r="F4" s="193"/>
      <c r="G4" s="193" t="s">
        <v>13</v>
      </c>
      <c r="H4" s="120" t="s">
        <v>688</v>
      </c>
      <c r="I4" s="199">
        <v>231123200140</v>
      </c>
      <c r="J4" s="193" t="s">
        <v>2015</v>
      </c>
      <c r="K4" s="193"/>
    </row>
    <row r="5" spans="1:11" x14ac:dyDescent="0.3">
      <c r="A5" s="193">
        <f t="shared" si="0"/>
        <v>4</v>
      </c>
      <c r="B5" s="193" t="s">
        <v>2018</v>
      </c>
      <c r="C5" s="233" t="s">
        <v>2020</v>
      </c>
      <c r="D5" s="233"/>
      <c r="E5" s="233"/>
      <c r="F5" s="193"/>
      <c r="G5" s="193" t="s">
        <v>13</v>
      </c>
      <c r="H5" s="120" t="s">
        <v>688</v>
      </c>
      <c r="I5" s="199">
        <v>231113101020</v>
      </c>
      <c r="J5" s="233" t="s">
        <v>2017</v>
      </c>
      <c r="K5" s="193"/>
    </row>
    <row r="6" spans="1:11" x14ac:dyDescent="0.3">
      <c r="A6" s="193">
        <f t="shared" si="0"/>
        <v>5</v>
      </c>
      <c r="B6" s="193" t="s">
        <v>2021</v>
      </c>
      <c r="C6" s="193" t="s">
        <v>2022</v>
      </c>
      <c r="D6" s="233"/>
      <c r="E6" s="233"/>
      <c r="F6" s="193"/>
      <c r="G6" s="193" t="s">
        <v>13</v>
      </c>
      <c r="H6" s="120" t="s">
        <v>688</v>
      </c>
      <c r="I6" s="199">
        <v>231323163330</v>
      </c>
      <c r="J6" s="193" t="s">
        <v>2017</v>
      </c>
      <c r="K6" s="193"/>
    </row>
    <row r="7" spans="1:11" x14ac:dyDescent="0.3">
      <c r="A7" s="193">
        <f t="shared" si="0"/>
        <v>6</v>
      </c>
      <c r="B7" s="193" t="s">
        <v>2021</v>
      </c>
      <c r="C7" s="193" t="s">
        <v>2023</v>
      </c>
      <c r="D7" s="193"/>
      <c r="E7" s="193"/>
      <c r="F7" s="193"/>
      <c r="G7" s="193" t="s">
        <v>13</v>
      </c>
      <c r="H7" s="120" t="s">
        <v>688</v>
      </c>
      <c r="I7" s="199">
        <v>231313095520</v>
      </c>
      <c r="J7" s="193" t="s">
        <v>2017</v>
      </c>
      <c r="K7" s="193"/>
    </row>
    <row r="8" spans="1:11" x14ac:dyDescent="0.3">
      <c r="A8" s="193">
        <f t="shared" si="0"/>
        <v>7</v>
      </c>
      <c r="B8" s="193" t="s">
        <v>2021</v>
      </c>
      <c r="C8" s="199" t="s">
        <v>2024</v>
      </c>
      <c r="D8" s="199"/>
      <c r="E8" s="199"/>
      <c r="F8" s="193"/>
      <c r="G8" s="193" t="s">
        <v>13</v>
      </c>
      <c r="H8" s="120" t="s">
        <v>688</v>
      </c>
      <c r="I8" s="199">
        <v>231323163060</v>
      </c>
      <c r="J8" s="193" t="s">
        <v>2017</v>
      </c>
      <c r="K8" s="193"/>
    </row>
    <row r="9" spans="1:11" x14ac:dyDescent="0.3">
      <c r="A9" s="193">
        <f t="shared" si="0"/>
        <v>8</v>
      </c>
      <c r="B9" s="193" t="s">
        <v>2021</v>
      </c>
      <c r="C9" s="199" t="s">
        <v>2025</v>
      </c>
      <c r="D9" s="199"/>
      <c r="E9" s="199"/>
      <c r="F9" s="193"/>
      <c r="G9" s="193" t="s">
        <v>13</v>
      </c>
      <c r="H9" s="120" t="s">
        <v>688</v>
      </c>
      <c r="I9" s="199">
        <v>231213101830</v>
      </c>
      <c r="J9" s="193" t="s">
        <v>2017</v>
      </c>
      <c r="K9" s="193"/>
    </row>
    <row r="10" spans="1:11" x14ac:dyDescent="0.3">
      <c r="A10" s="193">
        <f t="shared" si="0"/>
        <v>9</v>
      </c>
      <c r="B10" s="193" t="s">
        <v>2026</v>
      </c>
      <c r="C10" s="193" t="s">
        <v>2027</v>
      </c>
      <c r="D10" s="193">
        <v>0.75</v>
      </c>
      <c r="E10" s="193"/>
      <c r="F10" s="193"/>
      <c r="G10" s="193" t="s">
        <v>13</v>
      </c>
      <c r="H10" s="120" t="s">
        <v>688</v>
      </c>
      <c r="I10" s="199">
        <v>220523100540</v>
      </c>
      <c r="J10" s="193" t="s">
        <v>2017</v>
      </c>
      <c r="K10" s="193">
        <v>2</v>
      </c>
    </row>
    <row r="11" spans="1:11" x14ac:dyDescent="0.3">
      <c r="A11" s="193">
        <f t="shared" si="0"/>
        <v>10</v>
      </c>
      <c r="B11" s="193" t="s">
        <v>2026</v>
      </c>
      <c r="C11" s="193" t="s">
        <v>2028</v>
      </c>
      <c r="D11" s="193">
        <v>1.25</v>
      </c>
      <c r="E11" s="193"/>
      <c r="F11" s="193"/>
      <c r="G11" s="193" t="s">
        <v>13</v>
      </c>
      <c r="H11" s="120" t="s">
        <v>688</v>
      </c>
      <c r="I11" s="199">
        <v>220523202960</v>
      </c>
      <c r="J11" s="193" t="s">
        <v>2017</v>
      </c>
      <c r="K11" s="193">
        <v>2</v>
      </c>
    </row>
    <row r="12" spans="1:11" x14ac:dyDescent="0.3">
      <c r="A12" s="193">
        <f t="shared" si="0"/>
        <v>11</v>
      </c>
      <c r="B12" s="193" t="s">
        <v>2026</v>
      </c>
      <c r="C12" s="193" t="s">
        <v>2029</v>
      </c>
      <c r="D12" s="193">
        <v>1.5</v>
      </c>
      <c r="E12" s="193"/>
      <c r="F12" s="193"/>
      <c r="G12" s="193" t="s">
        <v>13</v>
      </c>
      <c r="H12" s="120" t="s">
        <v>688</v>
      </c>
      <c r="I12" s="199">
        <v>220523202970</v>
      </c>
      <c r="J12" s="193" t="s">
        <v>2017</v>
      </c>
      <c r="K12" s="193">
        <v>2</v>
      </c>
    </row>
    <row r="13" spans="1:11" x14ac:dyDescent="0.3">
      <c r="A13" s="193">
        <f t="shared" si="0"/>
        <v>12</v>
      </c>
      <c r="B13" s="193" t="s">
        <v>2026</v>
      </c>
      <c r="C13" s="193" t="s">
        <v>2030</v>
      </c>
      <c r="D13" s="193">
        <v>0.75</v>
      </c>
      <c r="E13" s="193"/>
      <c r="F13" s="193"/>
      <c r="G13" s="193" t="s">
        <v>13</v>
      </c>
      <c r="H13" s="120" t="s">
        <v>688</v>
      </c>
      <c r="I13" s="199">
        <v>220523203440</v>
      </c>
      <c r="J13" s="193" t="s">
        <v>2017</v>
      </c>
      <c r="K13" s="193">
        <v>2</v>
      </c>
    </row>
    <row r="14" spans="1:11" x14ac:dyDescent="0.3">
      <c r="A14" s="193">
        <f t="shared" si="0"/>
        <v>13</v>
      </c>
      <c r="B14" s="193" t="s">
        <v>2026</v>
      </c>
      <c r="C14" s="193" t="s">
        <v>2031</v>
      </c>
      <c r="D14" s="233">
        <v>1</v>
      </c>
      <c r="E14" s="233"/>
      <c r="F14" s="193"/>
      <c r="G14" s="193" t="s">
        <v>13</v>
      </c>
      <c r="H14" s="120" t="s">
        <v>688</v>
      </c>
      <c r="I14" s="199">
        <v>220523203450</v>
      </c>
      <c r="J14" s="193" t="s">
        <v>2017</v>
      </c>
      <c r="K14" s="193">
        <v>2</v>
      </c>
    </row>
    <row r="15" spans="1:11" x14ac:dyDescent="0.3">
      <c r="A15" s="193">
        <f t="shared" si="0"/>
        <v>14</v>
      </c>
      <c r="B15" s="193" t="s">
        <v>2026</v>
      </c>
      <c r="C15" s="193" t="s">
        <v>2032</v>
      </c>
      <c r="D15" s="233">
        <v>1.25</v>
      </c>
      <c r="E15" s="233"/>
      <c r="F15" s="193"/>
      <c r="G15" s="193" t="s">
        <v>13</v>
      </c>
      <c r="H15" s="120" t="s">
        <v>688</v>
      </c>
      <c r="I15" s="199">
        <v>220523203460</v>
      </c>
      <c r="J15" s="193" t="s">
        <v>2017</v>
      </c>
      <c r="K15" s="193">
        <v>2</v>
      </c>
    </row>
    <row r="16" spans="1:11" x14ac:dyDescent="0.3">
      <c r="A16" s="193">
        <f t="shared" si="0"/>
        <v>15</v>
      </c>
      <c r="B16" s="193" t="s">
        <v>2026</v>
      </c>
      <c r="C16" s="193" t="s">
        <v>2033</v>
      </c>
      <c r="D16" s="233">
        <v>2</v>
      </c>
      <c r="E16" s="233"/>
      <c r="F16" s="193"/>
      <c r="G16" s="193" t="s">
        <v>13</v>
      </c>
      <c r="H16" s="120" t="s">
        <v>688</v>
      </c>
      <c r="I16" s="199">
        <v>220523203480</v>
      </c>
      <c r="J16" s="193" t="s">
        <v>2017</v>
      </c>
      <c r="K16" s="193">
        <v>2</v>
      </c>
    </row>
    <row r="17" spans="1:11" x14ac:dyDescent="0.3">
      <c r="A17" s="193">
        <f t="shared" si="0"/>
        <v>16</v>
      </c>
      <c r="B17" s="193" t="s">
        <v>2026</v>
      </c>
      <c r="C17" s="193" t="s">
        <v>2034</v>
      </c>
      <c r="D17" s="233">
        <v>0.75</v>
      </c>
      <c r="E17" s="233"/>
      <c r="F17" s="193"/>
      <c r="G17" s="193" t="s">
        <v>13</v>
      </c>
      <c r="H17" s="120" t="s">
        <v>688</v>
      </c>
      <c r="I17" s="199">
        <v>220523205640</v>
      </c>
      <c r="J17" s="193" t="s">
        <v>2017</v>
      </c>
      <c r="K17" s="193">
        <v>2</v>
      </c>
    </row>
    <row r="18" spans="1:11" x14ac:dyDescent="0.3">
      <c r="A18" s="193">
        <f t="shared" si="0"/>
        <v>17</v>
      </c>
      <c r="B18" s="193" t="s">
        <v>2026</v>
      </c>
      <c r="C18" s="193" t="s">
        <v>2035</v>
      </c>
      <c r="D18" s="233">
        <v>2</v>
      </c>
      <c r="E18" s="193"/>
      <c r="F18" s="193"/>
      <c r="G18" s="193" t="s">
        <v>13</v>
      </c>
      <c r="H18" s="120" t="s">
        <v>688</v>
      </c>
      <c r="I18" s="199">
        <v>230523301220</v>
      </c>
      <c r="J18" s="193" t="s">
        <v>2017</v>
      </c>
      <c r="K18" s="193"/>
    </row>
    <row r="19" spans="1:11" x14ac:dyDescent="0.3">
      <c r="A19" s="193">
        <f t="shared" si="0"/>
        <v>18</v>
      </c>
      <c r="B19" s="193" t="s">
        <v>2026</v>
      </c>
      <c r="C19" s="193" t="s">
        <v>2036</v>
      </c>
      <c r="D19" s="233">
        <v>2.5</v>
      </c>
      <c r="E19" s="193"/>
      <c r="F19" s="193"/>
      <c r="G19" s="193" t="s">
        <v>13</v>
      </c>
      <c r="H19" s="120" t="s">
        <v>688</v>
      </c>
      <c r="I19" s="199">
        <v>230523301230</v>
      </c>
      <c r="J19" s="193" t="s">
        <v>2017</v>
      </c>
      <c r="K19" s="193"/>
    </row>
    <row r="20" spans="1:11" x14ac:dyDescent="0.3">
      <c r="A20" s="193">
        <f t="shared" si="0"/>
        <v>19</v>
      </c>
      <c r="B20" s="193" t="s">
        <v>2026</v>
      </c>
      <c r="C20" s="193" t="s">
        <v>2037</v>
      </c>
      <c r="D20" s="233">
        <v>4</v>
      </c>
      <c r="E20" s="193"/>
      <c r="F20" s="193"/>
      <c r="G20" s="193" t="s">
        <v>13</v>
      </c>
      <c r="H20" s="120" t="s">
        <v>688</v>
      </c>
      <c r="I20" s="199">
        <v>230523301250</v>
      </c>
      <c r="J20" s="193" t="s">
        <v>2017</v>
      </c>
      <c r="K20" s="193"/>
    </row>
    <row r="21" spans="1:11" x14ac:dyDescent="0.3">
      <c r="A21" s="193">
        <f t="shared" si="0"/>
        <v>20</v>
      </c>
      <c r="B21" s="193" t="s">
        <v>2026</v>
      </c>
      <c r="C21" s="193" t="s">
        <v>2038</v>
      </c>
      <c r="D21" s="233">
        <v>2</v>
      </c>
      <c r="E21" s="193"/>
      <c r="F21" s="193"/>
      <c r="G21" s="193" t="s">
        <v>13</v>
      </c>
      <c r="H21" s="120" t="s">
        <v>688</v>
      </c>
      <c r="I21" s="199">
        <v>230523302200</v>
      </c>
      <c r="J21" s="193" t="s">
        <v>2017</v>
      </c>
      <c r="K21" s="193"/>
    </row>
    <row r="22" spans="1:11" x14ac:dyDescent="0.3">
      <c r="A22" s="193">
        <f t="shared" si="0"/>
        <v>21</v>
      </c>
      <c r="B22" s="193" t="s">
        <v>2026</v>
      </c>
      <c r="C22" s="193" t="s">
        <v>2039</v>
      </c>
      <c r="D22" s="233">
        <v>2.5</v>
      </c>
      <c r="E22" s="193"/>
      <c r="F22" s="193"/>
      <c r="G22" s="193" t="s">
        <v>13</v>
      </c>
      <c r="H22" s="120" t="s">
        <v>688</v>
      </c>
      <c r="I22" s="199">
        <v>230523302240</v>
      </c>
      <c r="J22" s="193" t="s">
        <v>2017</v>
      </c>
      <c r="K22" s="193"/>
    </row>
    <row r="23" spans="1:11" x14ac:dyDescent="0.3">
      <c r="A23" s="193">
        <f t="shared" si="0"/>
        <v>22</v>
      </c>
      <c r="B23" s="193" t="s">
        <v>2026</v>
      </c>
      <c r="C23" s="193" t="s">
        <v>2040</v>
      </c>
      <c r="D23" s="233">
        <v>4</v>
      </c>
      <c r="E23" s="193"/>
      <c r="F23" s="193"/>
      <c r="G23" s="193" t="s">
        <v>13</v>
      </c>
      <c r="H23" s="120" t="s">
        <v>688</v>
      </c>
      <c r="I23" s="199">
        <v>230523302280</v>
      </c>
      <c r="J23" s="193" t="s">
        <v>2017</v>
      </c>
      <c r="K23" s="193"/>
    </row>
    <row r="24" spans="1:11" x14ac:dyDescent="0.3">
      <c r="A24" s="193">
        <f t="shared" si="0"/>
        <v>23</v>
      </c>
      <c r="B24" s="193" t="s">
        <v>2026</v>
      </c>
      <c r="C24" s="193" t="s">
        <v>2041</v>
      </c>
      <c r="D24" s="193"/>
      <c r="E24" s="193"/>
      <c r="F24" s="193"/>
      <c r="G24" s="193" t="s">
        <v>13</v>
      </c>
      <c r="H24" s="120" t="s">
        <v>688</v>
      </c>
      <c r="I24" s="199">
        <v>230523501030</v>
      </c>
      <c r="J24" s="193" t="s">
        <v>2017</v>
      </c>
      <c r="K24" s="193"/>
    </row>
    <row r="25" spans="1:11" x14ac:dyDescent="0.3">
      <c r="A25" s="193">
        <f t="shared" si="0"/>
        <v>24</v>
      </c>
      <c r="B25" s="193" t="s">
        <v>2042</v>
      </c>
      <c r="C25" s="193" t="s">
        <v>2043</v>
      </c>
      <c r="D25" s="233">
        <v>1</v>
      </c>
      <c r="E25" s="233"/>
      <c r="F25" s="193"/>
      <c r="G25" s="193" t="s">
        <v>13</v>
      </c>
      <c r="H25" s="120" t="s">
        <v>688</v>
      </c>
      <c r="I25" s="199">
        <v>220719105140</v>
      </c>
      <c r="J25" s="193" t="s">
        <v>2015</v>
      </c>
      <c r="K25" s="193">
        <v>20</v>
      </c>
    </row>
    <row r="26" spans="1:11" x14ac:dyDescent="0.3">
      <c r="A26" s="193">
        <f t="shared" si="0"/>
        <v>25</v>
      </c>
      <c r="B26" s="193" t="s">
        <v>2042</v>
      </c>
      <c r="C26" s="193" t="s">
        <v>2044</v>
      </c>
      <c r="D26" s="233">
        <v>1.25</v>
      </c>
      <c r="E26" s="233"/>
      <c r="F26" s="193"/>
      <c r="G26" s="193" t="s">
        <v>13</v>
      </c>
      <c r="H26" s="120" t="s">
        <v>688</v>
      </c>
      <c r="I26" s="199">
        <v>220719105150</v>
      </c>
      <c r="J26" s="193" t="s">
        <v>2015</v>
      </c>
      <c r="K26" s="193">
        <v>20</v>
      </c>
    </row>
    <row r="27" spans="1:11" x14ac:dyDescent="0.3">
      <c r="A27" s="193">
        <f t="shared" si="0"/>
        <v>26</v>
      </c>
      <c r="B27" s="193" t="s">
        <v>2042</v>
      </c>
      <c r="C27" s="193" t="s">
        <v>2045</v>
      </c>
      <c r="D27" s="233">
        <v>1.6</v>
      </c>
      <c r="E27" s="233"/>
      <c r="F27" s="193"/>
      <c r="G27" s="193" t="s">
        <v>13</v>
      </c>
      <c r="H27" s="120" t="s">
        <v>688</v>
      </c>
      <c r="I27" s="199">
        <v>220719105160</v>
      </c>
      <c r="J27" s="193" t="s">
        <v>2015</v>
      </c>
      <c r="K27" s="193">
        <v>20</v>
      </c>
    </row>
    <row r="28" spans="1:11" x14ac:dyDescent="0.3">
      <c r="A28" s="193">
        <f t="shared" si="0"/>
        <v>27</v>
      </c>
      <c r="B28" s="193" t="s">
        <v>2042</v>
      </c>
      <c r="C28" s="193" t="s">
        <v>2046</v>
      </c>
      <c r="D28" s="233">
        <v>3</v>
      </c>
      <c r="E28" s="233"/>
      <c r="F28" s="193"/>
      <c r="G28" s="193" t="s">
        <v>13</v>
      </c>
      <c r="H28" s="120" t="s">
        <v>688</v>
      </c>
      <c r="I28" s="199">
        <v>220719105190</v>
      </c>
      <c r="J28" s="193" t="s">
        <v>2015</v>
      </c>
      <c r="K28" s="193">
        <v>20</v>
      </c>
    </row>
    <row r="29" spans="1:11" x14ac:dyDescent="0.3">
      <c r="A29" s="193">
        <f t="shared" si="0"/>
        <v>28</v>
      </c>
      <c r="B29" s="193" t="s">
        <v>2042</v>
      </c>
      <c r="C29" s="193" t="s">
        <v>2047</v>
      </c>
      <c r="D29" s="233">
        <v>0.75</v>
      </c>
      <c r="E29" s="233"/>
      <c r="F29" s="193"/>
      <c r="G29" s="193" t="s">
        <v>13</v>
      </c>
      <c r="H29" s="120" t="s">
        <v>688</v>
      </c>
      <c r="I29" s="199">
        <v>220719106860</v>
      </c>
      <c r="J29" s="193" t="s">
        <v>2015</v>
      </c>
      <c r="K29" s="193">
        <v>20</v>
      </c>
    </row>
    <row r="30" spans="1:11" x14ac:dyDescent="0.3">
      <c r="A30" s="193">
        <f t="shared" si="0"/>
        <v>29</v>
      </c>
      <c r="B30" s="193" t="s">
        <v>2042</v>
      </c>
      <c r="C30" s="193" t="s">
        <v>2048</v>
      </c>
      <c r="D30" s="233">
        <v>1</v>
      </c>
      <c r="E30" s="233"/>
      <c r="F30" s="193"/>
      <c r="G30" s="193" t="s">
        <v>13</v>
      </c>
      <c r="H30" s="120" t="s">
        <v>688</v>
      </c>
      <c r="I30" s="199">
        <v>220719106870</v>
      </c>
      <c r="J30" s="193" t="s">
        <v>2015</v>
      </c>
      <c r="K30" s="193">
        <v>20</v>
      </c>
    </row>
    <row r="31" spans="1:11" x14ac:dyDescent="0.3">
      <c r="A31" s="193">
        <f t="shared" si="0"/>
        <v>30</v>
      </c>
      <c r="B31" s="193" t="s">
        <v>2042</v>
      </c>
      <c r="C31" s="193" t="s">
        <v>2049</v>
      </c>
      <c r="D31" s="233">
        <v>1.25</v>
      </c>
      <c r="E31" s="233"/>
      <c r="F31" s="193"/>
      <c r="G31" s="193" t="s">
        <v>13</v>
      </c>
      <c r="H31" s="120" t="s">
        <v>688</v>
      </c>
      <c r="I31" s="199">
        <v>220719106880</v>
      </c>
      <c r="J31" s="193" t="s">
        <v>2015</v>
      </c>
      <c r="K31" s="193">
        <v>20</v>
      </c>
    </row>
    <row r="32" spans="1:11" x14ac:dyDescent="0.3">
      <c r="A32" s="193">
        <f t="shared" si="0"/>
        <v>31</v>
      </c>
      <c r="B32" s="193" t="s">
        <v>2042</v>
      </c>
      <c r="C32" s="193" t="s">
        <v>2050</v>
      </c>
      <c r="D32" s="233">
        <v>1.5</v>
      </c>
      <c r="E32" s="233"/>
      <c r="F32" s="193"/>
      <c r="G32" s="193" t="s">
        <v>13</v>
      </c>
      <c r="H32" s="120" t="s">
        <v>688</v>
      </c>
      <c r="I32" s="199">
        <v>220719106890</v>
      </c>
      <c r="J32" s="193" t="s">
        <v>2015</v>
      </c>
      <c r="K32" s="193">
        <v>20</v>
      </c>
    </row>
    <row r="33" spans="1:11" x14ac:dyDescent="0.3">
      <c r="A33" s="193">
        <f t="shared" si="0"/>
        <v>32</v>
      </c>
      <c r="B33" s="193" t="s">
        <v>2042</v>
      </c>
      <c r="C33" s="193" t="s">
        <v>2051</v>
      </c>
      <c r="D33" s="233">
        <v>2</v>
      </c>
      <c r="E33" s="233"/>
      <c r="F33" s="193"/>
      <c r="G33" s="193" t="s">
        <v>13</v>
      </c>
      <c r="H33" s="120" t="s">
        <v>688</v>
      </c>
      <c r="I33" s="199">
        <v>220719106900</v>
      </c>
      <c r="J33" s="193" t="s">
        <v>2015</v>
      </c>
      <c r="K33" s="193">
        <v>20</v>
      </c>
    </row>
    <row r="34" spans="1:11" x14ac:dyDescent="0.3">
      <c r="A34" s="193">
        <f t="shared" si="0"/>
        <v>33</v>
      </c>
      <c r="B34" s="193" t="s">
        <v>2042</v>
      </c>
      <c r="C34" s="193" t="s">
        <v>2052</v>
      </c>
      <c r="D34" s="233">
        <v>2.5</v>
      </c>
      <c r="E34" s="233"/>
      <c r="F34" s="193"/>
      <c r="G34" s="193" t="s">
        <v>13</v>
      </c>
      <c r="H34" s="120" t="s">
        <v>688</v>
      </c>
      <c r="I34" s="199">
        <v>220719106910</v>
      </c>
      <c r="J34" s="193" t="s">
        <v>2015</v>
      </c>
      <c r="K34" s="193">
        <v>20</v>
      </c>
    </row>
    <row r="35" spans="1:11" x14ac:dyDescent="0.3">
      <c r="A35" s="193">
        <f t="shared" si="0"/>
        <v>34</v>
      </c>
      <c r="B35" s="193" t="s">
        <v>2042</v>
      </c>
      <c r="C35" s="193" t="s">
        <v>2053</v>
      </c>
      <c r="D35" s="233">
        <v>2.5</v>
      </c>
      <c r="E35" s="233"/>
      <c r="F35" s="193"/>
      <c r="G35" s="193" t="s">
        <v>13</v>
      </c>
      <c r="H35" s="120" t="s">
        <v>688</v>
      </c>
      <c r="I35" s="199">
        <v>220719107150</v>
      </c>
      <c r="J35" s="193" t="s">
        <v>2015</v>
      </c>
      <c r="K35" s="193">
        <v>20</v>
      </c>
    </row>
    <row r="36" spans="1:11" x14ac:dyDescent="0.3">
      <c r="A36" s="193">
        <f t="shared" si="0"/>
        <v>35</v>
      </c>
      <c r="B36" s="193" t="s">
        <v>2042</v>
      </c>
      <c r="C36" s="193" t="s">
        <v>2054</v>
      </c>
      <c r="D36" s="233">
        <v>4</v>
      </c>
      <c r="E36" s="233"/>
      <c r="F36" s="193"/>
      <c r="G36" s="193" t="s">
        <v>13</v>
      </c>
      <c r="H36" s="120" t="s">
        <v>688</v>
      </c>
      <c r="I36" s="199">
        <v>220719107180</v>
      </c>
      <c r="J36" s="193" t="s">
        <v>2015</v>
      </c>
      <c r="K36" s="193">
        <v>20</v>
      </c>
    </row>
    <row r="37" spans="1:11" x14ac:dyDescent="0.3">
      <c r="A37" s="193">
        <f t="shared" si="0"/>
        <v>36</v>
      </c>
      <c r="B37" s="193" t="s">
        <v>2055</v>
      </c>
      <c r="C37" s="193" t="s">
        <v>2056</v>
      </c>
      <c r="D37" s="233">
        <v>4</v>
      </c>
      <c r="E37" s="193"/>
      <c r="F37" s="193"/>
      <c r="G37" s="193" t="s">
        <v>13</v>
      </c>
      <c r="H37" s="120" t="s">
        <v>688</v>
      </c>
      <c r="I37" s="199">
        <v>220719107812</v>
      </c>
      <c r="J37" s="193" t="s">
        <v>2015</v>
      </c>
      <c r="K37" s="193">
        <v>20</v>
      </c>
    </row>
    <row r="38" spans="1:11" x14ac:dyDescent="0.3">
      <c r="A38" s="193">
        <f t="shared" si="0"/>
        <v>37</v>
      </c>
      <c r="B38" s="193" t="s">
        <v>2057</v>
      </c>
      <c r="C38" s="193" t="s">
        <v>2058</v>
      </c>
      <c r="D38" s="193">
        <v>0.75</v>
      </c>
      <c r="E38" s="193"/>
      <c r="F38" s="193"/>
      <c r="G38" s="193" t="s">
        <v>13</v>
      </c>
      <c r="H38" s="120" t="s">
        <v>688</v>
      </c>
      <c r="I38" s="199">
        <v>221113232180</v>
      </c>
      <c r="J38" s="193" t="s">
        <v>2015</v>
      </c>
      <c r="K38" s="193"/>
    </row>
    <row r="39" spans="1:11" x14ac:dyDescent="0.3">
      <c r="A39" s="193">
        <f t="shared" si="0"/>
        <v>38</v>
      </c>
      <c r="B39" s="193" t="s">
        <v>2057</v>
      </c>
      <c r="C39" s="193" t="s">
        <v>2059</v>
      </c>
      <c r="D39" s="193">
        <v>1</v>
      </c>
      <c r="E39" s="193"/>
      <c r="F39" s="193"/>
      <c r="G39" s="193" t="s">
        <v>13</v>
      </c>
      <c r="H39" s="120" t="s">
        <v>688</v>
      </c>
      <c r="I39" s="199">
        <v>221113231200</v>
      </c>
      <c r="J39" s="193" t="s">
        <v>2015</v>
      </c>
      <c r="K39" s="193"/>
    </row>
    <row r="40" spans="1:11" x14ac:dyDescent="0.3">
      <c r="A40" s="193">
        <f t="shared" si="0"/>
        <v>39</v>
      </c>
      <c r="B40" s="193" t="s">
        <v>2057</v>
      </c>
      <c r="C40" s="193" t="s">
        <v>2060</v>
      </c>
      <c r="D40" s="193">
        <v>1.25</v>
      </c>
      <c r="E40" s="193"/>
      <c r="F40" s="193"/>
      <c r="G40" s="193" t="s">
        <v>13</v>
      </c>
      <c r="H40" s="120" t="s">
        <v>688</v>
      </c>
      <c r="I40" s="199">
        <v>221113232220</v>
      </c>
      <c r="J40" s="193" t="s">
        <v>2015</v>
      </c>
      <c r="K40" s="193"/>
    </row>
    <row r="41" spans="1:11" x14ac:dyDescent="0.3">
      <c r="A41" s="193">
        <f t="shared" si="0"/>
        <v>40</v>
      </c>
      <c r="B41" s="193" t="s">
        <v>2057</v>
      </c>
      <c r="C41" s="193" t="s">
        <v>2061</v>
      </c>
      <c r="D41" s="193">
        <v>1.5</v>
      </c>
      <c r="E41" s="193"/>
      <c r="F41" s="193"/>
      <c r="G41" s="193" t="s">
        <v>13</v>
      </c>
      <c r="H41" s="120" t="s">
        <v>688</v>
      </c>
      <c r="I41" s="199">
        <v>221113232240</v>
      </c>
      <c r="J41" s="193" t="s">
        <v>2015</v>
      </c>
      <c r="K41" s="193"/>
    </row>
    <row r="42" spans="1:11" x14ac:dyDescent="0.3">
      <c r="A42" s="193">
        <f t="shared" si="0"/>
        <v>41</v>
      </c>
      <c r="B42" s="193" t="s">
        <v>2057</v>
      </c>
      <c r="C42" s="193" t="s">
        <v>2062</v>
      </c>
      <c r="D42" s="193">
        <v>2</v>
      </c>
      <c r="E42" s="193"/>
      <c r="F42" s="193"/>
      <c r="G42" s="193" t="s">
        <v>13</v>
      </c>
      <c r="H42" s="120" t="s">
        <v>688</v>
      </c>
      <c r="I42" s="199">
        <v>221113232260</v>
      </c>
      <c r="J42" s="193" t="s">
        <v>2015</v>
      </c>
      <c r="K42" s="193"/>
    </row>
    <row r="43" spans="1:11" x14ac:dyDescent="0.3">
      <c r="A43" s="193">
        <f t="shared" si="0"/>
        <v>42</v>
      </c>
      <c r="B43" s="193" t="s">
        <v>2057</v>
      </c>
      <c r="C43" s="193" t="s">
        <v>2063</v>
      </c>
      <c r="D43" s="193">
        <v>2.5</v>
      </c>
      <c r="E43" s="193"/>
      <c r="F43" s="193"/>
      <c r="G43" s="193" t="s">
        <v>13</v>
      </c>
      <c r="H43" s="120" t="s">
        <v>688</v>
      </c>
      <c r="I43" s="199">
        <v>221113232280</v>
      </c>
      <c r="J43" s="193" t="s">
        <v>2017</v>
      </c>
      <c r="K43" s="193"/>
    </row>
    <row r="44" spans="1:11" x14ac:dyDescent="0.3">
      <c r="A44" s="193">
        <f t="shared" si="0"/>
        <v>43</v>
      </c>
      <c r="B44" s="193" t="s">
        <v>2064</v>
      </c>
      <c r="C44" s="193" t="s">
        <v>2065</v>
      </c>
      <c r="D44" s="193">
        <f>10*3.712</f>
        <v>37.120000000000005</v>
      </c>
      <c r="E44" s="193"/>
      <c r="F44" s="193"/>
      <c r="G44" s="193" t="s">
        <v>13</v>
      </c>
      <c r="H44" s="120" t="s">
        <v>688</v>
      </c>
      <c r="I44" s="199">
        <v>221113239410</v>
      </c>
      <c r="J44" s="193" t="s">
        <v>2017</v>
      </c>
      <c r="K44" s="193"/>
    </row>
    <row r="45" spans="1:11" x14ac:dyDescent="0.3">
      <c r="A45" s="193">
        <f t="shared" si="0"/>
        <v>44</v>
      </c>
      <c r="B45" s="193" t="s">
        <v>2064</v>
      </c>
      <c r="C45" s="193" t="s">
        <v>2066</v>
      </c>
      <c r="D45" s="193">
        <f>10.001*3.712</f>
        <v>37.123711999999998</v>
      </c>
      <c r="E45" s="193"/>
      <c r="F45" s="193"/>
      <c r="G45" s="193" t="s">
        <v>13</v>
      </c>
      <c r="H45" s="120" t="s">
        <v>688</v>
      </c>
      <c r="I45" s="199">
        <v>221113239420</v>
      </c>
      <c r="J45" s="193" t="s">
        <v>2017</v>
      </c>
      <c r="K45" s="193"/>
    </row>
    <row r="46" spans="1:11" x14ac:dyDescent="0.3">
      <c r="A46" s="193">
        <f t="shared" si="0"/>
        <v>45</v>
      </c>
      <c r="B46" s="193" t="s">
        <v>2067</v>
      </c>
      <c r="C46" s="193" t="s">
        <v>2068</v>
      </c>
      <c r="D46" s="193"/>
      <c r="E46" s="193"/>
      <c r="F46" s="193"/>
      <c r="G46" s="193" t="s">
        <v>13</v>
      </c>
      <c r="H46" s="120" t="s">
        <v>688</v>
      </c>
      <c r="I46" s="199">
        <v>221113239430</v>
      </c>
      <c r="J46" s="193" t="s">
        <v>2017</v>
      </c>
      <c r="K46" s="193"/>
    </row>
    <row r="47" spans="1:11" x14ac:dyDescent="0.3">
      <c r="A47" s="193">
        <f t="shared" si="0"/>
        <v>46</v>
      </c>
      <c r="B47" s="193" t="s">
        <v>2069</v>
      </c>
      <c r="C47" s="193" t="s">
        <v>2070</v>
      </c>
      <c r="D47" s="193">
        <v>0.75</v>
      </c>
      <c r="E47" s="193"/>
      <c r="F47" s="193"/>
      <c r="G47" s="193" t="s">
        <v>13</v>
      </c>
      <c r="H47" s="120" t="s">
        <v>688</v>
      </c>
      <c r="I47" s="199">
        <v>221113250120</v>
      </c>
      <c r="J47" s="193" t="s">
        <v>2017</v>
      </c>
      <c r="K47" s="193"/>
    </row>
    <row r="48" spans="1:11" x14ac:dyDescent="0.3">
      <c r="A48" s="193">
        <f t="shared" si="0"/>
        <v>47</v>
      </c>
      <c r="B48" s="193" t="s">
        <v>2069</v>
      </c>
      <c r="C48" s="193" t="s">
        <v>2071</v>
      </c>
      <c r="D48" s="193">
        <v>1</v>
      </c>
      <c r="E48" s="193"/>
      <c r="F48" s="193"/>
      <c r="G48" s="193" t="s">
        <v>13</v>
      </c>
      <c r="H48" s="120" t="s">
        <v>688</v>
      </c>
      <c r="I48" s="199">
        <v>221113250130</v>
      </c>
      <c r="J48" s="193" t="s">
        <v>2017</v>
      </c>
      <c r="K48" s="193"/>
    </row>
    <row r="49" spans="1:11" x14ac:dyDescent="0.3">
      <c r="A49" s="193">
        <f t="shared" si="0"/>
        <v>48</v>
      </c>
      <c r="B49" s="193" t="s">
        <v>2069</v>
      </c>
      <c r="C49" s="193" t="s">
        <v>2072</v>
      </c>
      <c r="D49" s="193">
        <v>1.25</v>
      </c>
      <c r="E49" s="193"/>
      <c r="F49" s="193"/>
      <c r="G49" s="193" t="s">
        <v>13</v>
      </c>
      <c r="H49" s="120" t="s">
        <v>688</v>
      </c>
      <c r="I49" s="199">
        <v>221113250140</v>
      </c>
      <c r="J49" s="193" t="s">
        <v>2017</v>
      </c>
      <c r="K49" s="193"/>
    </row>
    <row r="50" spans="1:11" x14ac:dyDescent="0.3">
      <c r="A50" s="193">
        <f t="shared" si="0"/>
        <v>49</v>
      </c>
      <c r="B50" s="193" t="s">
        <v>2069</v>
      </c>
      <c r="C50" s="193" t="s">
        <v>2073</v>
      </c>
      <c r="D50" s="193">
        <v>1.5</v>
      </c>
      <c r="E50" s="193"/>
      <c r="F50" s="193"/>
      <c r="G50" s="193" t="s">
        <v>13</v>
      </c>
      <c r="H50" s="120" t="s">
        <v>688</v>
      </c>
      <c r="I50" s="199">
        <v>221113250150</v>
      </c>
      <c r="J50" s="193" t="s">
        <v>2017</v>
      </c>
      <c r="K50" s="193"/>
    </row>
    <row r="51" spans="1:11" x14ac:dyDescent="0.3">
      <c r="A51" s="193">
        <f t="shared" si="0"/>
        <v>50</v>
      </c>
      <c r="B51" s="193" t="s">
        <v>2069</v>
      </c>
      <c r="C51" s="193" t="s">
        <v>2074</v>
      </c>
      <c r="D51" s="193">
        <v>2</v>
      </c>
      <c r="E51" s="193"/>
      <c r="F51" s="193"/>
      <c r="G51" s="193" t="s">
        <v>13</v>
      </c>
      <c r="H51" s="120" t="s">
        <v>688</v>
      </c>
      <c r="I51" s="199">
        <v>221113250160</v>
      </c>
      <c r="J51" s="193" t="s">
        <v>2017</v>
      </c>
      <c r="K51" s="193"/>
    </row>
    <row r="52" spans="1:11" x14ac:dyDescent="0.3">
      <c r="A52" s="193">
        <f t="shared" si="0"/>
        <v>51</v>
      </c>
      <c r="B52" s="193" t="s">
        <v>2069</v>
      </c>
      <c r="C52" s="193" t="s">
        <v>2075</v>
      </c>
      <c r="D52" s="193">
        <v>2.5</v>
      </c>
      <c r="E52" s="193"/>
      <c r="F52" s="193"/>
      <c r="G52" s="193" t="s">
        <v>13</v>
      </c>
      <c r="H52" s="120" t="s">
        <v>688</v>
      </c>
      <c r="I52" s="199">
        <v>221113250170</v>
      </c>
      <c r="J52" s="193" t="s">
        <v>2017</v>
      </c>
      <c r="K52" s="193"/>
    </row>
    <row r="53" spans="1:11" x14ac:dyDescent="0.3">
      <c r="A53" s="193">
        <f t="shared" si="0"/>
        <v>52</v>
      </c>
      <c r="B53" s="193" t="s">
        <v>2076</v>
      </c>
      <c r="C53" s="193" t="s">
        <v>2077</v>
      </c>
      <c r="D53" s="193">
        <v>0.75</v>
      </c>
      <c r="E53" s="193"/>
      <c r="F53" s="193"/>
      <c r="G53" s="193" t="s">
        <v>13</v>
      </c>
      <c r="H53" s="120" t="s">
        <v>688</v>
      </c>
      <c r="I53" s="199">
        <v>221113250500</v>
      </c>
      <c r="J53" s="193" t="s">
        <v>2017</v>
      </c>
      <c r="K53" s="193"/>
    </row>
    <row r="54" spans="1:11" x14ac:dyDescent="0.3">
      <c r="A54" s="193">
        <f t="shared" si="0"/>
        <v>53</v>
      </c>
      <c r="B54" s="193" t="s">
        <v>2076</v>
      </c>
      <c r="C54" s="193" t="s">
        <v>2078</v>
      </c>
      <c r="D54" s="193">
        <v>1</v>
      </c>
      <c r="E54" s="193"/>
      <c r="F54" s="193"/>
      <c r="G54" s="193" t="s">
        <v>13</v>
      </c>
      <c r="H54" s="120" t="s">
        <v>688</v>
      </c>
      <c r="I54" s="199">
        <v>221113250510</v>
      </c>
      <c r="J54" s="193" t="s">
        <v>2017</v>
      </c>
      <c r="K54" s="193"/>
    </row>
    <row r="55" spans="1:11" x14ac:dyDescent="0.3">
      <c r="A55" s="193">
        <f t="shared" si="0"/>
        <v>54</v>
      </c>
      <c r="B55" s="193" t="s">
        <v>2076</v>
      </c>
      <c r="C55" s="193" t="s">
        <v>2079</v>
      </c>
      <c r="D55" s="193">
        <v>1.25</v>
      </c>
      <c r="E55" s="193"/>
      <c r="F55" s="193"/>
      <c r="G55" s="193" t="s">
        <v>13</v>
      </c>
      <c r="H55" s="120" t="s">
        <v>688</v>
      </c>
      <c r="I55" s="199">
        <v>221113250520</v>
      </c>
      <c r="J55" s="193" t="s">
        <v>2017</v>
      </c>
      <c r="K55" s="193"/>
    </row>
    <row r="56" spans="1:11" x14ac:dyDescent="0.3">
      <c r="A56" s="193">
        <f t="shared" si="0"/>
        <v>55</v>
      </c>
      <c r="B56" s="193" t="s">
        <v>2076</v>
      </c>
      <c r="C56" s="193" t="s">
        <v>2080</v>
      </c>
      <c r="D56" s="193">
        <v>1.5</v>
      </c>
      <c r="E56" s="193"/>
      <c r="F56" s="193"/>
      <c r="G56" s="193" t="s">
        <v>13</v>
      </c>
      <c r="H56" s="120" t="s">
        <v>688</v>
      </c>
      <c r="I56" s="199">
        <v>221113250530</v>
      </c>
      <c r="J56" s="193" t="s">
        <v>2017</v>
      </c>
      <c r="K56" s="193"/>
    </row>
    <row r="57" spans="1:11" x14ac:dyDescent="0.3">
      <c r="A57" s="193">
        <f t="shared" si="0"/>
        <v>56</v>
      </c>
      <c r="B57" s="193" t="s">
        <v>2076</v>
      </c>
      <c r="C57" s="193" t="s">
        <v>2081</v>
      </c>
      <c r="D57" s="193">
        <v>2</v>
      </c>
      <c r="E57" s="193"/>
      <c r="F57" s="193"/>
      <c r="G57" s="193" t="s">
        <v>13</v>
      </c>
      <c r="H57" s="120" t="s">
        <v>688</v>
      </c>
      <c r="I57" s="199">
        <v>221113250540</v>
      </c>
      <c r="J57" s="193" t="s">
        <v>2017</v>
      </c>
      <c r="K57" s="193"/>
    </row>
    <row r="58" spans="1:11" x14ac:dyDescent="0.3">
      <c r="A58" s="193">
        <f t="shared" si="0"/>
        <v>57</v>
      </c>
      <c r="B58" s="193" t="s">
        <v>2076</v>
      </c>
      <c r="C58" s="193" t="s">
        <v>2082</v>
      </c>
      <c r="D58" s="193">
        <v>2.5</v>
      </c>
      <c r="E58" s="193"/>
      <c r="F58" s="193"/>
      <c r="G58" s="193" t="s">
        <v>13</v>
      </c>
      <c r="H58" s="120" t="s">
        <v>688</v>
      </c>
      <c r="I58" s="199">
        <v>221113250550</v>
      </c>
      <c r="J58" s="193" t="s">
        <v>2017</v>
      </c>
      <c r="K58" s="193"/>
    </row>
    <row r="59" spans="1:11" x14ac:dyDescent="0.3">
      <c r="A59" s="193">
        <f t="shared" si="0"/>
        <v>58</v>
      </c>
      <c r="B59" s="193" t="s">
        <v>2083</v>
      </c>
      <c r="C59" s="193" t="s">
        <v>2084</v>
      </c>
      <c r="D59" s="193">
        <v>0.75</v>
      </c>
      <c r="E59" s="193"/>
      <c r="F59" s="193"/>
      <c r="G59" s="193" t="s">
        <v>13</v>
      </c>
      <c r="H59" s="120" t="s">
        <v>688</v>
      </c>
      <c r="I59" s="199">
        <v>221113250900</v>
      </c>
      <c r="J59" s="193" t="s">
        <v>2017</v>
      </c>
      <c r="K59" s="193"/>
    </row>
    <row r="60" spans="1:11" x14ac:dyDescent="0.3">
      <c r="A60" s="193">
        <f t="shared" si="0"/>
        <v>59</v>
      </c>
      <c r="B60" s="193" t="s">
        <v>2083</v>
      </c>
      <c r="C60" s="193" t="s">
        <v>2085</v>
      </c>
      <c r="D60" s="193">
        <v>1</v>
      </c>
      <c r="E60" s="193"/>
      <c r="F60" s="193"/>
      <c r="G60" s="193" t="s">
        <v>13</v>
      </c>
      <c r="H60" s="120" t="s">
        <v>688</v>
      </c>
      <c r="I60" s="199">
        <v>221113250910</v>
      </c>
      <c r="J60" s="193" t="s">
        <v>2017</v>
      </c>
      <c r="K60" s="193"/>
    </row>
    <row r="61" spans="1:11" x14ac:dyDescent="0.3">
      <c r="A61" s="193">
        <f t="shared" si="0"/>
        <v>60</v>
      </c>
      <c r="B61" s="193" t="s">
        <v>2083</v>
      </c>
      <c r="C61" s="193" t="s">
        <v>2086</v>
      </c>
      <c r="D61" s="193">
        <v>1.25</v>
      </c>
      <c r="E61" s="193"/>
      <c r="F61" s="193"/>
      <c r="G61" s="193" t="s">
        <v>13</v>
      </c>
      <c r="H61" s="120" t="s">
        <v>688</v>
      </c>
      <c r="I61" s="199">
        <v>221113250920</v>
      </c>
      <c r="J61" s="193" t="s">
        <v>2017</v>
      </c>
      <c r="K61" s="193"/>
    </row>
    <row r="62" spans="1:11" x14ac:dyDescent="0.3">
      <c r="A62" s="193">
        <f t="shared" si="0"/>
        <v>61</v>
      </c>
      <c r="B62" s="193" t="s">
        <v>2083</v>
      </c>
      <c r="C62" s="193" t="s">
        <v>2087</v>
      </c>
      <c r="D62" s="193">
        <v>1.5</v>
      </c>
      <c r="E62" s="193"/>
      <c r="F62" s="193"/>
      <c r="G62" s="193" t="s">
        <v>13</v>
      </c>
      <c r="H62" s="120" t="s">
        <v>688</v>
      </c>
      <c r="I62" s="199">
        <v>221113250930</v>
      </c>
      <c r="J62" s="193" t="s">
        <v>2017</v>
      </c>
      <c r="K62" s="193"/>
    </row>
    <row r="63" spans="1:11" x14ac:dyDescent="0.3">
      <c r="A63" s="193">
        <f t="shared" si="0"/>
        <v>62</v>
      </c>
      <c r="B63" s="193" t="s">
        <v>2083</v>
      </c>
      <c r="C63" s="193" t="s">
        <v>2088</v>
      </c>
      <c r="D63" s="193">
        <v>2</v>
      </c>
      <c r="E63" s="193"/>
      <c r="F63" s="193"/>
      <c r="G63" s="193" t="s">
        <v>13</v>
      </c>
      <c r="H63" s="120" t="s">
        <v>688</v>
      </c>
      <c r="I63" s="199">
        <v>221113250940</v>
      </c>
      <c r="J63" s="193" t="s">
        <v>2017</v>
      </c>
      <c r="K63" s="193"/>
    </row>
    <row r="64" spans="1:11" x14ac:dyDescent="0.3">
      <c r="A64" s="193">
        <f t="shared" si="0"/>
        <v>63</v>
      </c>
      <c r="B64" s="193" t="s">
        <v>2083</v>
      </c>
      <c r="C64" s="193" t="s">
        <v>2089</v>
      </c>
      <c r="D64" s="193">
        <v>2.5</v>
      </c>
      <c r="E64" s="193"/>
      <c r="F64" s="193"/>
      <c r="G64" s="193" t="s">
        <v>13</v>
      </c>
      <c r="H64" s="120" t="s">
        <v>688</v>
      </c>
      <c r="I64" s="199">
        <v>221113250950</v>
      </c>
      <c r="J64" s="193" t="s">
        <v>2017</v>
      </c>
      <c r="K64" s="193"/>
    </row>
    <row r="65" spans="1:11" x14ac:dyDescent="0.3">
      <c r="A65" s="193">
        <f t="shared" si="0"/>
        <v>64</v>
      </c>
      <c r="B65" s="193" t="s">
        <v>2090</v>
      </c>
      <c r="C65" s="193" t="s">
        <v>2091</v>
      </c>
      <c r="D65" s="193">
        <v>0.75</v>
      </c>
      <c r="E65" s="193"/>
      <c r="F65" s="193"/>
      <c r="G65" s="193" t="s">
        <v>13</v>
      </c>
      <c r="H65" s="120" t="s">
        <v>688</v>
      </c>
      <c r="I65" s="199">
        <v>221113251010</v>
      </c>
      <c r="J65" s="193" t="s">
        <v>2017</v>
      </c>
      <c r="K65" s="193"/>
    </row>
    <row r="66" spans="1:11" x14ac:dyDescent="0.3">
      <c r="A66" s="193">
        <f t="shared" si="0"/>
        <v>65</v>
      </c>
      <c r="B66" s="193" t="s">
        <v>2090</v>
      </c>
      <c r="C66" s="193" t="s">
        <v>2092</v>
      </c>
      <c r="D66" s="193">
        <v>1</v>
      </c>
      <c r="E66" s="193"/>
      <c r="F66" s="193"/>
      <c r="G66" s="193" t="s">
        <v>13</v>
      </c>
      <c r="H66" s="120" t="s">
        <v>688</v>
      </c>
      <c r="I66" s="199">
        <v>221113251020</v>
      </c>
      <c r="J66" s="193" t="s">
        <v>2017</v>
      </c>
      <c r="K66" s="193"/>
    </row>
    <row r="67" spans="1:11" x14ac:dyDescent="0.3">
      <c r="A67" s="193">
        <f t="shared" si="0"/>
        <v>66</v>
      </c>
      <c r="B67" s="193" t="s">
        <v>2090</v>
      </c>
      <c r="C67" s="193" t="s">
        <v>2093</v>
      </c>
      <c r="D67" s="193">
        <v>1.25</v>
      </c>
      <c r="E67" s="193"/>
      <c r="F67" s="193"/>
      <c r="G67" s="193" t="s">
        <v>13</v>
      </c>
      <c r="H67" s="120" t="s">
        <v>688</v>
      </c>
      <c r="I67" s="199">
        <v>221113251030</v>
      </c>
      <c r="J67" s="193" t="s">
        <v>2017</v>
      </c>
      <c r="K67" s="193"/>
    </row>
    <row r="68" spans="1:11" x14ac:dyDescent="0.3">
      <c r="A68" s="193">
        <f t="shared" ref="A68:A131" si="1">A67+1</f>
        <v>67</v>
      </c>
      <c r="B68" s="193" t="s">
        <v>2090</v>
      </c>
      <c r="C68" s="193" t="s">
        <v>2094</v>
      </c>
      <c r="D68" s="193">
        <v>1.5</v>
      </c>
      <c r="E68" s="193"/>
      <c r="F68" s="193"/>
      <c r="G68" s="193" t="s">
        <v>13</v>
      </c>
      <c r="H68" s="120" t="s">
        <v>688</v>
      </c>
      <c r="I68" s="199">
        <v>221113251040</v>
      </c>
      <c r="J68" s="193" t="s">
        <v>2017</v>
      </c>
      <c r="K68" s="193"/>
    </row>
    <row r="69" spans="1:11" x14ac:dyDescent="0.3">
      <c r="A69" s="193">
        <f t="shared" si="1"/>
        <v>68</v>
      </c>
      <c r="B69" s="193" t="s">
        <v>2090</v>
      </c>
      <c r="C69" s="193" t="s">
        <v>2095</v>
      </c>
      <c r="D69" s="193">
        <v>2</v>
      </c>
      <c r="E69" s="193"/>
      <c r="F69" s="193"/>
      <c r="G69" s="193" t="s">
        <v>13</v>
      </c>
      <c r="H69" s="120" t="s">
        <v>688</v>
      </c>
      <c r="I69" s="199">
        <v>221113251050</v>
      </c>
      <c r="J69" s="193" t="s">
        <v>2017</v>
      </c>
      <c r="K69" s="193"/>
    </row>
    <row r="70" spans="1:11" x14ac:dyDescent="0.3">
      <c r="A70" s="193">
        <f t="shared" si="1"/>
        <v>69</v>
      </c>
      <c r="B70" s="193" t="s">
        <v>2090</v>
      </c>
      <c r="C70" s="193" t="s">
        <v>2096</v>
      </c>
      <c r="D70" s="193">
        <v>2.5</v>
      </c>
      <c r="E70" s="193"/>
      <c r="F70" s="193"/>
      <c r="G70" s="193" t="s">
        <v>13</v>
      </c>
      <c r="H70" s="120" t="s">
        <v>688</v>
      </c>
      <c r="I70" s="199">
        <v>221113251060</v>
      </c>
      <c r="J70" s="193" t="s">
        <v>2017</v>
      </c>
      <c r="K70" s="193"/>
    </row>
    <row r="71" spans="1:11" x14ac:dyDescent="0.3">
      <c r="A71" s="193">
        <f t="shared" si="1"/>
        <v>70</v>
      </c>
      <c r="B71" s="193" t="s">
        <v>2097</v>
      </c>
      <c r="C71" s="193" t="s">
        <v>2098</v>
      </c>
      <c r="D71" s="193">
        <v>0.5</v>
      </c>
      <c r="E71" s="193"/>
      <c r="F71" s="193"/>
      <c r="G71" s="193" t="s">
        <v>13</v>
      </c>
      <c r="H71" s="120" t="s">
        <v>688</v>
      </c>
      <c r="I71" s="199">
        <v>221113440560</v>
      </c>
      <c r="J71" s="193" t="s">
        <v>2015</v>
      </c>
      <c r="K71" s="193"/>
    </row>
    <row r="72" spans="1:11" x14ac:dyDescent="0.3">
      <c r="A72" s="193">
        <f t="shared" si="1"/>
        <v>71</v>
      </c>
      <c r="B72" s="193" t="s">
        <v>2097</v>
      </c>
      <c r="C72" s="193" t="s">
        <v>2099</v>
      </c>
      <c r="D72" s="193">
        <v>0.75</v>
      </c>
      <c r="E72" s="193"/>
      <c r="F72" s="193"/>
      <c r="G72" s="193" t="s">
        <v>13</v>
      </c>
      <c r="H72" s="120" t="s">
        <v>688</v>
      </c>
      <c r="I72" s="199">
        <v>221113440570</v>
      </c>
      <c r="J72" s="193" t="s">
        <v>2015</v>
      </c>
      <c r="K72" s="193"/>
    </row>
    <row r="73" spans="1:11" x14ac:dyDescent="0.3">
      <c r="A73" s="193">
        <f t="shared" si="1"/>
        <v>72</v>
      </c>
      <c r="B73" s="193" t="s">
        <v>2097</v>
      </c>
      <c r="C73" s="193" t="s">
        <v>2100</v>
      </c>
      <c r="D73" s="193">
        <v>1</v>
      </c>
      <c r="E73" s="193"/>
      <c r="F73" s="193"/>
      <c r="G73" s="193" t="s">
        <v>13</v>
      </c>
      <c r="H73" s="120" t="s">
        <v>688</v>
      </c>
      <c r="I73" s="199">
        <v>221113440580</v>
      </c>
      <c r="J73" s="193" t="s">
        <v>2015</v>
      </c>
      <c r="K73" s="193"/>
    </row>
    <row r="74" spans="1:11" x14ac:dyDescent="0.3">
      <c r="A74" s="193">
        <f t="shared" si="1"/>
        <v>73</v>
      </c>
      <c r="B74" s="193" t="s">
        <v>2097</v>
      </c>
      <c r="C74" s="193" t="s">
        <v>2101</v>
      </c>
      <c r="D74" s="193">
        <v>1.25</v>
      </c>
      <c r="E74" s="193"/>
      <c r="F74" s="193"/>
      <c r="G74" s="193" t="s">
        <v>13</v>
      </c>
      <c r="H74" s="120" t="s">
        <v>688</v>
      </c>
      <c r="I74" s="199">
        <v>221113440590</v>
      </c>
      <c r="J74" s="193" t="s">
        <v>2015</v>
      </c>
      <c r="K74" s="193"/>
    </row>
    <row r="75" spans="1:11" x14ac:dyDescent="0.3">
      <c r="A75" s="193">
        <f t="shared" si="1"/>
        <v>74</v>
      </c>
      <c r="B75" s="193" t="s">
        <v>2097</v>
      </c>
      <c r="C75" s="193" t="s">
        <v>2102</v>
      </c>
      <c r="D75" s="193">
        <v>1.5</v>
      </c>
      <c r="E75" s="193"/>
      <c r="F75" s="193"/>
      <c r="G75" s="193" t="s">
        <v>13</v>
      </c>
      <c r="H75" s="120" t="s">
        <v>688</v>
      </c>
      <c r="I75" s="199">
        <v>221113440600</v>
      </c>
      <c r="J75" s="193" t="s">
        <v>2015</v>
      </c>
      <c r="K75" s="193"/>
    </row>
    <row r="76" spans="1:11" x14ac:dyDescent="0.3">
      <c r="A76" s="193">
        <f t="shared" si="1"/>
        <v>75</v>
      </c>
      <c r="B76" s="193" t="s">
        <v>2097</v>
      </c>
      <c r="C76" s="193" t="s">
        <v>2103</v>
      </c>
      <c r="D76" s="193">
        <v>2</v>
      </c>
      <c r="E76" s="193"/>
      <c r="F76" s="193"/>
      <c r="G76" s="193" t="s">
        <v>13</v>
      </c>
      <c r="H76" s="120" t="s">
        <v>688</v>
      </c>
      <c r="I76" s="199">
        <v>221113440610</v>
      </c>
      <c r="J76" s="193" t="s">
        <v>2015</v>
      </c>
      <c r="K76" s="193"/>
    </row>
    <row r="77" spans="1:11" x14ac:dyDescent="0.3">
      <c r="A77" s="193">
        <f t="shared" si="1"/>
        <v>76</v>
      </c>
      <c r="B77" s="193" t="s">
        <v>2097</v>
      </c>
      <c r="C77" s="193" t="s">
        <v>2104</v>
      </c>
      <c r="D77" s="193">
        <v>2.5</v>
      </c>
      <c r="E77" s="193"/>
      <c r="F77" s="193"/>
      <c r="G77" s="193" t="s">
        <v>13</v>
      </c>
      <c r="H77" s="120" t="s">
        <v>688</v>
      </c>
      <c r="I77" s="199">
        <v>221113442080</v>
      </c>
      <c r="J77" s="193" t="s">
        <v>2015</v>
      </c>
      <c r="K77" s="193"/>
    </row>
    <row r="78" spans="1:11" x14ac:dyDescent="0.3">
      <c r="A78" s="193">
        <f t="shared" si="1"/>
        <v>77</v>
      </c>
      <c r="B78" s="193" t="s">
        <v>2097</v>
      </c>
      <c r="C78" s="193" t="s">
        <v>2105</v>
      </c>
      <c r="D78" s="193">
        <v>3</v>
      </c>
      <c r="E78" s="193"/>
      <c r="F78" s="193"/>
      <c r="G78" s="193" t="s">
        <v>13</v>
      </c>
      <c r="H78" s="120" t="s">
        <v>688</v>
      </c>
      <c r="I78" s="199">
        <v>221113442090</v>
      </c>
      <c r="J78" s="193" t="s">
        <v>2015</v>
      </c>
      <c r="K78" s="193"/>
    </row>
    <row r="79" spans="1:11" x14ac:dyDescent="0.3">
      <c r="A79" s="193">
        <f t="shared" si="1"/>
        <v>78</v>
      </c>
      <c r="B79" s="193" t="s">
        <v>2097</v>
      </c>
      <c r="C79" s="193" t="s">
        <v>2106</v>
      </c>
      <c r="D79" s="193">
        <v>4</v>
      </c>
      <c r="E79" s="193"/>
      <c r="F79" s="193"/>
      <c r="G79" s="193" t="s">
        <v>13</v>
      </c>
      <c r="H79" s="120" t="s">
        <v>688</v>
      </c>
      <c r="I79" s="199">
        <v>221113442110</v>
      </c>
      <c r="J79" s="193" t="s">
        <v>2015</v>
      </c>
      <c r="K79" s="193"/>
    </row>
    <row r="80" spans="1:11" x14ac:dyDescent="0.3">
      <c r="A80" s="193">
        <f t="shared" si="1"/>
        <v>79</v>
      </c>
      <c r="B80" s="193" t="s">
        <v>2107</v>
      </c>
      <c r="C80" s="193" t="s">
        <v>2108</v>
      </c>
      <c r="D80" s="193">
        <v>0.5</v>
      </c>
      <c r="E80" s="193"/>
      <c r="F80" s="193"/>
      <c r="G80" s="193" t="s">
        <v>13</v>
      </c>
      <c r="H80" s="120" t="s">
        <v>688</v>
      </c>
      <c r="I80" s="199">
        <v>221113455080</v>
      </c>
      <c r="J80" s="193" t="s">
        <v>2017</v>
      </c>
      <c r="K80" s="193"/>
    </row>
    <row r="81" spans="1:11" x14ac:dyDescent="0.3">
      <c r="A81" s="193">
        <f t="shared" si="1"/>
        <v>80</v>
      </c>
      <c r="B81" s="193" t="s">
        <v>2107</v>
      </c>
      <c r="C81" s="193" t="s">
        <v>2109</v>
      </c>
      <c r="D81" s="193">
        <v>0.75</v>
      </c>
      <c r="E81" s="193"/>
      <c r="F81" s="193"/>
      <c r="G81" s="193" t="s">
        <v>13</v>
      </c>
      <c r="H81" s="120" t="s">
        <v>688</v>
      </c>
      <c r="I81" s="199">
        <v>221113455090</v>
      </c>
      <c r="J81" s="193" t="s">
        <v>2017</v>
      </c>
      <c r="K81" s="193"/>
    </row>
    <row r="82" spans="1:11" x14ac:dyDescent="0.3">
      <c r="A82" s="193">
        <f t="shared" si="1"/>
        <v>81</v>
      </c>
      <c r="B82" s="193" t="s">
        <v>2107</v>
      </c>
      <c r="C82" s="193" t="s">
        <v>2110</v>
      </c>
      <c r="D82" s="193">
        <v>1</v>
      </c>
      <c r="E82" s="193"/>
      <c r="F82" s="193"/>
      <c r="G82" s="193" t="s">
        <v>13</v>
      </c>
      <c r="H82" s="120" t="s">
        <v>688</v>
      </c>
      <c r="I82" s="199">
        <v>221113455100</v>
      </c>
      <c r="J82" s="193" t="s">
        <v>2017</v>
      </c>
      <c r="K82" s="193"/>
    </row>
    <row r="83" spans="1:11" x14ac:dyDescent="0.3">
      <c r="A83" s="193">
        <f t="shared" si="1"/>
        <v>82</v>
      </c>
      <c r="B83" s="193" t="s">
        <v>2107</v>
      </c>
      <c r="C83" s="193" t="s">
        <v>2111</v>
      </c>
      <c r="D83" s="193">
        <v>1.25</v>
      </c>
      <c r="E83" s="193"/>
      <c r="F83" s="193"/>
      <c r="G83" s="193" t="s">
        <v>13</v>
      </c>
      <c r="H83" s="120" t="s">
        <v>688</v>
      </c>
      <c r="I83" s="199">
        <v>221113455110</v>
      </c>
      <c r="J83" s="193" t="s">
        <v>2017</v>
      </c>
      <c r="K83" s="193"/>
    </row>
    <row r="84" spans="1:11" x14ac:dyDescent="0.3">
      <c r="A84" s="193">
        <f t="shared" si="1"/>
        <v>83</v>
      </c>
      <c r="B84" s="193" t="s">
        <v>2107</v>
      </c>
      <c r="C84" s="193" t="s">
        <v>2112</v>
      </c>
      <c r="D84" s="193">
        <v>1.5</v>
      </c>
      <c r="E84" s="193"/>
      <c r="F84" s="193"/>
      <c r="G84" s="193" t="s">
        <v>13</v>
      </c>
      <c r="H84" s="120" t="s">
        <v>688</v>
      </c>
      <c r="I84" s="199">
        <v>221113455120</v>
      </c>
      <c r="J84" s="193" t="s">
        <v>2017</v>
      </c>
      <c r="K84" s="193"/>
    </row>
    <row r="85" spans="1:11" x14ac:dyDescent="0.3">
      <c r="A85" s="193">
        <f t="shared" si="1"/>
        <v>84</v>
      </c>
      <c r="B85" s="193" t="s">
        <v>2107</v>
      </c>
      <c r="C85" s="193" t="s">
        <v>2113</v>
      </c>
      <c r="D85" s="193">
        <v>2</v>
      </c>
      <c r="E85" s="193"/>
      <c r="F85" s="193"/>
      <c r="G85" s="193" t="s">
        <v>13</v>
      </c>
      <c r="H85" s="120" t="s">
        <v>688</v>
      </c>
      <c r="I85" s="199">
        <v>221113455130</v>
      </c>
      <c r="J85" s="193" t="s">
        <v>2017</v>
      </c>
      <c r="K85" s="193"/>
    </row>
    <row r="86" spans="1:11" x14ac:dyDescent="0.3">
      <c r="A86" s="193">
        <f t="shared" si="1"/>
        <v>85</v>
      </c>
      <c r="B86" s="193" t="s">
        <v>2107</v>
      </c>
      <c r="C86" s="193" t="s">
        <v>2114</v>
      </c>
      <c r="D86" s="193">
        <v>2.5</v>
      </c>
      <c r="E86" s="193"/>
      <c r="F86" s="193"/>
      <c r="G86" s="193" t="s">
        <v>13</v>
      </c>
      <c r="H86" s="120" t="s">
        <v>688</v>
      </c>
      <c r="I86" s="199">
        <v>221113455140</v>
      </c>
      <c r="J86" s="193" t="s">
        <v>2017</v>
      </c>
      <c r="K86" s="193"/>
    </row>
    <row r="87" spans="1:11" x14ac:dyDescent="0.3">
      <c r="A87" s="193">
        <f t="shared" si="1"/>
        <v>86</v>
      </c>
      <c r="B87" s="193" t="s">
        <v>2115</v>
      </c>
      <c r="C87" s="193" t="s">
        <v>2116</v>
      </c>
      <c r="D87" s="193">
        <v>0.75</v>
      </c>
      <c r="E87" s="193"/>
      <c r="F87" s="193"/>
      <c r="G87" s="193" t="s">
        <v>13</v>
      </c>
      <c r="H87" s="120" t="s">
        <v>688</v>
      </c>
      <c r="I87" s="199">
        <v>221113455500</v>
      </c>
      <c r="J87" s="193" t="s">
        <v>2017</v>
      </c>
      <c r="K87" s="193"/>
    </row>
    <row r="88" spans="1:11" x14ac:dyDescent="0.3">
      <c r="A88" s="193">
        <f t="shared" si="1"/>
        <v>87</v>
      </c>
      <c r="B88" s="193" t="s">
        <v>2115</v>
      </c>
      <c r="C88" s="193" t="s">
        <v>2117</v>
      </c>
      <c r="D88" s="193">
        <v>1</v>
      </c>
      <c r="E88" s="193"/>
      <c r="F88" s="193"/>
      <c r="G88" s="193" t="s">
        <v>13</v>
      </c>
      <c r="H88" s="120" t="s">
        <v>688</v>
      </c>
      <c r="I88" s="199">
        <v>221113455510</v>
      </c>
      <c r="J88" s="193" t="s">
        <v>2017</v>
      </c>
      <c r="K88" s="193"/>
    </row>
    <row r="89" spans="1:11" x14ac:dyDescent="0.3">
      <c r="A89" s="193">
        <f t="shared" si="1"/>
        <v>88</v>
      </c>
      <c r="B89" s="193" t="s">
        <v>2115</v>
      </c>
      <c r="C89" s="193" t="s">
        <v>2118</v>
      </c>
      <c r="D89" s="193">
        <v>1.25</v>
      </c>
      <c r="E89" s="193"/>
      <c r="F89" s="193"/>
      <c r="G89" s="193" t="s">
        <v>13</v>
      </c>
      <c r="H89" s="120" t="s">
        <v>688</v>
      </c>
      <c r="I89" s="199">
        <v>221113455520</v>
      </c>
      <c r="J89" s="193" t="s">
        <v>2017</v>
      </c>
      <c r="K89" s="193"/>
    </row>
    <row r="90" spans="1:11" x14ac:dyDescent="0.3">
      <c r="A90" s="193">
        <f t="shared" si="1"/>
        <v>89</v>
      </c>
      <c r="B90" s="193" t="s">
        <v>2115</v>
      </c>
      <c r="C90" s="193" t="s">
        <v>2119</v>
      </c>
      <c r="D90" s="193">
        <v>1.5</v>
      </c>
      <c r="E90" s="193"/>
      <c r="F90" s="193"/>
      <c r="G90" s="193" t="s">
        <v>13</v>
      </c>
      <c r="H90" s="120" t="s">
        <v>688</v>
      </c>
      <c r="I90" s="199">
        <v>221113455530</v>
      </c>
      <c r="J90" s="193" t="s">
        <v>2017</v>
      </c>
      <c r="K90" s="193"/>
    </row>
    <row r="91" spans="1:11" x14ac:dyDescent="0.3">
      <c r="A91" s="193">
        <f t="shared" si="1"/>
        <v>90</v>
      </c>
      <c r="B91" s="193" t="s">
        <v>2115</v>
      </c>
      <c r="C91" s="193" t="s">
        <v>2120</v>
      </c>
      <c r="D91" s="193">
        <v>2</v>
      </c>
      <c r="E91" s="193"/>
      <c r="F91" s="193"/>
      <c r="G91" s="193" t="s">
        <v>13</v>
      </c>
      <c r="H91" s="120" t="s">
        <v>688</v>
      </c>
      <c r="I91" s="199">
        <v>221113455540</v>
      </c>
      <c r="J91" s="193" t="s">
        <v>2017</v>
      </c>
      <c r="K91" s="193"/>
    </row>
    <row r="92" spans="1:11" x14ac:dyDescent="0.3">
      <c r="A92" s="193">
        <f t="shared" si="1"/>
        <v>91</v>
      </c>
      <c r="B92" s="193" t="s">
        <v>2115</v>
      </c>
      <c r="C92" s="193" t="s">
        <v>2121</v>
      </c>
      <c r="D92" s="193">
        <v>2.5</v>
      </c>
      <c r="E92" s="193"/>
      <c r="F92" s="193"/>
      <c r="G92" s="193" t="s">
        <v>13</v>
      </c>
      <c r="H92" s="120" t="s">
        <v>688</v>
      </c>
      <c r="I92" s="199">
        <v>221113455550</v>
      </c>
      <c r="J92" s="193" t="s">
        <v>2017</v>
      </c>
      <c r="K92" s="193"/>
    </row>
    <row r="93" spans="1:11" x14ac:dyDescent="0.3">
      <c r="A93" s="193">
        <f t="shared" si="1"/>
        <v>92</v>
      </c>
      <c r="B93" s="193" t="s">
        <v>2122</v>
      </c>
      <c r="C93" s="193" t="s">
        <v>2123</v>
      </c>
      <c r="D93" s="193">
        <v>0.75</v>
      </c>
      <c r="E93" s="193"/>
      <c r="F93" s="193"/>
      <c r="G93" s="193" t="s">
        <v>13</v>
      </c>
      <c r="H93" s="120" t="s">
        <v>688</v>
      </c>
      <c r="I93" s="199">
        <v>221113455603</v>
      </c>
      <c r="J93" s="193" t="s">
        <v>2017</v>
      </c>
      <c r="K93" s="193"/>
    </row>
    <row r="94" spans="1:11" x14ac:dyDescent="0.3">
      <c r="A94" s="193">
        <f t="shared" si="1"/>
        <v>93</v>
      </c>
      <c r="B94" s="193" t="s">
        <v>2122</v>
      </c>
      <c r="C94" s="193" t="s">
        <v>2124</v>
      </c>
      <c r="D94" s="193">
        <v>1</v>
      </c>
      <c r="E94" s="193"/>
      <c r="F94" s="193"/>
      <c r="G94" s="193" t="s">
        <v>13</v>
      </c>
      <c r="H94" s="120" t="s">
        <v>688</v>
      </c>
      <c r="I94" s="199">
        <v>221113455604</v>
      </c>
      <c r="J94" s="193" t="s">
        <v>2017</v>
      </c>
      <c r="K94" s="193"/>
    </row>
    <row r="95" spans="1:11" x14ac:dyDescent="0.3">
      <c r="A95" s="193">
        <f t="shared" si="1"/>
        <v>94</v>
      </c>
      <c r="B95" s="193" t="s">
        <v>2122</v>
      </c>
      <c r="C95" s="193" t="s">
        <v>2125</v>
      </c>
      <c r="D95" s="193">
        <v>2</v>
      </c>
      <c r="E95" s="193"/>
      <c r="F95" s="193"/>
      <c r="G95" s="193" t="s">
        <v>13</v>
      </c>
      <c r="H95" s="120" t="s">
        <v>688</v>
      </c>
      <c r="I95" s="199">
        <v>221113455607</v>
      </c>
      <c r="J95" s="193" t="s">
        <v>2017</v>
      </c>
      <c r="K95" s="193"/>
    </row>
    <row r="96" spans="1:11" x14ac:dyDescent="0.3">
      <c r="A96" s="193">
        <f t="shared" si="1"/>
        <v>95</v>
      </c>
      <c r="B96" s="193" t="s">
        <v>2126</v>
      </c>
      <c r="C96" s="193" t="s">
        <v>2127</v>
      </c>
      <c r="D96" s="193">
        <v>0.75</v>
      </c>
      <c r="E96" s="193"/>
      <c r="F96" s="193"/>
      <c r="G96" s="193" t="s">
        <v>13</v>
      </c>
      <c r="H96" s="120" t="s">
        <v>688</v>
      </c>
      <c r="I96" s="199">
        <v>221113455870</v>
      </c>
      <c r="J96" s="193" t="s">
        <v>2017</v>
      </c>
      <c r="K96" s="193"/>
    </row>
    <row r="97" spans="1:11" x14ac:dyDescent="0.3">
      <c r="A97" s="193">
        <f t="shared" si="1"/>
        <v>96</v>
      </c>
      <c r="B97" s="193" t="s">
        <v>2126</v>
      </c>
      <c r="C97" s="193" t="s">
        <v>2128</v>
      </c>
      <c r="D97" s="193">
        <v>1.25</v>
      </c>
      <c r="E97" s="193"/>
      <c r="F97" s="193"/>
      <c r="G97" s="193" t="s">
        <v>13</v>
      </c>
      <c r="H97" s="120" t="s">
        <v>688</v>
      </c>
      <c r="I97" s="199">
        <v>221113455890</v>
      </c>
      <c r="J97" s="193" t="s">
        <v>2017</v>
      </c>
      <c r="K97" s="193"/>
    </row>
    <row r="98" spans="1:11" x14ac:dyDescent="0.3">
      <c r="A98" s="193">
        <f t="shared" si="1"/>
        <v>97</v>
      </c>
      <c r="B98" s="193" t="s">
        <v>2126</v>
      </c>
      <c r="C98" s="193" t="s">
        <v>2129</v>
      </c>
      <c r="D98" s="193">
        <v>2</v>
      </c>
      <c r="E98" s="193"/>
      <c r="F98" s="193"/>
      <c r="G98" s="193" t="s">
        <v>13</v>
      </c>
      <c r="H98" s="120" t="s">
        <v>688</v>
      </c>
      <c r="I98" s="199">
        <v>221113455910</v>
      </c>
      <c r="J98" s="193" t="s">
        <v>2017</v>
      </c>
      <c r="K98" s="193"/>
    </row>
    <row r="99" spans="1:11" x14ac:dyDescent="0.3">
      <c r="A99" s="193">
        <f t="shared" si="1"/>
        <v>98</v>
      </c>
      <c r="B99" s="193" t="s">
        <v>2130</v>
      </c>
      <c r="C99" s="193" t="s">
        <v>2131</v>
      </c>
      <c r="D99" s="193">
        <v>0.75</v>
      </c>
      <c r="E99" s="193"/>
      <c r="F99" s="193"/>
      <c r="G99" s="193" t="s">
        <v>13</v>
      </c>
      <c r="H99" s="120" t="s">
        <v>688</v>
      </c>
      <c r="I99" s="199">
        <v>221113455993</v>
      </c>
      <c r="J99" s="193" t="s">
        <v>2017</v>
      </c>
      <c r="K99" s="193"/>
    </row>
    <row r="100" spans="1:11" x14ac:dyDescent="0.3">
      <c r="A100" s="193">
        <f t="shared" si="1"/>
        <v>99</v>
      </c>
      <c r="B100" s="193" t="s">
        <v>2132</v>
      </c>
      <c r="C100" s="193" t="s">
        <v>2133</v>
      </c>
      <c r="D100" s="193">
        <v>0.75</v>
      </c>
      <c r="E100" s="193"/>
      <c r="F100" s="193"/>
      <c r="G100" s="193" t="s">
        <v>13</v>
      </c>
      <c r="H100" s="120" t="s">
        <v>688</v>
      </c>
      <c r="I100" s="199">
        <v>221113457040</v>
      </c>
      <c r="J100" s="193" t="s">
        <v>2017</v>
      </c>
      <c r="K100" s="193"/>
    </row>
    <row r="101" spans="1:11" x14ac:dyDescent="0.3">
      <c r="A101" s="193">
        <f t="shared" si="1"/>
        <v>100</v>
      </c>
      <c r="B101" s="193" t="s">
        <v>2132</v>
      </c>
      <c r="C101" s="193" t="s">
        <v>2134</v>
      </c>
      <c r="D101" s="193">
        <v>1</v>
      </c>
      <c r="E101" s="193"/>
      <c r="F101" s="193"/>
      <c r="G101" s="193" t="s">
        <v>13</v>
      </c>
      <c r="H101" s="120" t="s">
        <v>688</v>
      </c>
      <c r="I101" s="199">
        <v>221113457050</v>
      </c>
      <c r="J101" s="193" t="s">
        <v>2017</v>
      </c>
      <c r="K101" s="193"/>
    </row>
    <row r="102" spans="1:11" x14ac:dyDescent="0.3">
      <c r="A102" s="193">
        <f t="shared" si="1"/>
        <v>101</v>
      </c>
      <c r="B102" s="193" t="s">
        <v>2132</v>
      </c>
      <c r="C102" s="193" t="s">
        <v>2135</v>
      </c>
      <c r="D102" s="193">
        <v>1.25</v>
      </c>
      <c r="E102" s="193"/>
      <c r="F102" s="193"/>
      <c r="G102" s="193" t="s">
        <v>13</v>
      </c>
      <c r="H102" s="120" t="s">
        <v>688</v>
      </c>
      <c r="I102" s="199">
        <v>221113457060</v>
      </c>
      <c r="J102" s="193" t="s">
        <v>2017</v>
      </c>
      <c r="K102" s="193"/>
    </row>
    <row r="103" spans="1:11" x14ac:dyDescent="0.3">
      <c r="A103" s="193">
        <f t="shared" si="1"/>
        <v>102</v>
      </c>
      <c r="B103" s="193" t="s">
        <v>2132</v>
      </c>
      <c r="C103" s="193" t="s">
        <v>2136</v>
      </c>
      <c r="D103" s="193">
        <v>1.5</v>
      </c>
      <c r="E103" s="193"/>
      <c r="F103" s="193"/>
      <c r="G103" s="193" t="s">
        <v>13</v>
      </c>
      <c r="H103" s="120" t="s">
        <v>688</v>
      </c>
      <c r="I103" s="199">
        <v>221113457070</v>
      </c>
      <c r="J103" s="193" t="s">
        <v>2017</v>
      </c>
      <c r="K103" s="193"/>
    </row>
    <row r="104" spans="1:11" x14ac:dyDescent="0.3">
      <c r="A104" s="193">
        <f t="shared" si="1"/>
        <v>103</v>
      </c>
      <c r="B104" s="193" t="s">
        <v>2132</v>
      </c>
      <c r="C104" s="193" t="s">
        <v>2137</v>
      </c>
      <c r="D104" s="193">
        <v>2</v>
      </c>
      <c r="E104" s="193"/>
      <c r="F104" s="193"/>
      <c r="G104" s="193" t="s">
        <v>13</v>
      </c>
      <c r="H104" s="120" t="s">
        <v>688</v>
      </c>
      <c r="I104" s="199">
        <v>221113457080</v>
      </c>
      <c r="J104" s="193" t="s">
        <v>2017</v>
      </c>
      <c r="K104" s="193"/>
    </row>
    <row r="105" spans="1:11" x14ac:dyDescent="0.3">
      <c r="A105" s="193">
        <f t="shared" si="1"/>
        <v>104</v>
      </c>
      <c r="B105" s="193" t="s">
        <v>2132</v>
      </c>
      <c r="C105" s="193" t="s">
        <v>2138</v>
      </c>
      <c r="D105" s="193">
        <v>2.5</v>
      </c>
      <c r="E105" s="193"/>
      <c r="F105" s="193"/>
      <c r="G105" s="193" t="s">
        <v>13</v>
      </c>
      <c r="H105" s="120" t="s">
        <v>688</v>
      </c>
      <c r="I105" s="199">
        <v>221113457090</v>
      </c>
      <c r="J105" s="193" t="s">
        <v>2017</v>
      </c>
      <c r="K105" s="193"/>
    </row>
    <row r="106" spans="1:11" x14ac:dyDescent="0.3">
      <c r="A106" s="193">
        <f t="shared" si="1"/>
        <v>105</v>
      </c>
      <c r="B106" s="193" t="s">
        <v>2139</v>
      </c>
      <c r="C106" s="193" t="s">
        <v>2140</v>
      </c>
      <c r="D106" s="193">
        <v>2.5</v>
      </c>
      <c r="E106" s="193"/>
      <c r="F106" s="193"/>
      <c r="G106" s="193" t="s">
        <v>13</v>
      </c>
      <c r="H106" s="120" t="s">
        <v>688</v>
      </c>
      <c r="I106" s="199">
        <v>221113473110</v>
      </c>
      <c r="J106" s="193" t="s">
        <v>2017</v>
      </c>
      <c r="K106" s="193"/>
    </row>
    <row r="107" spans="1:11" x14ac:dyDescent="0.3">
      <c r="A107" s="193">
        <f t="shared" si="1"/>
        <v>106</v>
      </c>
      <c r="B107" s="193" t="s">
        <v>2139</v>
      </c>
      <c r="C107" s="193" t="s">
        <v>2141</v>
      </c>
      <c r="D107" s="193">
        <v>4</v>
      </c>
      <c r="E107" s="193"/>
      <c r="F107" s="193"/>
      <c r="G107" s="193" t="s">
        <v>13</v>
      </c>
      <c r="H107" s="120" t="s">
        <v>688</v>
      </c>
      <c r="I107" s="199">
        <v>221113473130</v>
      </c>
      <c r="J107" s="193" t="s">
        <v>2017</v>
      </c>
      <c r="K107" s="193"/>
    </row>
    <row r="108" spans="1:11" x14ac:dyDescent="0.3">
      <c r="A108" s="193">
        <f t="shared" si="1"/>
        <v>107</v>
      </c>
      <c r="B108" s="193" t="s">
        <v>2142</v>
      </c>
      <c r="C108" s="193" t="s">
        <v>2143</v>
      </c>
      <c r="D108" s="193">
        <v>2.5</v>
      </c>
      <c r="E108" s="193"/>
      <c r="F108" s="193"/>
      <c r="G108" s="193" t="s">
        <v>13</v>
      </c>
      <c r="H108" s="120" t="s">
        <v>688</v>
      </c>
      <c r="I108" s="199">
        <v>221113473493</v>
      </c>
      <c r="J108" s="193" t="s">
        <v>2017</v>
      </c>
      <c r="K108" s="193"/>
    </row>
    <row r="109" spans="1:11" x14ac:dyDescent="0.3">
      <c r="A109" s="193">
        <f t="shared" si="1"/>
        <v>108</v>
      </c>
      <c r="B109" s="193" t="s">
        <v>2144</v>
      </c>
      <c r="C109" s="193" t="s">
        <v>2145</v>
      </c>
      <c r="D109" s="193">
        <v>2.5</v>
      </c>
      <c r="E109" s="193"/>
      <c r="F109" s="193"/>
      <c r="G109" s="193" t="s">
        <v>13</v>
      </c>
      <c r="H109" s="120" t="s">
        <v>688</v>
      </c>
      <c r="I109" s="199">
        <v>221113474601</v>
      </c>
      <c r="J109" s="193" t="s">
        <v>2017</v>
      </c>
      <c r="K109" s="193"/>
    </row>
    <row r="110" spans="1:11" x14ac:dyDescent="0.3">
      <c r="A110" s="193">
        <f t="shared" si="1"/>
        <v>109</v>
      </c>
      <c r="B110" s="193" t="s">
        <v>2146</v>
      </c>
      <c r="C110" s="193" t="s">
        <v>2147</v>
      </c>
      <c r="D110" s="193">
        <v>0.25</v>
      </c>
      <c r="E110" s="193"/>
      <c r="F110" s="193"/>
      <c r="G110" s="193" t="s">
        <v>13</v>
      </c>
      <c r="H110" s="120" t="s">
        <v>688</v>
      </c>
      <c r="I110" s="199">
        <v>221113475630</v>
      </c>
      <c r="J110" s="193" t="s">
        <v>2017</v>
      </c>
      <c r="K110" s="193"/>
    </row>
    <row r="111" spans="1:11" x14ac:dyDescent="0.3">
      <c r="A111" s="193">
        <f t="shared" si="1"/>
        <v>110</v>
      </c>
      <c r="B111" s="193" t="s">
        <v>2146</v>
      </c>
      <c r="C111" s="193" t="s">
        <v>2148</v>
      </c>
      <c r="D111" s="193">
        <v>0.5</v>
      </c>
      <c r="E111" s="193"/>
      <c r="F111" s="193"/>
      <c r="G111" s="193" t="s">
        <v>13</v>
      </c>
      <c r="H111" s="120" t="s">
        <v>688</v>
      </c>
      <c r="I111" s="199">
        <v>221113475632</v>
      </c>
      <c r="J111" s="193" t="s">
        <v>2017</v>
      </c>
      <c r="K111" s="193"/>
    </row>
    <row r="112" spans="1:11" x14ac:dyDescent="0.3">
      <c r="A112" s="193">
        <f t="shared" si="1"/>
        <v>111</v>
      </c>
      <c r="B112" s="193" t="s">
        <v>2146</v>
      </c>
      <c r="C112" s="193" t="s">
        <v>2149</v>
      </c>
      <c r="D112" s="193">
        <v>0.75</v>
      </c>
      <c r="E112" s="193"/>
      <c r="F112" s="193"/>
      <c r="G112" s="193" t="s">
        <v>13</v>
      </c>
      <c r="H112" s="120" t="s">
        <v>688</v>
      </c>
      <c r="I112" s="199">
        <v>221113475633</v>
      </c>
      <c r="J112" s="193" t="s">
        <v>2017</v>
      </c>
      <c r="K112" s="193"/>
    </row>
    <row r="113" spans="1:11" x14ac:dyDescent="0.3">
      <c r="A113" s="193">
        <f t="shared" si="1"/>
        <v>112</v>
      </c>
      <c r="B113" s="193" t="s">
        <v>2150</v>
      </c>
      <c r="C113" s="193" t="s">
        <v>2151</v>
      </c>
      <c r="D113" s="193">
        <v>2.5</v>
      </c>
      <c r="E113" s="193"/>
      <c r="F113" s="193"/>
      <c r="G113" s="193" t="s">
        <v>13</v>
      </c>
      <c r="H113" s="120" t="s">
        <v>688</v>
      </c>
      <c r="I113" s="199">
        <v>221113476470</v>
      </c>
      <c r="J113" s="193" t="s">
        <v>2017</v>
      </c>
      <c r="K113" s="193"/>
    </row>
    <row r="114" spans="1:11" x14ac:dyDescent="0.3">
      <c r="A114" s="193">
        <f t="shared" si="1"/>
        <v>113</v>
      </c>
      <c r="B114" s="193" t="s">
        <v>2150</v>
      </c>
      <c r="C114" s="193" t="s">
        <v>2152</v>
      </c>
      <c r="D114" s="193">
        <v>4</v>
      </c>
      <c r="E114" s="193"/>
      <c r="F114" s="193"/>
      <c r="G114" s="193" t="s">
        <v>13</v>
      </c>
      <c r="H114" s="120" t="s">
        <v>688</v>
      </c>
      <c r="I114" s="199">
        <v>221113476500</v>
      </c>
      <c r="J114" s="193" t="s">
        <v>2017</v>
      </c>
      <c r="K114" s="193"/>
    </row>
    <row r="115" spans="1:11" x14ac:dyDescent="0.3">
      <c r="A115" s="193">
        <f t="shared" si="1"/>
        <v>114</v>
      </c>
      <c r="B115" s="193" t="s">
        <v>2153</v>
      </c>
      <c r="C115" s="193" t="s">
        <v>2154</v>
      </c>
      <c r="D115" s="193"/>
      <c r="E115" s="193"/>
      <c r="F115" s="193"/>
      <c r="G115" s="193" t="s">
        <v>13</v>
      </c>
      <c r="H115" s="120" t="s">
        <v>688</v>
      </c>
      <c r="I115" s="199">
        <v>221119301250</v>
      </c>
      <c r="J115" s="193" t="s">
        <v>2017</v>
      </c>
      <c r="K115" s="193"/>
    </row>
    <row r="116" spans="1:11" x14ac:dyDescent="0.3">
      <c r="A116" s="193">
        <f t="shared" si="1"/>
        <v>115</v>
      </c>
      <c r="B116" s="193" t="s">
        <v>2155</v>
      </c>
      <c r="C116" s="193" t="s">
        <v>2156</v>
      </c>
      <c r="D116" s="193">
        <v>0.75</v>
      </c>
      <c r="E116" s="193"/>
      <c r="F116" s="193"/>
      <c r="G116" s="193" t="s">
        <v>13</v>
      </c>
      <c r="H116" s="120" t="s">
        <v>688</v>
      </c>
      <c r="I116" s="199">
        <v>232120760120</v>
      </c>
      <c r="J116" s="193" t="s">
        <v>2017</v>
      </c>
      <c r="K116" s="193"/>
    </row>
    <row r="117" spans="1:11" x14ac:dyDescent="0.3">
      <c r="A117" s="193">
        <f t="shared" si="1"/>
        <v>116</v>
      </c>
      <c r="B117" s="193" t="s">
        <v>2155</v>
      </c>
      <c r="C117" s="193" t="s">
        <v>2157</v>
      </c>
      <c r="D117" s="193">
        <v>1</v>
      </c>
      <c r="E117" s="193"/>
      <c r="F117" s="193"/>
      <c r="G117" s="193" t="s">
        <v>13</v>
      </c>
      <c r="H117" s="120" t="s">
        <v>688</v>
      </c>
      <c r="I117" s="199">
        <v>232120760140</v>
      </c>
      <c r="J117" s="193" t="s">
        <v>2017</v>
      </c>
      <c r="K117" s="193"/>
    </row>
    <row r="118" spans="1:11" x14ac:dyDescent="0.3">
      <c r="A118" s="193">
        <f t="shared" si="1"/>
        <v>117</v>
      </c>
      <c r="B118" s="193" t="s">
        <v>2155</v>
      </c>
      <c r="C118" s="193" t="s">
        <v>2158</v>
      </c>
      <c r="D118" s="193">
        <v>1.25</v>
      </c>
      <c r="E118" s="193"/>
      <c r="F118" s="193"/>
      <c r="G118" s="193" t="s">
        <v>13</v>
      </c>
      <c r="H118" s="120" t="s">
        <v>688</v>
      </c>
      <c r="I118" s="199">
        <v>232120760150</v>
      </c>
      <c r="J118" s="193" t="s">
        <v>2017</v>
      </c>
      <c r="K118" s="193"/>
    </row>
    <row r="119" spans="1:11" x14ac:dyDescent="0.3">
      <c r="A119" s="193">
        <f t="shared" si="1"/>
        <v>118</v>
      </c>
      <c r="B119" s="193" t="s">
        <v>2155</v>
      </c>
      <c r="C119" s="193" t="s">
        <v>2159</v>
      </c>
      <c r="D119" s="193">
        <v>1.5</v>
      </c>
      <c r="E119" s="193"/>
      <c r="F119" s="193"/>
      <c r="G119" s="193" t="s">
        <v>13</v>
      </c>
      <c r="H119" s="120" t="s">
        <v>688</v>
      </c>
      <c r="I119" s="199">
        <v>232120760160</v>
      </c>
      <c r="J119" s="193" t="s">
        <v>2017</v>
      </c>
      <c r="K119" s="193"/>
    </row>
    <row r="120" spans="1:11" x14ac:dyDescent="0.3">
      <c r="A120" s="193">
        <f t="shared" si="1"/>
        <v>119</v>
      </c>
      <c r="B120" s="193" t="s">
        <v>2155</v>
      </c>
      <c r="C120" s="193" t="s">
        <v>2160</v>
      </c>
      <c r="D120" s="193">
        <v>2</v>
      </c>
      <c r="E120" s="193"/>
      <c r="F120" s="193"/>
      <c r="G120" s="193" t="s">
        <v>13</v>
      </c>
      <c r="H120" s="120" t="s">
        <v>688</v>
      </c>
      <c r="I120" s="199">
        <v>232120760180</v>
      </c>
      <c r="J120" s="193" t="s">
        <v>2017</v>
      </c>
      <c r="K120" s="193"/>
    </row>
    <row r="121" spans="1:11" x14ac:dyDescent="0.3">
      <c r="A121" s="193">
        <f t="shared" si="1"/>
        <v>120</v>
      </c>
      <c r="B121" s="193" t="s">
        <v>2155</v>
      </c>
      <c r="C121" s="193" t="s">
        <v>2161</v>
      </c>
      <c r="D121" s="193">
        <v>2.5</v>
      </c>
      <c r="E121" s="193"/>
      <c r="F121" s="193"/>
      <c r="G121" s="193" t="s">
        <v>13</v>
      </c>
      <c r="H121" s="120" t="s">
        <v>688</v>
      </c>
      <c r="I121" s="199">
        <v>232120761030</v>
      </c>
      <c r="J121" s="193" t="s">
        <v>2017</v>
      </c>
      <c r="K121" s="193"/>
    </row>
    <row r="122" spans="1:11" x14ac:dyDescent="0.3">
      <c r="A122" s="193">
        <f t="shared" si="1"/>
        <v>121</v>
      </c>
      <c r="B122" s="193" t="s">
        <v>2155</v>
      </c>
      <c r="C122" s="193" t="s">
        <v>2162</v>
      </c>
      <c r="D122" s="193">
        <v>2.5</v>
      </c>
      <c r="E122" s="193"/>
      <c r="F122" s="193"/>
      <c r="G122" s="193" t="s">
        <v>13</v>
      </c>
      <c r="H122" s="120" t="s">
        <v>688</v>
      </c>
      <c r="I122" s="199">
        <v>232120781030</v>
      </c>
      <c r="J122" s="193" t="s">
        <v>2017</v>
      </c>
      <c r="K122" s="193"/>
    </row>
    <row r="123" spans="1:11" x14ac:dyDescent="0.3">
      <c r="A123" s="193">
        <f t="shared" si="1"/>
        <v>122</v>
      </c>
      <c r="B123" s="193" t="s">
        <v>2163</v>
      </c>
      <c r="C123" s="193" t="s">
        <v>2164</v>
      </c>
      <c r="D123" s="193">
        <v>0.75</v>
      </c>
      <c r="E123" s="193"/>
      <c r="F123" s="193"/>
      <c r="G123" s="193" t="s">
        <v>13</v>
      </c>
      <c r="H123" s="120" t="s">
        <v>688</v>
      </c>
      <c r="I123" s="199">
        <v>232120260020</v>
      </c>
      <c r="J123" s="193" t="s">
        <v>2017</v>
      </c>
      <c r="K123" s="193"/>
    </row>
    <row r="124" spans="1:11" x14ac:dyDescent="0.3">
      <c r="A124" s="193">
        <f t="shared" si="1"/>
        <v>123</v>
      </c>
      <c r="B124" s="193" t="s">
        <v>2163</v>
      </c>
      <c r="C124" s="193" t="s">
        <v>2165</v>
      </c>
      <c r="D124" s="193">
        <v>1</v>
      </c>
      <c r="E124" s="193"/>
      <c r="F124" s="193"/>
      <c r="G124" s="193" t="s">
        <v>13</v>
      </c>
      <c r="H124" s="120" t="s">
        <v>688</v>
      </c>
      <c r="I124" s="199">
        <v>232120260040</v>
      </c>
      <c r="J124" s="193" t="s">
        <v>2017</v>
      </c>
      <c r="K124" s="193"/>
    </row>
    <row r="125" spans="1:11" x14ac:dyDescent="0.3">
      <c r="A125" s="193">
        <f t="shared" si="1"/>
        <v>124</v>
      </c>
      <c r="B125" s="193" t="s">
        <v>2163</v>
      </c>
      <c r="C125" s="193" t="s">
        <v>2166</v>
      </c>
      <c r="D125" s="193">
        <v>1.25</v>
      </c>
      <c r="E125" s="193"/>
      <c r="F125" s="193"/>
      <c r="G125" s="193" t="s">
        <v>13</v>
      </c>
      <c r="H125" s="120" t="s">
        <v>688</v>
      </c>
      <c r="I125" s="199">
        <v>232120260050</v>
      </c>
      <c r="J125" s="193" t="s">
        <v>2017</v>
      </c>
      <c r="K125" s="193"/>
    </row>
    <row r="126" spans="1:11" x14ac:dyDescent="0.3">
      <c r="A126" s="193">
        <f t="shared" si="1"/>
        <v>125</v>
      </c>
      <c r="B126" s="193" t="s">
        <v>2163</v>
      </c>
      <c r="C126" s="193" t="s">
        <v>2167</v>
      </c>
      <c r="D126" s="193">
        <v>1.5</v>
      </c>
      <c r="E126" s="193"/>
      <c r="F126" s="193"/>
      <c r="G126" s="193" t="s">
        <v>13</v>
      </c>
      <c r="H126" s="120" t="s">
        <v>688</v>
      </c>
      <c r="I126" s="199">
        <v>232120260060</v>
      </c>
      <c r="J126" s="193" t="s">
        <v>2017</v>
      </c>
      <c r="K126" s="193"/>
    </row>
    <row r="127" spans="1:11" x14ac:dyDescent="0.3">
      <c r="A127" s="193">
        <f t="shared" si="1"/>
        <v>126</v>
      </c>
      <c r="B127" s="193" t="s">
        <v>2163</v>
      </c>
      <c r="C127" s="193" t="s">
        <v>2168</v>
      </c>
      <c r="D127" s="193">
        <v>2</v>
      </c>
      <c r="E127" s="193"/>
      <c r="F127" s="193"/>
      <c r="G127" s="193" t="s">
        <v>13</v>
      </c>
      <c r="H127" s="120" t="s">
        <v>688</v>
      </c>
      <c r="I127" s="199">
        <v>232120260080</v>
      </c>
      <c r="J127" s="193" t="s">
        <v>2017</v>
      </c>
      <c r="K127" s="193"/>
    </row>
    <row r="128" spans="1:11" x14ac:dyDescent="0.3">
      <c r="A128" s="193">
        <f t="shared" si="1"/>
        <v>127</v>
      </c>
      <c r="B128" s="193" t="s">
        <v>2163</v>
      </c>
      <c r="C128" s="193" t="s">
        <v>2169</v>
      </c>
      <c r="D128" s="193">
        <v>2.5</v>
      </c>
      <c r="E128" s="193"/>
      <c r="F128" s="193"/>
      <c r="G128" s="193" t="s">
        <v>13</v>
      </c>
      <c r="H128" s="120" t="s">
        <v>688</v>
      </c>
      <c r="I128" s="199">
        <v>232120260100</v>
      </c>
      <c r="J128" s="193" t="s">
        <v>2017</v>
      </c>
      <c r="K128" s="193"/>
    </row>
    <row r="129" spans="1:11" x14ac:dyDescent="0.3">
      <c r="A129" s="193">
        <f t="shared" si="1"/>
        <v>128</v>
      </c>
      <c r="B129" s="193" t="s">
        <v>2170</v>
      </c>
      <c r="C129" s="193" t="s">
        <v>2171</v>
      </c>
      <c r="D129" s="193"/>
      <c r="E129" s="193"/>
      <c r="F129" s="193"/>
      <c r="G129" s="193" t="s">
        <v>13</v>
      </c>
      <c r="H129" s="120" t="s">
        <v>688</v>
      </c>
      <c r="I129" s="199">
        <v>232120101090</v>
      </c>
      <c r="J129" s="193" t="s">
        <v>2017</v>
      </c>
      <c r="K129" s="193"/>
    </row>
    <row r="130" spans="1:11" x14ac:dyDescent="0.3">
      <c r="A130" s="193">
        <f t="shared" si="1"/>
        <v>129</v>
      </c>
      <c r="B130" s="193" t="s">
        <v>2172</v>
      </c>
      <c r="C130" s="193" t="s">
        <v>2173</v>
      </c>
      <c r="D130" s="193"/>
      <c r="E130" s="193"/>
      <c r="F130" s="193"/>
      <c r="G130" s="193" t="s">
        <v>13</v>
      </c>
      <c r="H130" s="120" t="s">
        <v>688</v>
      </c>
      <c r="I130" s="199">
        <v>232120420190</v>
      </c>
      <c r="J130" s="193" t="s">
        <v>2017</v>
      </c>
      <c r="K130" s="193"/>
    </row>
    <row r="131" spans="1:11" x14ac:dyDescent="0.3">
      <c r="A131" s="193">
        <f t="shared" si="1"/>
        <v>130</v>
      </c>
      <c r="B131" s="193" t="s">
        <v>2172</v>
      </c>
      <c r="C131" s="193" t="s">
        <v>2174</v>
      </c>
      <c r="D131" s="193">
        <v>15</v>
      </c>
      <c r="E131" s="193"/>
      <c r="F131" s="193"/>
      <c r="G131" s="193" t="s">
        <v>13</v>
      </c>
      <c r="H131" s="120" t="s">
        <v>688</v>
      </c>
      <c r="I131" s="199">
        <v>232120462000</v>
      </c>
      <c r="J131" s="193" t="s">
        <v>2017</v>
      </c>
      <c r="K131" s="193"/>
    </row>
    <row r="132" spans="1:11" x14ac:dyDescent="0.3">
      <c r="A132" s="193">
        <f t="shared" ref="A132:A195" si="2">A131+1</f>
        <v>131</v>
      </c>
      <c r="B132" s="193" t="s">
        <v>2172</v>
      </c>
      <c r="C132" s="193" t="s">
        <v>2175</v>
      </c>
      <c r="D132" s="193">
        <v>24</v>
      </c>
      <c r="E132" s="193"/>
      <c r="F132" s="193"/>
      <c r="G132" s="193" t="s">
        <v>13</v>
      </c>
      <c r="H132" s="120" t="s">
        <v>688</v>
      </c>
      <c r="I132" s="199">
        <v>232120462020</v>
      </c>
      <c r="J132" s="193" t="s">
        <v>2017</v>
      </c>
      <c r="K132" s="193"/>
    </row>
    <row r="133" spans="1:11" x14ac:dyDescent="0.3">
      <c r="A133" s="193">
        <f t="shared" si="2"/>
        <v>132</v>
      </c>
      <c r="B133" s="193" t="s">
        <v>2172</v>
      </c>
      <c r="C133" s="193" t="s">
        <v>2176</v>
      </c>
      <c r="D133" s="193">
        <v>60</v>
      </c>
      <c r="E133" s="193"/>
      <c r="F133" s="193"/>
      <c r="G133" s="193" t="s">
        <v>13</v>
      </c>
      <c r="H133" s="120" t="s">
        <v>688</v>
      </c>
      <c r="I133" s="199">
        <v>232120462080</v>
      </c>
      <c r="J133" s="193" t="s">
        <v>2017</v>
      </c>
      <c r="K133" s="193"/>
    </row>
    <row r="134" spans="1:11" x14ac:dyDescent="0.3">
      <c r="A134" s="193">
        <f t="shared" si="2"/>
        <v>133</v>
      </c>
      <c r="B134" s="193" t="s">
        <v>2172</v>
      </c>
      <c r="C134" s="193" t="s">
        <v>2177</v>
      </c>
      <c r="D134" s="193"/>
      <c r="E134" s="193"/>
      <c r="F134" s="193"/>
      <c r="G134" s="193" t="s">
        <v>13</v>
      </c>
      <c r="H134" s="120" t="s">
        <v>688</v>
      </c>
      <c r="I134" s="199">
        <v>232120463040</v>
      </c>
      <c r="J134" s="193" t="s">
        <v>2017</v>
      </c>
      <c r="K134" s="193"/>
    </row>
    <row r="135" spans="1:11" x14ac:dyDescent="0.3">
      <c r="A135" s="193">
        <f t="shared" si="2"/>
        <v>134</v>
      </c>
      <c r="B135" s="193" t="s">
        <v>2178</v>
      </c>
      <c r="C135" s="193" t="s">
        <v>2179</v>
      </c>
      <c r="D135" s="193"/>
      <c r="E135" s="193"/>
      <c r="F135" s="193"/>
      <c r="G135" s="193" t="s">
        <v>13</v>
      </c>
      <c r="H135" s="120" t="s">
        <v>688</v>
      </c>
      <c r="I135" s="199">
        <v>230593102800</v>
      </c>
      <c r="J135" s="193" t="s">
        <v>2017</v>
      </c>
      <c r="K135" s="193"/>
    </row>
    <row r="136" spans="1:11" x14ac:dyDescent="0.3">
      <c r="A136" s="193">
        <f t="shared" si="2"/>
        <v>135</v>
      </c>
      <c r="B136" s="193" t="s">
        <v>2178</v>
      </c>
      <c r="C136" s="193" t="s">
        <v>2180</v>
      </c>
      <c r="D136" s="193"/>
      <c r="E136" s="193"/>
      <c r="F136" s="193"/>
      <c r="G136" s="193" t="s">
        <v>13</v>
      </c>
      <c r="H136" s="120" t="s">
        <v>688</v>
      </c>
      <c r="I136" s="199">
        <v>230593103100</v>
      </c>
      <c r="J136" s="193" t="s">
        <v>2017</v>
      </c>
      <c r="K136" s="193"/>
    </row>
    <row r="137" spans="1:11" x14ac:dyDescent="0.3">
      <c r="A137" s="193">
        <f t="shared" si="2"/>
        <v>136</v>
      </c>
      <c r="B137" s="193" t="s">
        <v>2178</v>
      </c>
      <c r="C137" s="193" t="s">
        <v>2181</v>
      </c>
      <c r="D137" s="193"/>
      <c r="E137" s="193"/>
      <c r="F137" s="193"/>
      <c r="G137" s="193" t="s">
        <v>13</v>
      </c>
      <c r="H137" s="120" t="s">
        <v>688</v>
      </c>
      <c r="I137" s="199">
        <v>230593104600</v>
      </c>
      <c r="J137" s="193" t="s">
        <v>2017</v>
      </c>
      <c r="K137" s="193"/>
    </row>
    <row r="138" spans="1:11" x14ac:dyDescent="0.3">
      <c r="A138" s="193">
        <f t="shared" si="2"/>
        <v>137</v>
      </c>
      <c r="B138" s="193" t="s">
        <v>2178</v>
      </c>
      <c r="C138" s="193" t="s">
        <v>2182</v>
      </c>
      <c r="D138" s="193"/>
      <c r="E138" s="193"/>
      <c r="F138" s="193"/>
      <c r="G138" s="193" t="s">
        <v>13</v>
      </c>
      <c r="H138" s="120" t="s">
        <v>688</v>
      </c>
      <c r="I138" s="199">
        <v>230593200500</v>
      </c>
      <c r="J138" s="193" t="s">
        <v>2017</v>
      </c>
      <c r="K138" s="193"/>
    </row>
    <row r="139" spans="1:11" x14ac:dyDescent="0.3">
      <c r="A139" s="193">
        <f t="shared" si="2"/>
        <v>138</v>
      </c>
      <c r="B139" s="193" t="s">
        <v>2178</v>
      </c>
      <c r="C139" s="193" t="s">
        <v>2183</v>
      </c>
      <c r="D139" s="193"/>
      <c r="E139" s="193"/>
      <c r="F139" s="193"/>
      <c r="G139" s="193" t="s">
        <v>13</v>
      </c>
      <c r="H139" s="120" t="s">
        <v>688</v>
      </c>
      <c r="I139" s="199">
        <v>230593200600</v>
      </c>
      <c r="J139" s="193" t="s">
        <v>2017</v>
      </c>
      <c r="K139" s="193"/>
    </row>
    <row r="140" spans="1:11" x14ac:dyDescent="0.3">
      <c r="A140" s="193">
        <f t="shared" si="2"/>
        <v>139</v>
      </c>
      <c r="B140" s="193" t="s">
        <v>2178</v>
      </c>
      <c r="C140" s="193" t="s">
        <v>2184</v>
      </c>
      <c r="D140" s="193"/>
      <c r="E140" s="193"/>
      <c r="F140" s="193"/>
      <c r="G140" s="193" t="s">
        <v>13</v>
      </c>
      <c r="H140" s="120" t="s">
        <v>688</v>
      </c>
      <c r="I140" s="199">
        <v>230593200800</v>
      </c>
      <c r="J140" s="193" t="s">
        <v>2017</v>
      </c>
      <c r="K140" s="193"/>
    </row>
    <row r="141" spans="1:11" x14ac:dyDescent="0.3">
      <c r="A141" s="193">
        <f t="shared" si="2"/>
        <v>140</v>
      </c>
      <c r="B141" s="193" t="s">
        <v>2178</v>
      </c>
      <c r="C141" s="193" t="s">
        <v>2185</v>
      </c>
      <c r="D141" s="193"/>
      <c r="E141" s="193"/>
      <c r="F141" s="193"/>
      <c r="G141" s="193" t="s">
        <v>13</v>
      </c>
      <c r="H141" s="120" t="s">
        <v>688</v>
      </c>
      <c r="I141" s="199">
        <v>230593201000</v>
      </c>
      <c r="J141" s="193" t="s">
        <v>2017</v>
      </c>
      <c r="K141" s="193"/>
    </row>
    <row r="142" spans="1:11" x14ac:dyDescent="0.3">
      <c r="A142" s="193">
        <f t="shared" si="2"/>
        <v>141</v>
      </c>
      <c r="B142" s="193" t="s">
        <v>2178</v>
      </c>
      <c r="C142" s="193" t="s">
        <v>2186</v>
      </c>
      <c r="D142" s="193"/>
      <c r="E142" s="193"/>
      <c r="F142" s="193"/>
      <c r="G142" s="193" t="s">
        <v>13</v>
      </c>
      <c r="H142" s="120" t="s">
        <v>688</v>
      </c>
      <c r="I142" s="199">
        <v>230593201100</v>
      </c>
      <c r="J142" s="193" t="s">
        <v>2017</v>
      </c>
      <c r="K142" s="193"/>
    </row>
    <row r="143" spans="1:11" x14ac:dyDescent="0.3">
      <c r="A143" s="193">
        <f t="shared" si="2"/>
        <v>142</v>
      </c>
      <c r="B143" s="193" t="s">
        <v>2187</v>
      </c>
      <c r="C143" s="193" t="s">
        <v>2188</v>
      </c>
      <c r="D143" s="193"/>
      <c r="E143" s="193"/>
      <c r="F143" s="193"/>
      <c r="G143" s="193" t="s">
        <v>13</v>
      </c>
      <c r="H143" s="120" t="s">
        <v>688</v>
      </c>
      <c r="I143" s="199">
        <v>230923100174</v>
      </c>
      <c r="J143" s="193" t="s">
        <v>2017</v>
      </c>
      <c r="K143" s="193"/>
    </row>
    <row r="144" spans="1:11" x14ac:dyDescent="0.3">
      <c r="A144" s="193">
        <f t="shared" si="2"/>
        <v>143</v>
      </c>
      <c r="B144" s="193" t="s">
        <v>2187</v>
      </c>
      <c r="C144" s="193" t="s">
        <v>2189</v>
      </c>
      <c r="D144" s="193"/>
      <c r="E144" s="193"/>
      <c r="F144" s="193"/>
      <c r="G144" s="193" t="s">
        <v>13</v>
      </c>
      <c r="H144" s="120" t="s">
        <v>688</v>
      </c>
      <c r="I144" s="199">
        <v>230943100620</v>
      </c>
      <c r="J144" s="193" t="s">
        <v>2017</v>
      </c>
      <c r="K144" s="193"/>
    </row>
    <row r="145" spans="1:11" x14ac:dyDescent="0.3">
      <c r="A145" s="193">
        <f t="shared" si="2"/>
        <v>144</v>
      </c>
      <c r="B145" s="193" t="s">
        <v>2187</v>
      </c>
      <c r="C145" s="193" t="s">
        <v>2190</v>
      </c>
      <c r="D145" s="193"/>
      <c r="E145" s="193"/>
      <c r="F145" s="193"/>
      <c r="G145" s="193" t="s">
        <v>13</v>
      </c>
      <c r="H145" s="120" t="s">
        <v>688</v>
      </c>
      <c r="I145" s="199">
        <v>230943103500</v>
      </c>
      <c r="J145" s="193" t="s">
        <v>2017</v>
      </c>
      <c r="K145" s="193"/>
    </row>
    <row r="146" spans="1:11" x14ac:dyDescent="0.3">
      <c r="A146" s="193">
        <f t="shared" si="2"/>
        <v>145</v>
      </c>
      <c r="B146" s="193" t="s">
        <v>2187</v>
      </c>
      <c r="C146" s="193" t="s">
        <v>2191</v>
      </c>
      <c r="D146" s="193"/>
      <c r="E146" s="193"/>
      <c r="F146" s="193"/>
      <c r="G146" s="193" t="s">
        <v>13</v>
      </c>
      <c r="H146" s="120" t="s">
        <v>688</v>
      </c>
      <c r="I146" s="199">
        <v>230953102300</v>
      </c>
      <c r="J146" s="193" t="s">
        <v>2017</v>
      </c>
      <c r="K146" s="193"/>
    </row>
    <row r="147" spans="1:11" x14ac:dyDescent="0.3">
      <c r="A147" s="193">
        <f t="shared" si="2"/>
        <v>146</v>
      </c>
      <c r="B147" s="193" t="s">
        <v>2187</v>
      </c>
      <c r="C147" s="193" t="s">
        <v>2192</v>
      </c>
      <c r="D147" s="193"/>
      <c r="E147" s="193"/>
      <c r="F147" s="193"/>
      <c r="G147" s="193" t="s">
        <v>13</v>
      </c>
      <c r="H147" s="120" t="s">
        <v>688</v>
      </c>
      <c r="I147" s="199">
        <v>230953104640</v>
      </c>
      <c r="J147" s="193" t="s">
        <v>2017</v>
      </c>
      <c r="K147" s="193"/>
    </row>
    <row r="148" spans="1:11" x14ac:dyDescent="0.3">
      <c r="A148" s="193">
        <f t="shared" si="2"/>
        <v>147</v>
      </c>
      <c r="B148" s="193" t="s">
        <v>2187</v>
      </c>
      <c r="C148" s="193" t="s">
        <v>2193</v>
      </c>
      <c r="D148" s="193"/>
      <c r="E148" s="193"/>
      <c r="F148" s="193"/>
      <c r="G148" s="193" t="s">
        <v>13</v>
      </c>
      <c r="H148" s="120" t="s">
        <v>688</v>
      </c>
      <c r="I148" s="199">
        <v>230953105040</v>
      </c>
      <c r="J148" s="193" t="s">
        <v>2017</v>
      </c>
      <c r="K148" s="193"/>
    </row>
    <row r="149" spans="1:11" x14ac:dyDescent="0.3">
      <c r="A149" s="193">
        <f t="shared" si="2"/>
        <v>148</v>
      </c>
      <c r="B149" s="193" t="s">
        <v>2187</v>
      </c>
      <c r="C149" s="193" t="s">
        <v>2194</v>
      </c>
      <c r="D149" s="193"/>
      <c r="E149" s="193"/>
      <c r="F149" s="193"/>
      <c r="G149" s="193" t="s">
        <v>13</v>
      </c>
      <c r="H149" s="120" t="s">
        <v>688</v>
      </c>
      <c r="I149" s="199">
        <v>230953107220</v>
      </c>
      <c r="J149" s="193" t="s">
        <v>2017</v>
      </c>
      <c r="K149" s="193"/>
    </row>
    <row r="150" spans="1:11" x14ac:dyDescent="0.3">
      <c r="A150" s="193">
        <f t="shared" si="2"/>
        <v>149</v>
      </c>
      <c r="B150" s="193" t="s">
        <v>2187</v>
      </c>
      <c r="C150" s="193" t="s">
        <v>2195</v>
      </c>
      <c r="D150" s="193"/>
      <c r="E150" s="193"/>
      <c r="F150" s="193"/>
      <c r="G150" s="193" t="s">
        <v>13</v>
      </c>
      <c r="H150" s="120" t="s">
        <v>688</v>
      </c>
      <c r="I150" s="199">
        <v>230953107230</v>
      </c>
      <c r="J150" s="193" t="s">
        <v>2017</v>
      </c>
      <c r="K150" s="193"/>
    </row>
    <row r="151" spans="1:11" x14ac:dyDescent="0.3">
      <c r="A151" s="193">
        <f t="shared" si="2"/>
        <v>150</v>
      </c>
      <c r="B151" s="193" t="s">
        <v>2187</v>
      </c>
      <c r="C151" s="193" t="s">
        <v>2196</v>
      </c>
      <c r="D151" s="193"/>
      <c r="E151" s="193"/>
      <c r="F151" s="193"/>
      <c r="G151" s="193" t="s">
        <v>13</v>
      </c>
      <c r="H151" s="120" t="s">
        <v>688</v>
      </c>
      <c r="I151" s="199">
        <v>230953107250</v>
      </c>
      <c r="J151" s="193" t="s">
        <v>2017</v>
      </c>
      <c r="K151" s="193"/>
    </row>
    <row r="152" spans="1:11" x14ac:dyDescent="0.3">
      <c r="A152" s="193">
        <f t="shared" si="2"/>
        <v>151</v>
      </c>
      <c r="B152" s="193" t="s">
        <v>2187</v>
      </c>
      <c r="C152" s="193" t="s">
        <v>2197</v>
      </c>
      <c r="D152" s="193"/>
      <c r="E152" s="193"/>
      <c r="F152" s="193"/>
      <c r="G152" s="193" t="s">
        <v>13</v>
      </c>
      <c r="H152" s="120" t="s">
        <v>688</v>
      </c>
      <c r="I152" s="199">
        <v>230953107390</v>
      </c>
      <c r="J152" s="193" t="s">
        <v>2017</v>
      </c>
      <c r="K152" s="193"/>
    </row>
    <row r="153" spans="1:11" x14ac:dyDescent="0.3">
      <c r="A153" s="193">
        <f t="shared" si="2"/>
        <v>152</v>
      </c>
      <c r="B153" s="193" t="s">
        <v>2187</v>
      </c>
      <c r="C153" s="193" t="s">
        <v>2198</v>
      </c>
      <c r="D153" s="193"/>
      <c r="E153" s="193"/>
      <c r="F153" s="193"/>
      <c r="G153" s="193" t="s">
        <v>13</v>
      </c>
      <c r="H153" s="120" t="s">
        <v>688</v>
      </c>
      <c r="I153" s="199">
        <v>230953107860</v>
      </c>
      <c r="J153" s="193" t="s">
        <v>2017</v>
      </c>
      <c r="K153" s="193"/>
    </row>
    <row r="154" spans="1:11" x14ac:dyDescent="0.3">
      <c r="A154" s="193">
        <f t="shared" si="2"/>
        <v>153</v>
      </c>
      <c r="B154" s="193" t="s">
        <v>2199</v>
      </c>
      <c r="C154" s="193" t="s">
        <v>2200</v>
      </c>
      <c r="D154" s="193">
        <v>1.5</v>
      </c>
      <c r="E154" s="193"/>
      <c r="F154" s="193"/>
      <c r="G154" s="193" t="s">
        <v>13</v>
      </c>
      <c r="H154" s="120" t="s">
        <v>688</v>
      </c>
      <c r="I154" s="199">
        <v>230713103060</v>
      </c>
      <c r="J154" s="193" t="s">
        <v>9</v>
      </c>
      <c r="K154" s="193"/>
    </row>
    <row r="155" spans="1:11" x14ac:dyDescent="0.3">
      <c r="A155" s="193">
        <f t="shared" si="2"/>
        <v>154</v>
      </c>
      <c r="B155" s="193" t="s">
        <v>2201</v>
      </c>
      <c r="C155" s="193" t="s">
        <v>2202</v>
      </c>
      <c r="D155" s="193">
        <v>1.5</v>
      </c>
      <c r="E155" s="193"/>
      <c r="F155" s="193"/>
      <c r="G155" s="193" t="s">
        <v>13</v>
      </c>
      <c r="H155" s="120" t="s">
        <v>688</v>
      </c>
      <c r="I155" s="199">
        <v>230713103170</v>
      </c>
      <c r="J155" s="193" t="s">
        <v>9</v>
      </c>
      <c r="K155" s="193"/>
    </row>
    <row r="156" spans="1:11" x14ac:dyDescent="0.3">
      <c r="A156" s="193"/>
      <c r="B156" s="193" t="s">
        <v>2201</v>
      </c>
      <c r="C156" s="193" t="s">
        <v>2203</v>
      </c>
      <c r="D156" s="193">
        <v>2</v>
      </c>
      <c r="E156" s="193"/>
      <c r="F156" s="193"/>
      <c r="G156" s="193" t="s">
        <v>13</v>
      </c>
      <c r="H156" s="120" t="s">
        <v>688</v>
      </c>
      <c r="I156" s="199">
        <v>230713103180</v>
      </c>
      <c r="J156" s="193" t="s">
        <v>9</v>
      </c>
      <c r="K156" s="193"/>
    </row>
    <row r="157" spans="1:11" x14ac:dyDescent="0.3">
      <c r="A157" s="193"/>
      <c r="B157" s="193" t="s">
        <v>2201</v>
      </c>
      <c r="C157" s="193" t="s">
        <v>2204</v>
      </c>
      <c r="D157" s="193">
        <v>3</v>
      </c>
      <c r="E157" s="193"/>
      <c r="F157" s="193"/>
      <c r="G157" s="193" t="s">
        <v>13</v>
      </c>
      <c r="H157" s="120" t="s">
        <v>688</v>
      </c>
      <c r="I157" s="199">
        <v>230713103190</v>
      </c>
      <c r="J157" s="193" t="s">
        <v>9</v>
      </c>
      <c r="K157" s="193"/>
    </row>
    <row r="158" spans="1:11" x14ac:dyDescent="0.3">
      <c r="A158" s="193"/>
      <c r="B158" s="193" t="s">
        <v>2201</v>
      </c>
      <c r="C158" s="193" t="s">
        <v>2205</v>
      </c>
      <c r="D158" s="193">
        <v>4</v>
      </c>
      <c r="E158" s="193"/>
      <c r="F158" s="193"/>
      <c r="G158" s="193" t="s">
        <v>13</v>
      </c>
      <c r="H158" s="120" t="s">
        <v>688</v>
      </c>
      <c r="I158" s="199">
        <v>230713103200</v>
      </c>
      <c r="J158" s="193" t="s">
        <v>9</v>
      </c>
      <c r="K158" s="193"/>
    </row>
    <row r="159" spans="1:11" x14ac:dyDescent="0.3">
      <c r="A159" s="193">
        <f>A155+1</f>
        <v>155</v>
      </c>
      <c r="B159" s="193" t="s">
        <v>2206</v>
      </c>
      <c r="C159" s="193" t="s">
        <v>2207</v>
      </c>
      <c r="D159" s="193">
        <v>199</v>
      </c>
      <c r="E159" s="193"/>
      <c r="F159" s="193"/>
      <c r="G159" s="193" t="s">
        <v>13</v>
      </c>
      <c r="H159" s="120" t="s">
        <v>688</v>
      </c>
      <c r="I159" s="199">
        <v>233113130500</v>
      </c>
      <c r="J159" s="193" t="s">
        <v>83</v>
      </c>
      <c r="K159" s="193"/>
    </row>
    <row r="160" spans="1:11" x14ac:dyDescent="0.3">
      <c r="A160" s="193">
        <f t="shared" si="2"/>
        <v>156</v>
      </c>
      <c r="B160" s="193" t="s">
        <v>2206</v>
      </c>
      <c r="C160" s="193" t="s">
        <v>2208</v>
      </c>
      <c r="D160" s="193">
        <v>200</v>
      </c>
      <c r="E160" s="193"/>
      <c r="F160" s="193"/>
      <c r="G160" s="193" t="s">
        <v>13</v>
      </c>
      <c r="H160" s="120" t="s">
        <v>688</v>
      </c>
      <c r="I160" s="199">
        <v>233113130520</v>
      </c>
      <c r="J160" s="193" t="s">
        <v>83</v>
      </c>
      <c r="K160" s="193"/>
    </row>
    <row r="161" spans="1:11" x14ac:dyDescent="0.3">
      <c r="A161" s="193"/>
      <c r="B161" s="193" t="s">
        <v>2209</v>
      </c>
      <c r="C161" s="193" t="s">
        <v>2210</v>
      </c>
      <c r="D161" s="193">
        <v>8</v>
      </c>
      <c r="E161" s="193"/>
      <c r="F161" s="193"/>
      <c r="G161" s="193" t="s">
        <v>13</v>
      </c>
      <c r="H161" s="120" t="s">
        <v>688</v>
      </c>
      <c r="I161" s="199">
        <v>233113165430</v>
      </c>
      <c r="J161" s="193" t="s">
        <v>2015</v>
      </c>
      <c r="K161" s="193"/>
    </row>
    <row r="162" spans="1:11" x14ac:dyDescent="0.3">
      <c r="A162" s="193"/>
      <c r="B162" s="193" t="s">
        <v>2209</v>
      </c>
      <c r="C162" s="193" t="s">
        <v>2211</v>
      </c>
      <c r="D162" s="193">
        <v>10</v>
      </c>
      <c r="E162" s="193"/>
      <c r="F162" s="193"/>
      <c r="G162" s="193" t="s">
        <v>13</v>
      </c>
      <c r="H162" s="120" t="s">
        <v>688</v>
      </c>
      <c r="I162" s="199">
        <v>233113165440</v>
      </c>
      <c r="J162" s="193" t="s">
        <v>2015</v>
      </c>
      <c r="K162" s="193"/>
    </row>
    <row r="163" spans="1:11" x14ac:dyDescent="0.3">
      <c r="A163" s="193"/>
      <c r="B163" s="193" t="s">
        <v>2209</v>
      </c>
      <c r="C163" s="193" t="s">
        <v>2212</v>
      </c>
      <c r="D163" s="193">
        <v>12</v>
      </c>
      <c r="E163" s="193"/>
      <c r="F163" s="193"/>
      <c r="G163" s="193" t="s">
        <v>13</v>
      </c>
      <c r="H163" s="120" t="s">
        <v>688</v>
      </c>
      <c r="I163" s="199">
        <v>233113165450</v>
      </c>
      <c r="J163" s="193" t="s">
        <v>2015</v>
      </c>
      <c r="K163" s="193"/>
    </row>
    <row r="164" spans="1:11" x14ac:dyDescent="0.3">
      <c r="A164" s="193"/>
      <c r="B164" s="193" t="s">
        <v>2209</v>
      </c>
      <c r="C164" s="193" t="s">
        <v>2213</v>
      </c>
      <c r="D164" s="193">
        <v>14</v>
      </c>
      <c r="E164" s="193"/>
      <c r="F164" s="193"/>
      <c r="G164" s="193" t="s">
        <v>13</v>
      </c>
      <c r="H164" s="120" t="s">
        <v>688</v>
      </c>
      <c r="I164" s="199">
        <v>233113165460</v>
      </c>
      <c r="J164" s="193" t="s">
        <v>2015</v>
      </c>
      <c r="K164" s="193"/>
    </row>
    <row r="165" spans="1:11" x14ac:dyDescent="0.3">
      <c r="A165" s="193"/>
      <c r="B165" s="193" t="s">
        <v>2209</v>
      </c>
      <c r="C165" s="193" t="s">
        <v>2214</v>
      </c>
      <c r="D165" s="193">
        <v>16</v>
      </c>
      <c r="E165" s="193"/>
      <c r="F165" s="193"/>
      <c r="G165" s="193" t="s">
        <v>13</v>
      </c>
      <c r="H165" s="120" t="s">
        <v>688</v>
      </c>
      <c r="I165" s="199">
        <v>233113165480</v>
      </c>
      <c r="J165" s="193" t="s">
        <v>2015</v>
      </c>
      <c r="K165" s="193"/>
    </row>
    <row r="166" spans="1:11" x14ac:dyDescent="0.3">
      <c r="A166" s="193"/>
      <c r="B166" s="193" t="s">
        <v>2209</v>
      </c>
      <c r="C166" s="193" t="s">
        <v>2215</v>
      </c>
      <c r="D166" s="193">
        <v>18</v>
      </c>
      <c r="E166" s="193"/>
      <c r="F166" s="193"/>
      <c r="G166" s="193" t="s">
        <v>13</v>
      </c>
      <c r="H166" s="120" t="s">
        <v>688</v>
      </c>
      <c r="I166" s="199">
        <v>233113165490</v>
      </c>
      <c r="J166" s="193" t="s">
        <v>2015</v>
      </c>
      <c r="K166" s="193"/>
    </row>
    <row r="167" spans="1:11" x14ac:dyDescent="0.3">
      <c r="A167" s="193"/>
      <c r="B167" s="193" t="s">
        <v>2209</v>
      </c>
      <c r="C167" s="193" t="s">
        <v>2216</v>
      </c>
      <c r="D167" s="193">
        <v>20</v>
      </c>
      <c r="E167" s="193"/>
      <c r="F167" s="193"/>
      <c r="G167" s="193" t="s">
        <v>13</v>
      </c>
      <c r="H167" s="120" t="s">
        <v>688</v>
      </c>
      <c r="I167" s="199">
        <v>233113165500</v>
      </c>
      <c r="J167" s="193" t="s">
        <v>2015</v>
      </c>
      <c r="K167" s="193"/>
    </row>
    <row r="168" spans="1:11" x14ac:dyDescent="0.3">
      <c r="A168" s="193"/>
      <c r="B168" s="193" t="s">
        <v>2209</v>
      </c>
      <c r="C168" s="193" t="s">
        <v>2217</v>
      </c>
      <c r="D168" s="193">
        <v>22</v>
      </c>
      <c r="E168" s="193"/>
      <c r="F168" s="193"/>
      <c r="G168" s="193" t="s">
        <v>13</v>
      </c>
      <c r="H168" s="120" t="s">
        <v>688</v>
      </c>
      <c r="I168" s="199">
        <v>233113165510</v>
      </c>
      <c r="J168" s="193" t="s">
        <v>2015</v>
      </c>
      <c r="K168" s="193"/>
    </row>
    <row r="169" spans="1:11" x14ac:dyDescent="0.3">
      <c r="A169" s="193"/>
      <c r="B169" s="193" t="s">
        <v>2209</v>
      </c>
      <c r="C169" s="193" t="s">
        <v>2218</v>
      </c>
      <c r="D169" s="193">
        <v>24</v>
      </c>
      <c r="E169" s="193"/>
      <c r="F169" s="193"/>
      <c r="G169" s="193" t="s">
        <v>13</v>
      </c>
      <c r="H169" s="120" t="s">
        <v>688</v>
      </c>
      <c r="I169" s="199">
        <v>233113165520</v>
      </c>
      <c r="J169" s="193" t="s">
        <v>2015</v>
      </c>
      <c r="K169" s="193"/>
    </row>
    <row r="170" spans="1:11" x14ac:dyDescent="0.3">
      <c r="A170" s="193"/>
      <c r="B170" s="193" t="s">
        <v>2209</v>
      </c>
      <c r="C170" s="193" t="s">
        <v>2219</v>
      </c>
      <c r="D170" s="193">
        <v>30</v>
      </c>
      <c r="E170" s="193"/>
      <c r="F170" s="193"/>
      <c r="G170" s="193" t="s">
        <v>13</v>
      </c>
      <c r="H170" s="120" t="s">
        <v>688</v>
      </c>
      <c r="I170" s="199">
        <v>233113165540</v>
      </c>
      <c r="J170" s="193" t="s">
        <v>2015</v>
      </c>
      <c r="K170" s="193"/>
    </row>
    <row r="171" spans="1:11" x14ac:dyDescent="0.3">
      <c r="A171" s="193"/>
      <c r="B171" s="193" t="s">
        <v>2209</v>
      </c>
      <c r="C171" s="193" t="s">
        <v>2220</v>
      </c>
      <c r="D171" s="193">
        <v>36</v>
      </c>
      <c r="E171" s="193"/>
      <c r="F171" s="193"/>
      <c r="G171" s="193" t="s">
        <v>13</v>
      </c>
      <c r="H171" s="120" t="s">
        <v>688</v>
      </c>
      <c r="I171" s="199">
        <v>233113165600</v>
      </c>
      <c r="J171" s="193" t="s">
        <v>2015</v>
      </c>
      <c r="K171" s="193"/>
    </row>
    <row r="172" spans="1:11" x14ac:dyDescent="0.3">
      <c r="A172" s="193"/>
      <c r="B172" s="193" t="s">
        <v>2221</v>
      </c>
      <c r="C172" s="193" t="s">
        <v>2222</v>
      </c>
      <c r="D172" s="193">
        <v>8</v>
      </c>
      <c r="E172" s="193"/>
      <c r="F172" s="193"/>
      <c r="G172" s="193" t="s">
        <v>13</v>
      </c>
      <c r="H172" s="120" t="s">
        <v>688</v>
      </c>
      <c r="I172" s="199">
        <v>233113190360</v>
      </c>
      <c r="J172" s="193" t="s">
        <v>2017</v>
      </c>
      <c r="K172" s="193"/>
    </row>
    <row r="173" spans="1:11" x14ac:dyDescent="0.3">
      <c r="A173" s="193">
        <f>A160+1</f>
        <v>157</v>
      </c>
      <c r="B173" s="193" t="s">
        <v>2223</v>
      </c>
      <c r="C173" s="193" t="s">
        <v>2224</v>
      </c>
      <c r="D173" s="193">
        <v>4</v>
      </c>
      <c r="E173" s="193"/>
      <c r="F173" s="193"/>
      <c r="G173" s="193" t="s">
        <v>13</v>
      </c>
      <c r="H173" s="120" t="s">
        <v>688</v>
      </c>
      <c r="I173" s="199">
        <v>233116163554</v>
      </c>
      <c r="J173" s="193" t="s">
        <v>2015</v>
      </c>
      <c r="K173" s="193"/>
    </row>
    <row r="174" spans="1:11" x14ac:dyDescent="0.3">
      <c r="A174" s="193">
        <f t="shared" si="2"/>
        <v>158</v>
      </c>
      <c r="B174" s="193" t="s">
        <v>2223</v>
      </c>
      <c r="C174" s="193" t="s">
        <v>2225</v>
      </c>
      <c r="D174" s="193">
        <v>6</v>
      </c>
      <c r="E174" s="193"/>
      <c r="F174" s="193"/>
      <c r="G174" s="193" t="s">
        <v>13</v>
      </c>
      <c r="H174" s="120" t="s">
        <v>688</v>
      </c>
      <c r="I174" s="199">
        <v>233116163555</v>
      </c>
      <c r="J174" s="193" t="s">
        <v>2015</v>
      </c>
      <c r="K174" s="193"/>
    </row>
    <row r="175" spans="1:11" x14ac:dyDescent="0.3">
      <c r="A175" s="193">
        <f t="shared" si="2"/>
        <v>159</v>
      </c>
      <c r="B175" s="193" t="s">
        <v>2223</v>
      </c>
      <c r="C175" s="193" t="s">
        <v>2226</v>
      </c>
      <c r="D175" s="193">
        <v>10</v>
      </c>
      <c r="E175" s="193"/>
      <c r="F175" s="193"/>
      <c r="G175" s="193" t="s">
        <v>13</v>
      </c>
      <c r="H175" s="120" t="s">
        <v>688</v>
      </c>
      <c r="I175" s="199">
        <v>233116163557</v>
      </c>
      <c r="J175" s="193" t="s">
        <v>2015</v>
      </c>
      <c r="K175" s="193"/>
    </row>
    <row r="176" spans="1:11" x14ac:dyDescent="0.3">
      <c r="A176" s="193">
        <f t="shared" si="2"/>
        <v>160</v>
      </c>
      <c r="B176" s="193" t="s">
        <v>2223</v>
      </c>
      <c r="C176" s="193" t="s">
        <v>2227</v>
      </c>
      <c r="D176" s="193">
        <v>12</v>
      </c>
      <c r="E176" s="193"/>
      <c r="F176" s="193"/>
      <c r="G176" s="193" t="s">
        <v>13</v>
      </c>
      <c r="H176" s="120" t="s">
        <v>688</v>
      </c>
      <c r="I176" s="199">
        <v>233116163558</v>
      </c>
      <c r="J176" s="193" t="s">
        <v>2015</v>
      </c>
      <c r="K176" s="193"/>
    </row>
    <row r="177" spans="1:11" x14ac:dyDescent="0.3">
      <c r="A177" s="193">
        <f t="shared" si="2"/>
        <v>161</v>
      </c>
      <c r="B177" s="193" t="s">
        <v>2228</v>
      </c>
      <c r="C177" s="193" t="s">
        <v>2229</v>
      </c>
      <c r="D177" s="193">
        <v>4</v>
      </c>
      <c r="E177" s="193"/>
      <c r="F177" s="193"/>
      <c r="G177" s="193" t="s">
        <v>13</v>
      </c>
      <c r="H177" s="120" t="s">
        <v>688</v>
      </c>
      <c r="I177" s="199">
        <v>233116210110</v>
      </c>
      <c r="J177" s="193" t="s">
        <v>2015</v>
      </c>
      <c r="K177" s="193"/>
    </row>
    <row r="178" spans="1:11" x14ac:dyDescent="0.3">
      <c r="A178" s="193">
        <f t="shared" si="2"/>
        <v>162</v>
      </c>
      <c r="B178" s="193" t="s">
        <v>2228</v>
      </c>
      <c r="C178" s="193" t="s">
        <v>2230</v>
      </c>
      <c r="D178" s="193">
        <v>6</v>
      </c>
      <c r="E178" s="193"/>
      <c r="F178" s="193"/>
      <c r="G178" s="193" t="s">
        <v>13</v>
      </c>
      <c r="H178" s="120" t="s">
        <v>688</v>
      </c>
      <c r="I178" s="199">
        <v>233116210120</v>
      </c>
      <c r="J178" s="193" t="s">
        <v>2015</v>
      </c>
      <c r="K178" s="193"/>
    </row>
    <row r="179" spans="1:11" x14ac:dyDescent="0.3">
      <c r="A179" s="193">
        <f t="shared" si="2"/>
        <v>163</v>
      </c>
      <c r="B179" s="193" t="s">
        <v>2228</v>
      </c>
      <c r="C179" s="193" t="s">
        <v>2231</v>
      </c>
      <c r="D179" s="193">
        <v>10</v>
      </c>
      <c r="E179" s="193"/>
      <c r="F179" s="193"/>
      <c r="G179" s="193" t="s">
        <v>13</v>
      </c>
      <c r="H179" s="120" t="s">
        <v>688</v>
      </c>
      <c r="I179" s="199">
        <v>233116210160</v>
      </c>
      <c r="J179" s="193" t="s">
        <v>2015</v>
      </c>
      <c r="K179" s="193"/>
    </row>
    <row r="180" spans="1:11" x14ac:dyDescent="0.3">
      <c r="A180" s="193">
        <f t="shared" si="2"/>
        <v>164</v>
      </c>
      <c r="B180" s="193" t="s">
        <v>2228</v>
      </c>
      <c r="C180" s="193" t="s">
        <v>2232</v>
      </c>
      <c r="D180" s="193">
        <v>12</v>
      </c>
      <c r="E180" s="193"/>
      <c r="F180" s="193"/>
      <c r="G180" s="193" t="s">
        <v>13</v>
      </c>
      <c r="H180" s="120" t="s">
        <v>688</v>
      </c>
      <c r="I180" s="199">
        <v>233116210170</v>
      </c>
      <c r="J180" s="193" t="s">
        <v>2015</v>
      </c>
      <c r="K180" s="193"/>
    </row>
    <row r="181" spans="1:11" x14ac:dyDescent="0.3">
      <c r="A181" s="193">
        <f t="shared" si="2"/>
        <v>165</v>
      </c>
      <c r="B181" s="193" t="s">
        <v>2233</v>
      </c>
      <c r="C181" s="193" t="s">
        <v>2234</v>
      </c>
      <c r="D181" s="193">
        <v>4</v>
      </c>
      <c r="E181" s="193"/>
      <c r="F181" s="193"/>
      <c r="G181" s="193" t="s">
        <v>13</v>
      </c>
      <c r="H181" s="120" t="s">
        <v>688</v>
      </c>
      <c r="I181" s="199">
        <v>233346101910</v>
      </c>
      <c r="J181" s="193" t="s">
        <v>2015</v>
      </c>
      <c r="K181" s="193"/>
    </row>
    <row r="182" spans="1:11" x14ac:dyDescent="0.3">
      <c r="A182" s="193">
        <f t="shared" si="2"/>
        <v>166</v>
      </c>
      <c r="B182" s="193" t="s">
        <v>2233</v>
      </c>
      <c r="C182" s="193" t="s">
        <v>2235</v>
      </c>
      <c r="D182" s="193">
        <v>6</v>
      </c>
      <c r="E182" s="193"/>
      <c r="F182" s="193"/>
      <c r="G182" s="193" t="s">
        <v>13</v>
      </c>
      <c r="H182" s="120" t="s">
        <v>688</v>
      </c>
      <c r="I182" s="199">
        <v>233346101940</v>
      </c>
      <c r="J182" s="193" t="s">
        <v>2015</v>
      </c>
      <c r="K182" s="193"/>
    </row>
    <row r="183" spans="1:11" x14ac:dyDescent="0.3">
      <c r="A183" s="193">
        <f t="shared" si="2"/>
        <v>167</v>
      </c>
      <c r="B183" s="193" t="s">
        <v>2233</v>
      </c>
      <c r="C183" s="193" t="s">
        <v>2236</v>
      </c>
      <c r="D183" s="193">
        <v>10</v>
      </c>
      <c r="E183" s="193"/>
      <c r="F183" s="193"/>
      <c r="G183" s="193" t="s">
        <v>13</v>
      </c>
      <c r="H183" s="120" t="s">
        <v>688</v>
      </c>
      <c r="I183" s="199">
        <v>233346102020</v>
      </c>
      <c r="J183" s="193" t="s">
        <v>2015</v>
      </c>
      <c r="K183" s="193"/>
    </row>
    <row r="184" spans="1:11" x14ac:dyDescent="0.3">
      <c r="A184" s="193">
        <f t="shared" si="2"/>
        <v>168</v>
      </c>
      <c r="B184" s="193" t="s">
        <v>2233</v>
      </c>
      <c r="C184" s="193" t="s">
        <v>2237</v>
      </c>
      <c r="D184" s="193">
        <v>12</v>
      </c>
      <c r="E184" s="193"/>
      <c r="F184" s="193"/>
      <c r="G184" s="193" t="s">
        <v>13</v>
      </c>
      <c r="H184" s="120" t="s">
        <v>688</v>
      </c>
      <c r="I184" s="199">
        <v>233346102040</v>
      </c>
      <c r="J184" s="193" t="s">
        <v>2015</v>
      </c>
      <c r="K184" s="193"/>
    </row>
    <row r="185" spans="1:11" x14ac:dyDescent="0.3">
      <c r="A185" s="193">
        <f t="shared" si="2"/>
        <v>169</v>
      </c>
      <c r="B185" s="193" t="s">
        <v>2238</v>
      </c>
      <c r="C185" s="193" t="s">
        <v>2239</v>
      </c>
      <c r="D185" s="193">
        <v>4</v>
      </c>
      <c r="E185" s="193"/>
      <c r="F185" s="193"/>
      <c r="G185" s="193" t="s">
        <v>13</v>
      </c>
      <c r="H185" s="120" t="s">
        <v>688</v>
      </c>
      <c r="I185" s="199">
        <v>233346102891</v>
      </c>
      <c r="J185" s="193" t="s">
        <v>2015</v>
      </c>
      <c r="K185" s="193"/>
    </row>
    <row r="186" spans="1:11" x14ac:dyDescent="0.3">
      <c r="A186" s="193">
        <f t="shared" si="2"/>
        <v>170</v>
      </c>
      <c r="B186" s="193" t="s">
        <v>2238</v>
      </c>
      <c r="C186" s="193" t="s">
        <v>2240</v>
      </c>
      <c r="D186" s="193">
        <v>6</v>
      </c>
      <c r="E186" s="193"/>
      <c r="F186" s="193"/>
      <c r="G186" s="193" t="s">
        <v>13</v>
      </c>
      <c r="H186" s="120" t="s">
        <v>688</v>
      </c>
      <c r="I186" s="199">
        <v>233346102893</v>
      </c>
      <c r="J186" s="193" t="s">
        <v>2015</v>
      </c>
      <c r="K186" s="193"/>
    </row>
    <row r="187" spans="1:11" x14ac:dyDescent="0.3">
      <c r="A187" s="193">
        <f t="shared" si="2"/>
        <v>171</v>
      </c>
      <c r="B187" s="193" t="s">
        <v>2238</v>
      </c>
      <c r="C187" s="193" t="s">
        <v>2241</v>
      </c>
      <c r="D187" s="193">
        <v>10</v>
      </c>
      <c r="E187" s="193"/>
      <c r="F187" s="193"/>
      <c r="G187" s="193" t="s">
        <v>13</v>
      </c>
      <c r="H187" s="120" t="s">
        <v>688</v>
      </c>
      <c r="I187" s="199">
        <v>233346102897</v>
      </c>
      <c r="J187" s="193" t="s">
        <v>2015</v>
      </c>
      <c r="K187" s="193"/>
    </row>
    <row r="188" spans="1:11" x14ac:dyDescent="0.3">
      <c r="A188" s="193">
        <f t="shared" si="2"/>
        <v>172</v>
      </c>
      <c r="B188" s="193" t="s">
        <v>2238</v>
      </c>
      <c r="C188" s="193" t="s">
        <v>2242</v>
      </c>
      <c r="D188" s="193">
        <v>12</v>
      </c>
      <c r="E188" s="193"/>
      <c r="F188" s="193"/>
      <c r="G188" s="193" t="s">
        <v>13</v>
      </c>
      <c r="H188" s="120" t="s">
        <v>688</v>
      </c>
      <c r="I188" s="199">
        <v>233346102898</v>
      </c>
      <c r="J188" s="193" t="s">
        <v>2015</v>
      </c>
      <c r="K188" s="193"/>
    </row>
    <row r="189" spans="1:11" x14ac:dyDescent="0.3">
      <c r="A189" s="193">
        <f t="shared" si="2"/>
        <v>173</v>
      </c>
      <c r="B189" s="193" t="s">
        <v>2243</v>
      </c>
      <c r="C189" s="193" t="s">
        <v>2244</v>
      </c>
      <c r="D189" s="193">
        <v>6</v>
      </c>
      <c r="E189" s="193"/>
      <c r="F189" s="193"/>
      <c r="G189" s="193" t="s">
        <v>13</v>
      </c>
      <c r="H189" s="120" t="s">
        <v>688</v>
      </c>
      <c r="I189" s="199">
        <v>233313138410</v>
      </c>
      <c r="J189" s="193" t="s">
        <v>2017</v>
      </c>
      <c r="K189" s="193"/>
    </row>
    <row r="190" spans="1:11" x14ac:dyDescent="0.3">
      <c r="A190" s="193">
        <f t="shared" si="2"/>
        <v>174</v>
      </c>
      <c r="B190" s="193" t="s">
        <v>2243</v>
      </c>
      <c r="C190" s="193" t="s">
        <v>2245</v>
      </c>
      <c r="D190" s="193">
        <v>8</v>
      </c>
      <c r="E190" s="193"/>
      <c r="F190" s="193"/>
      <c r="G190" s="193" t="s">
        <v>13</v>
      </c>
      <c r="H190" s="120" t="s">
        <v>688</v>
      </c>
      <c r="I190" s="199">
        <v>233313138414</v>
      </c>
      <c r="J190" s="193" t="s">
        <v>2017</v>
      </c>
      <c r="K190" s="193"/>
    </row>
    <row r="191" spans="1:11" x14ac:dyDescent="0.3">
      <c r="A191" s="193">
        <f t="shared" si="2"/>
        <v>175</v>
      </c>
      <c r="B191" s="193" t="s">
        <v>2246</v>
      </c>
      <c r="C191" s="193" t="s">
        <v>2247</v>
      </c>
      <c r="D191" s="193">
        <v>6</v>
      </c>
      <c r="E191" s="193"/>
      <c r="F191" s="193"/>
      <c r="G191" s="193" t="s">
        <v>13</v>
      </c>
      <c r="H191" s="120" t="s">
        <v>688</v>
      </c>
      <c r="I191" s="199">
        <v>233346101940</v>
      </c>
      <c r="J191" s="193" t="s">
        <v>9</v>
      </c>
      <c r="K191" s="193"/>
    </row>
    <row r="192" spans="1:11" x14ac:dyDescent="0.3">
      <c r="A192" s="193">
        <f t="shared" si="2"/>
        <v>176</v>
      </c>
      <c r="B192" s="193" t="s">
        <v>2246</v>
      </c>
      <c r="C192" s="193" t="s">
        <v>2248</v>
      </c>
      <c r="D192" s="193">
        <v>8</v>
      </c>
      <c r="E192" s="193"/>
      <c r="F192" s="193"/>
      <c r="G192" s="193" t="s">
        <v>13</v>
      </c>
      <c r="H192" s="120" t="s">
        <v>688</v>
      </c>
      <c r="I192" s="199">
        <v>233346101980</v>
      </c>
      <c r="J192" s="193" t="s">
        <v>9</v>
      </c>
      <c r="K192" s="193"/>
    </row>
    <row r="193" spans="1:11" x14ac:dyDescent="0.3">
      <c r="A193" s="193">
        <f t="shared" si="2"/>
        <v>177</v>
      </c>
      <c r="B193" s="193" t="s">
        <v>2249</v>
      </c>
      <c r="C193" s="193" t="s">
        <v>2250</v>
      </c>
      <c r="D193" s="193"/>
      <c r="E193" s="193"/>
      <c r="F193" s="193"/>
      <c r="G193" s="193" t="s">
        <v>13</v>
      </c>
      <c r="H193" s="120" t="s">
        <v>688</v>
      </c>
      <c r="I193" s="199">
        <v>233353103720</v>
      </c>
      <c r="J193" s="193" t="s">
        <v>9</v>
      </c>
      <c r="K193" s="193"/>
    </row>
    <row r="194" spans="1:11" x14ac:dyDescent="0.3">
      <c r="A194" s="193">
        <f t="shared" si="2"/>
        <v>178</v>
      </c>
      <c r="B194" s="193" t="s">
        <v>2251</v>
      </c>
      <c r="C194" s="193" t="s">
        <v>2252</v>
      </c>
      <c r="D194" s="193">
        <v>1045</v>
      </c>
      <c r="E194" s="193"/>
      <c r="F194" s="193"/>
      <c r="G194" s="193" t="s">
        <v>13</v>
      </c>
      <c r="H194" s="120" t="s">
        <v>688</v>
      </c>
      <c r="I194" s="199">
        <v>233414102020</v>
      </c>
      <c r="J194" s="193" t="s">
        <v>2017</v>
      </c>
      <c r="K194" s="193"/>
    </row>
    <row r="195" spans="1:11" x14ac:dyDescent="0.3">
      <c r="A195" s="193">
        <f t="shared" si="2"/>
        <v>179</v>
      </c>
      <c r="B195" s="193" t="s">
        <v>2251</v>
      </c>
      <c r="C195" s="193" t="s">
        <v>2253</v>
      </c>
      <c r="D195" s="193">
        <v>1385</v>
      </c>
      <c r="E195" s="193"/>
      <c r="F195" s="193"/>
      <c r="G195" s="193" t="s">
        <v>13</v>
      </c>
      <c r="H195" s="120" t="s">
        <v>688</v>
      </c>
      <c r="I195" s="199">
        <v>233414102040</v>
      </c>
      <c r="J195" s="193" t="s">
        <v>2017</v>
      </c>
      <c r="K195" s="193"/>
    </row>
    <row r="196" spans="1:11" x14ac:dyDescent="0.3">
      <c r="A196" s="193">
        <f t="shared" ref="A196:A259" si="3">A195+1</f>
        <v>180</v>
      </c>
      <c r="B196" s="193" t="s">
        <v>2251</v>
      </c>
      <c r="C196" s="193" t="s">
        <v>2254</v>
      </c>
      <c r="D196" s="193">
        <v>1640</v>
      </c>
      <c r="E196" s="193"/>
      <c r="F196" s="193"/>
      <c r="G196" s="193" t="s">
        <v>13</v>
      </c>
      <c r="H196" s="120" t="s">
        <v>688</v>
      </c>
      <c r="I196" s="199">
        <v>233414102060</v>
      </c>
      <c r="J196" s="193" t="s">
        <v>2017</v>
      </c>
      <c r="K196" s="193"/>
    </row>
    <row r="197" spans="1:11" x14ac:dyDescent="0.3">
      <c r="A197" s="193">
        <f t="shared" si="3"/>
        <v>181</v>
      </c>
      <c r="B197" s="193" t="s">
        <v>2251</v>
      </c>
      <c r="C197" s="193" t="s">
        <v>2255</v>
      </c>
      <c r="D197" s="193">
        <v>1760</v>
      </c>
      <c r="E197" s="193"/>
      <c r="F197" s="193"/>
      <c r="G197" s="193" t="s">
        <v>13</v>
      </c>
      <c r="H197" s="120" t="s">
        <v>688</v>
      </c>
      <c r="I197" s="199">
        <v>233414102080</v>
      </c>
      <c r="J197" s="193" t="s">
        <v>2017</v>
      </c>
      <c r="K197" s="193"/>
    </row>
    <row r="198" spans="1:11" x14ac:dyDescent="0.3">
      <c r="A198" s="193">
        <f t="shared" si="3"/>
        <v>182</v>
      </c>
      <c r="B198" s="193" t="s">
        <v>2251</v>
      </c>
      <c r="C198" s="193" t="s">
        <v>2256</v>
      </c>
      <c r="D198" s="193">
        <v>150</v>
      </c>
      <c r="E198" s="193"/>
      <c r="F198" s="193"/>
      <c r="G198" s="193" t="s">
        <v>13</v>
      </c>
      <c r="H198" s="120" t="s">
        <v>688</v>
      </c>
      <c r="I198" s="199">
        <v>233414107520</v>
      </c>
      <c r="J198" s="193" t="s">
        <v>2017</v>
      </c>
      <c r="K198" s="193"/>
    </row>
    <row r="199" spans="1:11" x14ac:dyDescent="0.3">
      <c r="A199" s="193">
        <f t="shared" si="3"/>
        <v>183</v>
      </c>
      <c r="B199" s="193" t="s">
        <v>2251</v>
      </c>
      <c r="C199" s="193" t="s">
        <v>2257</v>
      </c>
      <c r="D199" s="193">
        <v>485</v>
      </c>
      <c r="E199" s="193"/>
      <c r="F199" s="193"/>
      <c r="G199" s="193" t="s">
        <v>13</v>
      </c>
      <c r="H199" s="120" t="s">
        <v>688</v>
      </c>
      <c r="I199" s="199">
        <v>233414107540</v>
      </c>
      <c r="J199" s="193" t="s">
        <v>2017</v>
      </c>
      <c r="K199" s="193"/>
    </row>
    <row r="200" spans="1:11" x14ac:dyDescent="0.3">
      <c r="A200" s="193">
        <f t="shared" si="3"/>
        <v>184</v>
      </c>
      <c r="B200" s="193" t="s">
        <v>2251</v>
      </c>
      <c r="C200" s="193" t="s">
        <v>2258</v>
      </c>
      <c r="D200" s="193">
        <v>1950</v>
      </c>
      <c r="E200" s="193"/>
      <c r="F200" s="193"/>
      <c r="G200" s="193" t="s">
        <v>13</v>
      </c>
      <c r="H200" s="120" t="s">
        <v>688</v>
      </c>
      <c r="I200" s="199">
        <v>233414107560</v>
      </c>
      <c r="J200" s="193" t="s">
        <v>2017</v>
      </c>
      <c r="K200" s="193"/>
    </row>
    <row r="201" spans="1:11" x14ac:dyDescent="0.3">
      <c r="A201" s="193">
        <f t="shared" si="3"/>
        <v>185</v>
      </c>
      <c r="B201" s="193" t="s">
        <v>2251</v>
      </c>
      <c r="C201" s="193" t="s">
        <v>2259</v>
      </c>
      <c r="D201" s="193">
        <v>2410</v>
      </c>
      <c r="E201" s="193"/>
      <c r="F201" s="193"/>
      <c r="G201" s="193" t="s">
        <v>13</v>
      </c>
      <c r="H201" s="120" t="s">
        <v>688</v>
      </c>
      <c r="I201" s="199">
        <v>233414107580</v>
      </c>
      <c r="J201" s="193" t="s">
        <v>2017</v>
      </c>
      <c r="K201" s="193"/>
    </row>
    <row r="202" spans="1:11" x14ac:dyDescent="0.3">
      <c r="A202" s="193">
        <f t="shared" si="3"/>
        <v>186</v>
      </c>
      <c r="B202" s="193" t="s">
        <v>2251</v>
      </c>
      <c r="C202" s="193" t="s">
        <v>2260</v>
      </c>
      <c r="D202" s="193">
        <v>3328</v>
      </c>
      <c r="E202" s="193"/>
      <c r="F202" s="193"/>
      <c r="G202" s="193" t="s">
        <v>13</v>
      </c>
      <c r="H202" s="120" t="s">
        <v>688</v>
      </c>
      <c r="I202" s="199">
        <v>233414107600</v>
      </c>
      <c r="J202" s="193" t="s">
        <v>2017</v>
      </c>
      <c r="K202" s="193"/>
    </row>
    <row r="203" spans="1:11" x14ac:dyDescent="0.3">
      <c r="A203" s="193">
        <f t="shared" si="3"/>
        <v>187</v>
      </c>
      <c r="B203" s="193" t="s">
        <v>2261</v>
      </c>
      <c r="C203" s="193" t="s">
        <v>2262</v>
      </c>
      <c r="D203" s="193">
        <v>800</v>
      </c>
      <c r="E203" s="193"/>
      <c r="F203" s="193"/>
      <c r="G203" s="193" t="s">
        <v>13</v>
      </c>
      <c r="H203" s="120" t="s">
        <v>688</v>
      </c>
      <c r="I203" s="199">
        <v>233414107700</v>
      </c>
      <c r="J203" s="193" t="s">
        <v>2017</v>
      </c>
      <c r="K203" s="193"/>
    </row>
    <row r="204" spans="1:11" x14ac:dyDescent="0.3">
      <c r="A204" s="193">
        <f t="shared" si="3"/>
        <v>188</v>
      </c>
      <c r="B204" s="193" t="s">
        <v>2261</v>
      </c>
      <c r="C204" s="193" t="s">
        <v>2263</v>
      </c>
      <c r="D204" s="193">
        <v>1300</v>
      </c>
      <c r="E204" s="193"/>
      <c r="F204" s="193"/>
      <c r="G204" s="193" t="s">
        <v>13</v>
      </c>
      <c r="H204" s="120" t="s">
        <v>688</v>
      </c>
      <c r="I204" s="199">
        <v>233414107720</v>
      </c>
      <c r="J204" s="193" t="s">
        <v>2017</v>
      </c>
      <c r="K204" s="193"/>
    </row>
    <row r="205" spans="1:11" x14ac:dyDescent="0.3">
      <c r="A205" s="193">
        <f t="shared" si="3"/>
        <v>189</v>
      </c>
      <c r="B205" s="193" t="s">
        <v>2261</v>
      </c>
      <c r="C205" s="193" t="s">
        <v>2264</v>
      </c>
      <c r="D205" s="193">
        <v>2000</v>
      </c>
      <c r="E205" s="193"/>
      <c r="F205" s="193"/>
      <c r="G205" s="193" t="s">
        <v>13</v>
      </c>
      <c r="H205" s="120" t="s">
        <v>688</v>
      </c>
      <c r="I205" s="199">
        <v>233414107740</v>
      </c>
      <c r="J205" s="193" t="s">
        <v>2017</v>
      </c>
      <c r="K205" s="193"/>
    </row>
    <row r="206" spans="1:11" x14ac:dyDescent="0.3">
      <c r="A206" s="193">
        <f t="shared" si="3"/>
        <v>190</v>
      </c>
      <c r="B206" s="193" t="s">
        <v>2261</v>
      </c>
      <c r="C206" s="193" t="s">
        <v>2265</v>
      </c>
      <c r="D206" s="193">
        <v>2900</v>
      </c>
      <c r="E206" s="193"/>
      <c r="F206" s="193"/>
      <c r="G206" s="193" t="s">
        <v>13</v>
      </c>
      <c r="H206" s="120" t="s">
        <v>688</v>
      </c>
      <c r="I206" s="199">
        <v>233414107760</v>
      </c>
      <c r="J206" s="193" t="s">
        <v>2017</v>
      </c>
      <c r="K206" s="193"/>
    </row>
    <row r="207" spans="1:11" x14ac:dyDescent="0.3">
      <c r="A207" s="193">
        <f t="shared" si="3"/>
        <v>191</v>
      </c>
      <c r="B207" s="193" t="s">
        <v>2261</v>
      </c>
      <c r="C207" s="193" t="s">
        <v>2266</v>
      </c>
      <c r="D207" s="193">
        <v>3600</v>
      </c>
      <c r="E207" s="193"/>
      <c r="F207" s="193"/>
      <c r="G207" s="193" t="s">
        <v>13</v>
      </c>
      <c r="H207" s="120" t="s">
        <v>688</v>
      </c>
      <c r="I207" s="199">
        <v>233414107780</v>
      </c>
      <c r="J207" s="193" t="s">
        <v>2017</v>
      </c>
      <c r="K207" s="193"/>
    </row>
    <row r="208" spans="1:11" x14ac:dyDescent="0.3">
      <c r="A208" s="193">
        <f t="shared" si="3"/>
        <v>192</v>
      </c>
      <c r="B208" s="193" t="s">
        <v>2261</v>
      </c>
      <c r="C208" s="193" t="s">
        <v>2267</v>
      </c>
      <c r="D208" s="193">
        <v>4800</v>
      </c>
      <c r="E208" s="193"/>
      <c r="F208" s="193"/>
      <c r="G208" s="193" t="s">
        <v>13</v>
      </c>
      <c r="H208" s="120" t="s">
        <v>688</v>
      </c>
      <c r="I208" s="199">
        <v>233414107800</v>
      </c>
      <c r="J208" s="193" t="s">
        <v>2017</v>
      </c>
      <c r="K208" s="193"/>
    </row>
    <row r="209" spans="1:11" x14ac:dyDescent="0.3">
      <c r="A209" s="193">
        <f t="shared" si="3"/>
        <v>193</v>
      </c>
      <c r="B209" s="193" t="s">
        <v>2261</v>
      </c>
      <c r="C209" s="193" t="s">
        <v>2268</v>
      </c>
      <c r="D209" s="193">
        <v>6700</v>
      </c>
      <c r="E209" s="193"/>
      <c r="F209" s="193"/>
      <c r="G209" s="193" t="s">
        <v>13</v>
      </c>
      <c r="H209" s="120" t="s">
        <v>688</v>
      </c>
      <c r="I209" s="199">
        <v>233414107820</v>
      </c>
      <c r="J209" s="193" t="s">
        <v>2017</v>
      </c>
      <c r="K209" s="193"/>
    </row>
    <row r="210" spans="1:11" x14ac:dyDescent="0.3">
      <c r="A210" s="193">
        <f t="shared" si="3"/>
        <v>194</v>
      </c>
      <c r="B210" s="193" t="s">
        <v>2261</v>
      </c>
      <c r="C210" s="193" t="s">
        <v>2269</v>
      </c>
      <c r="D210" s="193">
        <v>7500</v>
      </c>
      <c r="E210" s="193"/>
      <c r="F210" s="193"/>
      <c r="G210" s="193" t="s">
        <v>13</v>
      </c>
      <c r="H210" s="120" t="s">
        <v>688</v>
      </c>
      <c r="I210" s="199">
        <v>233414107830</v>
      </c>
      <c r="J210" s="193" t="s">
        <v>2017</v>
      </c>
      <c r="K210" s="193"/>
    </row>
    <row r="211" spans="1:11" x14ac:dyDescent="0.3">
      <c r="A211" s="193">
        <f t="shared" si="3"/>
        <v>195</v>
      </c>
      <c r="B211" s="193" t="s">
        <v>2261</v>
      </c>
      <c r="C211" s="193" t="s">
        <v>2270</v>
      </c>
      <c r="D211" s="193">
        <v>11000</v>
      </c>
      <c r="E211" s="193"/>
      <c r="F211" s="193"/>
      <c r="G211" s="193" t="s">
        <v>13</v>
      </c>
      <c r="H211" s="120" t="s">
        <v>688</v>
      </c>
      <c r="I211" s="199">
        <v>233414107840</v>
      </c>
      <c r="J211" s="193" t="s">
        <v>2017</v>
      </c>
      <c r="K211" s="193"/>
    </row>
    <row r="212" spans="1:11" x14ac:dyDescent="0.3">
      <c r="A212" s="193">
        <f t="shared" si="3"/>
        <v>196</v>
      </c>
      <c r="B212" s="193" t="s">
        <v>2261</v>
      </c>
      <c r="C212" s="193" t="s">
        <v>2271</v>
      </c>
      <c r="D212" s="193">
        <v>13000</v>
      </c>
      <c r="E212" s="193"/>
      <c r="F212" s="193"/>
      <c r="G212" s="193" t="s">
        <v>13</v>
      </c>
      <c r="H212" s="120" t="s">
        <v>688</v>
      </c>
      <c r="I212" s="199">
        <v>233414107860</v>
      </c>
      <c r="J212" s="193" t="s">
        <v>2017</v>
      </c>
      <c r="K212" s="193"/>
    </row>
    <row r="213" spans="1:11" x14ac:dyDescent="0.3">
      <c r="A213" s="193">
        <f t="shared" si="3"/>
        <v>197</v>
      </c>
      <c r="B213" s="193" t="s">
        <v>2261</v>
      </c>
      <c r="C213" s="193" t="s">
        <v>2272</v>
      </c>
      <c r="D213" s="193">
        <v>15000</v>
      </c>
      <c r="E213" s="193"/>
      <c r="F213" s="193"/>
      <c r="G213" s="193" t="s">
        <v>13</v>
      </c>
      <c r="H213" s="120" t="s">
        <v>688</v>
      </c>
      <c r="I213" s="199">
        <v>233414107880</v>
      </c>
      <c r="J213" s="193" t="s">
        <v>2017</v>
      </c>
      <c r="K213" s="193"/>
    </row>
    <row r="214" spans="1:11" x14ac:dyDescent="0.3">
      <c r="A214" s="193">
        <f t="shared" si="3"/>
        <v>198</v>
      </c>
      <c r="B214" s="193" t="s">
        <v>2261</v>
      </c>
      <c r="C214" s="193" t="s">
        <v>2273</v>
      </c>
      <c r="D214" s="193">
        <v>17000</v>
      </c>
      <c r="E214" s="193"/>
      <c r="F214" s="193"/>
      <c r="G214" s="193" t="s">
        <v>13</v>
      </c>
      <c r="H214" s="120" t="s">
        <v>688</v>
      </c>
      <c r="I214" s="199">
        <v>233414107900</v>
      </c>
      <c r="J214" s="193" t="s">
        <v>2017</v>
      </c>
      <c r="K214" s="193"/>
    </row>
    <row r="215" spans="1:11" x14ac:dyDescent="0.3">
      <c r="A215" s="193">
        <f t="shared" si="3"/>
        <v>199</v>
      </c>
      <c r="B215" s="193" t="s">
        <v>2261</v>
      </c>
      <c r="C215" s="193" t="s">
        <v>2274</v>
      </c>
      <c r="D215" s="193">
        <v>20000</v>
      </c>
      <c r="E215" s="193"/>
      <c r="F215" s="193"/>
      <c r="G215" s="193" t="s">
        <v>13</v>
      </c>
      <c r="H215" s="120" t="s">
        <v>688</v>
      </c>
      <c r="I215" s="199">
        <v>233414107920</v>
      </c>
      <c r="J215" s="193" t="s">
        <v>2017</v>
      </c>
      <c r="K215" s="193"/>
    </row>
    <row r="216" spans="1:11" x14ac:dyDescent="0.3">
      <c r="A216" s="193">
        <f t="shared" si="3"/>
        <v>200</v>
      </c>
      <c r="B216" s="193" t="s">
        <v>2275</v>
      </c>
      <c r="C216" s="193" t="s">
        <v>2276</v>
      </c>
      <c r="D216" s="193">
        <v>1000</v>
      </c>
      <c r="E216" s="193"/>
      <c r="F216" s="193"/>
      <c r="G216" s="193" t="s">
        <v>13</v>
      </c>
      <c r="H216" s="120" t="s">
        <v>688</v>
      </c>
      <c r="I216" s="234">
        <v>233416103520</v>
      </c>
      <c r="J216" s="193" t="s">
        <v>2017</v>
      </c>
      <c r="K216" s="193"/>
    </row>
    <row r="217" spans="1:11" x14ac:dyDescent="0.3">
      <c r="A217" s="193">
        <f t="shared" si="3"/>
        <v>201</v>
      </c>
      <c r="B217" s="193" t="s">
        <v>2275</v>
      </c>
      <c r="C217" s="193" t="s">
        <v>2277</v>
      </c>
      <c r="D217" s="193">
        <v>2000</v>
      </c>
      <c r="E217" s="193"/>
      <c r="F217" s="193"/>
      <c r="G217" s="193" t="s">
        <v>13</v>
      </c>
      <c r="H217" s="120" t="s">
        <v>688</v>
      </c>
      <c r="I217" s="234">
        <v>233416103540</v>
      </c>
      <c r="J217" s="193" t="s">
        <v>2017</v>
      </c>
      <c r="K217" s="193"/>
    </row>
    <row r="218" spans="1:11" x14ac:dyDescent="0.3">
      <c r="A218" s="193">
        <f t="shared" si="3"/>
        <v>202</v>
      </c>
      <c r="B218" s="193" t="s">
        <v>2275</v>
      </c>
      <c r="C218" s="193" t="s">
        <v>2278</v>
      </c>
      <c r="D218" s="193">
        <v>4000</v>
      </c>
      <c r="E218" s="193"/>
      <c r="F218" s="193"/>
      <c r="G218" s="193" t="s">
        <v>13</v>
      </c>
      <c r="H218" s="120" t="s">
        <v>688</v>
      </c>
      <c r="I218" s="234">
        <v>233416103560</v>
      </c>
      <c r="J218" s="193" t="s">
        <v>2017</v>
      </c>
      <c r="K218" s="193"/>
    </row>
    <row r="219" spans="1:11" x14ac:dyDescent="0.3">
      <c r="A219" s="193">
        <f t="shared" si="3"/>
        <v>203</v>
      </c>
      <c r="B219" s="193" t="s">
        <v>2275</v>
      </c>
      <c r="C219" s="193" t="s">
        <v>2279</v>
      </c>
      <c r="D219" s="193">
        <v>8000</v>
      </c>
      <c r="E219" s="193"/>
      <c r="F219" s="193"/>
      <c r="G219" s="193" t="s">
        <v>13</v>
      </c>
      <c r="H219" s="120" t="s">
        <v>688</v>
      </c>
      <c r="I219" s="234">
        <v>233416103580</v>
      </c>
      <c r="J219" s="193" t="s">
        <v>2017</v>
      </c>
      <c r="K219" s="193"/>
    </row>
    <row r="220" spans="1:11" x14ac:dyDescent="0.3">
      <c r="A220" s="193">
        <f t="shared" si="3"/>
        <v>204</v>
      </c>
      <c r="B220" s="193" t="s">
        <v>2280</v>
      </c>
      <c r="C220" s="193" t="s">
        <v>2281</v>
      </c>
      <c r="D220" s="193">
        <v>12000</v>
      </c>
      <c r="E220" s="193"/>
      <c r="F220" s="193"/>
      <c r="G220" s="193" t="s">
        <v>13</v>
      </c>
      <c r="H220" s="120" t="s">
        <v>688</v>
      </c>
      <c r="I220" s="234">
        <v>233416103600</v>
      </c>
      <c r="J220" s="193" t="s">
        <v>2017</v>
      </c>
      <c r="K220" s="193"/>
    </row>
    <row r="221" spans="1:11" x14ac:dyDescent="0.3">
      <c r="A221" s="193">
        <f t="shared" si="3"/>
        <v>205</v>
      </c>
      <c r="B221" s="193" t="s">
        <v>2280</v>
      </c>
      <c r="C221" s="193" t="s">
        <v>2282</v>
      </c>
      <c r="D221" s="193">
        <v>1200</v>
      </c>
      <c r="E221" s="193"/>
      <c r="F221" s="193"/>
      <c r="G221" s="193" t="s">
        <v>13</v>
      </c>
      <c r="H221" s="120" t="s">
        <v>688</v>
      </c>
      <c r="I221" s="234">
        <v>233416105020</v>
      </c>
      <c r="J221" s="193" t="s">
        <v>2017</v>
      </c>
      <c r="K221" s="193"/>
    </row>
    <row r="222" spans="1:11" x14ac:dyDescent="0.3">
      <c r="A222" s="193">
        <f t="shared" si="3"/>
        <v>206</v>
      </c>
      <c r="B222" s="193" t="s">
        <v>2280</v>
      </c>
      <c r="C222" s="193" t="s">
        <v>2283</v>
      </c>
      <c r="D222" s="193">
        <v>1520</v>
      </c>
      <c r="E222" s="193"/>
      <c r="F222" s="193"/>
      <c r="G222" s="193" t="s">
        <v>13</v>
      </c>
      <c r="H222" s="120" t="s">
        <v>688</v>
      </c>
      <c r="I222" s="234">
        <v>233416105040</v>
      </c>
      <c r="J222" s="193" t="s">
        <v>2017</v>
      </c>
      <c r="K222" s="193"/>
    </row>
    <row r="223" spans="1:11" x14ac:dyDescent="0.3">
      <c r="A223" s="193">
        <f t="shared" si="3"/>
        <v>207</v>
      </c>
      <c r="B223" s="193" t="s">
        <v>2280</v>
      </c>
      <c r="C223" s="193" t="s">
        <v>2284</v>
      </c>
      <c r="D223" s="193">
        <v>1850</v>
      </c>
      <c r="E223" s="193"/>
      <c r="F223" s="193"/>
      <c r="G223" s="193" t="s">
        <v>13</v>
      </c>
      <c r="H223" s="120" t="s">
        <v>688</v>
      </c>
      <c r="I223" s="234">
        <v>233416105060</v>
      </c>
      <c r="J223" s="193" t="s">
        <v>2017</v>
      </c>
      <c r="K223" s="193"/>
    </row>
    <row r="224" spans="1:11" x14ac:dyDescent="0.3">
      <c r="A224" s="193">
        <f t="shared" si="3"/>
        <v>208</v>
      </c>
      <c r="B224" s="193" t="s">
        <v>2280</v>
      </c>
      <c r="C224" s="193" t="s">
        <v>2285</v>
      </c>
      <c r="D224" s="193">
        <v>2180</v>
      </c>
      <c r="E224" s="193"/>
      <c r="F224" s="193"/>
      <c r="G224" s="193" t="s">
        <v>13</v>
      </c>
      <c r="H224" s="120" t="s">
        <v>688</v>
      </c>
      <c r="I224" s="234">
        <v>233416105080</v>
      </c>
      <c r="J224" s="193" t="s">
        <v>2017</v>
      </c>
      <c r="K224" s="193"/>
    </row>
    <row r="225" spans="1:11" x14ac:dyDescent="0.3">
      <c r="A225" s="193">
        <f t="shared" si="3"/>
        <v>209</v>
      </c>
      <c r="B225" s="193" t="s">
        <v>2280</v>
      </c>
      <c r="C225" s="193" t="s">
        <v>2286</v>
      </c>
      <c r="D225" s="193">
        <v>3600</v>
      </c>
      <c r="E225" s="193"/>
      <c r="F225" s="193"/>
      <c r="G225" s="193" t="s">
        <v>13</v>
      </c>
      <c r="H225" s="120" t="s">
        <v>688</v>
      </c>
      <c r="I225" s="234">
        <v>233416105100</v>
      </c>
      <c r="J225" s="193" t="s">
        <v>2017</v>
      </c>
      <c r="K225" s="193"/>
    </row>
    <row r="226" spans="1:11" x14ac:dyDescent="0.3">
      <c r="A226" s="193">
        <f t="shared" si="3"/>
        <v>210</v>
      </c>
      <c r="B226" s="193" t="s">
        <v>2280</v>
      </c>
      <c r="C226" s="193" t="s">
        <v>2287</v>
      </c>
      <c r="D226" s="193">
        <v>4250</v>
      </c>
      <c r="E226" s="193"/>
      <c r="F226" s="193"/>
      <c r="G226" s="193" t="s">
        <v>13</v>
      </c>
      <c r="H226" s="120" t="s">
        <v>688</v>
      </c>
      <c r="I226" s="234">
        <v>233416105120</v>
      </c>
      <c r="J226" s="193" t="s">
        <v>2017</v>
      </c>
      <c r="K226" s="193"/>
    </row>
    <row r="227" spans="1:11" x14ac:dyDescent="0.3">
      <c r="A227" s="193">
        <f t="shared" si="3"/>
        <v>211</v>
      </c>
      <c r="B227" s="193" t="s">
        <v>2280</v>
      </c>
      <c r="C227" s="193" t="s">
        <v>2288</v>
      </c>
      <c r="D227" s="193">
        <v>4800</v>
      </c>
      <c r="E227" s="193"/>
      <c r="F227" s="193"/>
      <c r="G227" s="193" t="s">
        <v>13</v>
      </c>
      <c r="H227" s="120" t="s">
        <v>688</v>
      </c>
      <c r="I227" s="234">
        <v>233416105140</v>
      </c>
      <c r="J227" s="193" t="s">
        <v>2017</v>
      </c>
      <c r="K227" s="193"/>
    </row>
    <row r="228" spans="1:11" x14ac:dyDescent="0.3">
      <c r="A228" s="193">
        <f t="shared" si="3"/>
        <v>212</v>
      </c>
      <c r="B228" s="193" t="s">
        <v>2280</v>
      </c>
      <c r="C228" s="193" t="s">
        <v>2289</v>
      </c>
      <c r="D228" s="193">
        <v>6920</v>
      </c>
      <c r="E228" s="193"/>
      <c r="F228" s="193"/>
      <c r="G228" s="193" t="s">
        <v>13</v>
      </c>
      <c r="H228" s="120" t="s">
        <v>688</v>
      </c>
      <c r="I228" s="234">
        <v>233416105160</v>
      </c>
      <c r="J228" s="193" t="s">
        <v>2017</v>
      </c>
      <c r="K228" s="193"/>
    </row>
    <row r="229" spans="1:11" x14ac:dyDescent="0.3">
      <c r="A229" s="193">
        <f t="shared" si="3"/>
        <v>213</v>
      </c>
      <c r="B229" s="193" t="s">
        <v>2280</v>
      </c>
      <c r="C229" s="193" t="s">
        <v>2290</v>
      </c>
      <c r="D229" s="193">
        <v>7700</v>
      </c>
      <c r="E229" s="193"/>
      <c r="F229" s="193"/>
      <c r="G229" s="193" t="s">
        <v>13</v>
      </c>
      <c r="H229" s="120" t="s">
        <v>688</v>
      </c>
      <c r="I229" s="234">
        <v>233416105180</v>
      </c>
      <c r="J229" s="193" t="s">
        <v>2017</v>
      </c>
      <c r="K229" s="193"/>
    </row>
    <row r="230" spans="1:11" x14ac:dyDescent="0.3">
      <c r="A230" s="193">
        <f t="shared" si="3"/>
        <v>214</v>
      </c>
      <c r="B230" s="193" t="s">
        <v>2291</v>
      </c>
      <c r="C230" s="193" t="s">
        <v>2292</v>
      </c>
      <c r="D230" s="193">
        <v>270</v>
      </c>
      <c r="E230" s="193"/>
      <c r="F230" s="193"/>
      <c r="G230" s="193" t="s">
        <v>13</v>
      </c>
      <c r="H230" s="120" t="s">
        <v>688</v>
      </c>
      <c r="I230" s="234">
        <v>233613105200</v>
      </c>
      <c r="J230" s="193" t="s">
        <v>2017</v>
      </c>
      <c r="K230" s="193"/>
    </row>
    <row r="231" spans="1:11" x14ac:dyDescent="0.3">
      <c r="A231" s="193">
        <f t="shared" si="3"/>
        <v>215</v>
      </c>
      <c r="B231" s="193" t="s">
        <v>2291</v>
      </c>
      <c r="C231" s="193" t="s">
        <v>2293</v>
      </c>
      <c r="D231" s="193">
        <v>600</v>
      </c>
      <c r="E231" s="193"/>
      <c r="F231" s="193"/>
      <c r="G231" s="193" t="s">
        <v>13</v>
      </c>
      <c r="H231" s="120" t="s">
        <v>688</v>
      </c>
      <c r="I231" s="234">
        <v>233613105210</v>
      </c>
      <c r="J231" s="193" t="s">
        <v>2017</v>
      </c>
      <c r="K231" s="193"/>
    </row>
    <row r="232" spans="1:11" x14ac:dyDescent="0.3">
      <c r="A232" s="193">
        <f t="shared" si="3"/>
        <v>216</v>
      </c>
      <c r="B232" s="193" t="s">
        <v>2291</v>
      </c>
      <c r="C232" s="193" t="s">
        <v>2294</v>
      </c>
      <c r="D232" s="193">
        <v>1000</v>
      </c>
      <c r="E232" s="193"/>
      <c r="F232" s="193"/>
      <c r="G232" s="193" t="s">
        <v>13</v>
      </c>
      <c r="H232" s="120" t="s">
        <v>688</v>
      </c>
      <c r="I232" s="234">
        <v>233613105230</v>
      </c>
      <c r="J232" s="193" t="s">
        <v>2017</v>
      </c>
      <c r="K232" s="193"/>
    </row>
    <row r="233" spans="1:11" x14ac:dyDescent="0.3">
      <c r="A233" s="193">
        <f t="shared" si="3"/>
        <v>217</v>
      </c>
      <c r="B233" s="193" t="s">
        <v>2291</v>
      </c>
      <c r="C233" s="193" t="s">
        <v>2295</v>
      </c>
      <c r="D233" s="193">
        <v>1600</v>
      </c>
      <c r="E233" s="193"/>
      <c r="F233" s="193"/>
      <c r="G233" s="193" t="s">
        <v>13</v>
      </c>
      <c r="H233" s="120" t="s">
        <v>688</v>
      </c>
      <c r="I233" s="234">
        <v>233613105240</v>
      </c>
      <c r="J233" s="193" t="s">
        <v>2017</v>
      </c>
      <c r="K233" s="193"/>
    </row>
    <row r="234" spans="1:11" x14ac:dyDescent="0.3">
      <c r="A234" s="193">
        <f t="shared" si="3"/>
        <v>218</v>
      </c>
      <c r="B234" s="193" t="s">
        <v>2291</v>
      </c>
      <c r="C234" s="193" t="s">
        <v>2296</v>
      </c>
      <c r="D234" s="193">
        <v>1900</v>
      </c>
      <c r="E234" s="193"/>
      <c r="F234" s="193"/>
      <c r="G234" s="193" t="s">
        <v>13</v>
      </c>
      <c r="H234" s="120" t="s">
        <v>688</v>
      </c>
      <c r="I234" s="234">
        <v>233613105250</v>
      </c>
      <c r="J234" s="193" t="s">
        <v>2017</v>
      </c>
      <c r="K234" s="193"/>
    </row>
    <row r="235" spans="1:11" x14ac:dyDescent="0.3">
      <c r="A235" s="193">
        <f t="shared" si="3"/>
        <v>219</v>
      </c>
      <c r="B235" s="193" t="s">
        <v>2291</v>
      </c>
      <c r="C235" s="193" t="s">
        <v>2297</v>
      </c>
      <c r="D235" s="193">
        <v>2640</v>
      </c>
      <c r="E235" s="193"/>
      <c r="F235" s="193"/>
      <c r="G235" s="193" t="s">
        <v>13</v>
      </c>
      <c r="H235" s="120" t="s">
        <v>688</v>
      </c>
      <c r="I235" s="234">
        <v>233613105260</v>
      </c>
      <c r="J235" s="193" t="s">
        <v>2017</v>
      </c>
      <c r="K235" s="193"/>
    </row>
    <row r="236" spans="1:11" x14ac:dyDescent="0.3">
      <c r="A236" s="193">
        <f t="shared" si="3"/>
        <v>220</v>
      </c>
      <c r="B236" s="193" t="s">
        <v>2291</v>
      </c>
      <c r="C236" s="193" t="s">
        <v>2298</v>
      </c>
      <c r="D236" s="193">
        <v>3120</v>
      </c>
      <c r="E236" s="193"/>
      <c r="F236" s="193"/>
      <c r="G236" s="193" t="s">
        <v>13</v>
      </c>
      <c r="H236" s="120" t="s">
        <v>688</v>
      </c>
      <c r="I236" s="234">
        <v>233613105270</v>
      </c>
      <c r="J236" s="193" t="s">
        <v>2017</v>
      </c>
      <c r="K236" s="193"/>
    </row>
    <row r="237" spans="1:11" x14ac:dyDescent="0.3">
      <c r="A237" s="193">
        <f t="shared" si="3"/>
        <v>221</v>
      </c>
      <c r="B237" s="193" t="s">
        <v>2299</v>
      </c>
      <c r="C237" s="193" t="s">
        <v>2300</v>
      </c>
      <c r="D237" s="193">
        <v>600</v>
      </c>
      <c r="E237" s="193"/>
      <c r="F237" s="193"/>
      <c r="G237" s="193" t="s">
        <v>13</v>
      </c>
      <c r="H237" s="120" t="s">
        <v>688</v>
      </c>
      <c r="I237" s="234">
        <v>233616105500</v>
      </c>
      <c r="J237" s="193" t="s">
        <v>2017</v>
      </c>
      <c r="K237" s="193"/>
    </row>
    <row r="238" spans="1:11" x14ac:dyDescent="0.3">
      <c r="A238" s="193">
        <f t="shared" si="3"/>
        <v>222</v>
      </c>
      <c r="B238" s="193" t="s">
        <v>2299</v>
      </c>
      <c r="C238" s="193" t="s">
        <v>2301</v>
      </c>
      <c r="D238" s="193">
        <v>1000</v>
      </c>
      <c r="E238" s="193"/>
      <c r="F238" s="193"/>
      <c r="G238" s="193" t="s">
        <v>13</v>
      </c>
      <c r="H238" s="120" t="s">
        <v>688</v>
      </c>
      <c r="I238" s="234">
        <v>233616105510</v>
      </c>
      <c r="J238" s="193" t="s">
        <v>2017</v>
      </c>
      <c r="K238" s="193"/>
    </row>
    <row r="239" spans="1:11" x14ac:dyDescent="0.3">
      <c r="A239" s="193">
        <f t="shared" si="3"/>
        <v>223</v>
      </c>
      <c r="B239" s="193" t="s">
        <v>2299</v>
      </c>
      <c r="C239" s="193" t="s">
        <v>2302</v>
      </c>
      <c r="D239" s="193">
        <v>1600</v>
      </c>
      <c r="E239" s="193"/>
      <c r="F239" s="193"/>
      <c r="G239" s="193" t="s">
        <v>13</v>
      </c>
      <c r="H239" s="120" t="s">
        <v>688</v>
      </c>
      <c r="I239" s="234">
        <v>233616105520</v>
      </c>
      <c r="J239" s="193" t="s">
        <v>2017</v>
      </c>
      <c r="K239" s="193"/>
    </row>
    <row r="240" spans="1:11" x14ac:dyDescent="0.3">
      <c r="A240" s="193">
        <f t="shared" si="3"/>
        <v>224</v>
      </c>
      <c r="B240" s="193" t="s">
        <v>2299</v>
      </c>
      <c r="C240" s="193" t="s">
        <v>2303</v>
      </c>
      <c r="D240" s="193">
        <v>2000</v>
      </c>
      <c r="E240" s="193"/>
      <c r="F240" s="193"/>
      <c r="G240" s="193" t="s">
        <v>13</v>
      </c>
      <c r="H240" s="120" t="s">
        <v>688</v>
      </c>
      <c r="I240" s="234">
        <v>233616105530</v>
      </c>
      <c r="J240" s="193" t="s">
        <v>2017</v>
      </c>
      <c r="K240" s="193"/>
    </row>
    <row r="241" spans="1:11" x14ac:dyDescent="0.3">
      <c r="A241" s="193">
        <f t="shared" si="3"/>
        <v>225</v>
      </c>
      <c r="B241" s="193" t="s">
        <v>2299</v>
      </c>
      <c r="C241" s="193" t="s">
        <v>2304</v>
      </c>
      <c r="D241" s="193">
        <v>3000</v>
      </c>
      <c r="E241" s="193"/>
      <c r="F241" s="193"/>
      <c r="G241" s="193" t="s">
        <v>13</v>
      </c>
      <c r="H241" s="120" t="s">
        <v>688</v>
      </c>
      <c r="I241" s="234">
        <v>233616105540</v>
      </c>
      <c r="J241" s="193" t="s">
        <v>2017</v>
      </c>
      <c r="K241" s="193"/>
    </row>
    <row r="242" spans="1:11" x14ac:dyDescent="0.3">
      <c r="A242" s="193">
        <f t="shared" si="3"/>
        <v>226</v>
      </c>
      <c r="B242" s="193" t="s">
        <v>2299</v>
      </c>
      <c r="C242" s="193" t="s">
        <v>2305</v>
      </c>
      <c r="D242" s="193">
        <v>4000</v>
      </c>
      <c r="E242" s="193"/>
      <c r="F242" s="193"/>
      <c r="G242" s="193" t="s">
        <v>13</v>
      </c>
      <c r="H242" s="120" t="s">
        <v>688</v>
      </c>
      <c r="I242" s="234">
        <v>233616105550</v>
      </c>
      <c r="J242" s="193" t="s">
        <v>2017</v>
      </c>
      <c r="K242" s="193"/>
    </row>
    <row r="243" spans="1:11" x14ac:dyDescent="0.3">
      <c r="A243" s="193">
        <f t="shared" si="3"/>
        <v>227</v>
      </c>
      <c r="B243" s="193" t="s">
        <v>2306</v>
      </c>
      <c r="C243" s="193" t="s">
        <v>2307</v>
      </c>
      <c r="D243" s="193">
        <v>200</v>
      </c>
      <c r="E243" s="193"/>
      <c r="F243" s="193"/>
      <c r="G243" s="193" t="s">
        <v>13</v>
      </c>
      <c r="H243" s="120" t="s">
        <v>688</v>
      </c>
      <c r="I243" s="234">
        <v>233616105610</v>
      </c>
      <c r="J243" s="193" t="s">
        <v>2017</v>
      </c>
      <c r="K243" s="193"/>
    </row>
    <row r="244" spans="1:11" x14ac:dyDescent="0.3">
      <c r="A244" s="193">
        <f t="shared" si="3"/>
        <v>228</v>
      </c>
      <c r="B244" s="193" t="s">
        <v>2306</v>
      </c>
      <c r="C244" s="193" t="s">
        <v>2308</v>
      </c>
      <c r="D244" s="193">
        <v>400</v>
      </c>
      <c r="E244" s="193"/>
      <c r="F244" s="193"/>
      <c r="G244" s="193" t="s">
        <v>13</v>
      </c>
      <c r="H244" s="120" t="s">
        <v>688</v>
      </c>
      <c r="I244" s="234">
        <v>233616105620</v>
      </c>
      <c r="J244" s="193" t="s">
        <v>2017</v>
      </c>
      <c r="K244" s="193"/>
    </row>
    <row r="245" spans="1:11" x14ac:dyDescent="0.3">
      <c r="A245" s="193">
        <f t="shared" si="3"/>
        <v>229</v>
      </c>
      <c r="B245" s="193" t="s">
        <v>2306</v>
      </c>
      <c r="C245" s="193" t="s">
        <v>2309</v>
      </c>
      <c r="D245" s="193">
        <v>600</v>
      </c>
      <c r="E245" s="193"/>
      <c r="F245" s="193"/>
      <c r="G245" s="193" t="s">
        <v>13</v>
      </c>
      <c r="H245" s="120" t="s">
        <v>688</v>
      </c>
      <c r="I245" s="234">
        <v>233616105630</v>
      </c>
      <c r="J245" s="193" t="s">
        <v>2017</v>
      </c>
      <c r="K245" s="193"/>
    </row>
    <row r="246" spans="1:11" x14ac:dyDescent="0.3">
      <c r="A246" s="193">
        <f t="shared" si="3"/>
        <v>230</v>
      </c>
      <c r="B246" s="193" t="s">
        <v>2306</v>
      </c>
      <c r="C246" s="193" t="s">
        <v>2310</v>
      </c>
      <c r="D246" s="193">
        <v>800</v>
      </c>
      <c r="E246" s="193"/>
      <c r="F246" s="193"/>
      <c r="G246" s="193" t="s">
        <v>13</v>
      </c>
      <c r="H246" s="120" t="s">
        <v>688</v>
      </c>
      <c r="I246" s="234">
        <v>233616105640</v>
      </c>
      <c r="J246" s="193" t="s">
        <v>2017</v>
      </c>
      <c r="K246" s="193"/>
    </row>
    <row r="247" spans="1:11" x14ac:dyDescent="0.3">
      <c r="A247" s="193">
        <f t="shared" si="3"/>
        <v>231</v>
      </c>
      <c r="B247" s="193" t="s">
        <v>2306</v>
      </c>
      <c r="C247" s="193" t="s">
        <v>2311</v>
      </c>
      <c r="D247" s="193">
        <v>1000</v>
      </c>
      <c r="E247" s="193"/>
      <c r="F247" s="193"/>
      <c r="G247" s="193" t="s">
        <v>13</v>
      </c>
      <c r="H247" s="120" t="s">
        <v>688</v>
      </c>
      <c r="I247" s="234">
        <v>233616105650</v>
      </c>
      <c r="J247" s="193" t="s">
        <v>2017</v>
      </c>
      <c r="K247" s="193"/>
    </row>
    <row r="248" spans="1:11" x14ac:dyDescent="0.3">
      <c r="A248" s="193">
        <f t="shared" si="3"/>
        <v>232</v>
      </c>
      <c r="B248" s="193" t="s">
        <v>2306</v>
      </c>
      <c r="C248" s="193" t="s">
        <v>2312</v>
      </c>
      <c r="D248" s="193">
        <v>1250</v>
      </c>
      <c r="E248" s="193"/>
      <c r="F248" s="193"/>
      <c r="G248" s="193" t="s">
        <v>13</v>
      </c>
      <c r="H248" s="120" t="s">
        <v>688</v>
      </c>
      <c r="I248" s="234">
        <v>233616105660</v>
      </c>
      <c r="J248" s="193" t="s">
        <v>2017</v>
      </c>
      <c r="K248" s="193"/>
    </row>
    <row r="249" spans="1:11" x14ac:dyDescent="0.3">
      <c r="A249" s="193">
        <f t="shared" si="3"/>
        <v>233</v>
      </c>
      <c r="B249" s="193" t="s">
        <v>2306</v>
      </c>
      <c r="C249" s="193" t="s">
        <v>2313</v>
      </c>
      <c r="D249" s="193">
        <v>1500</v>
      </c>
      <c r="E249" s="193"/>
      <c r="F249" s="193"/>
      <c r="G249" s="193" t="s">
        <v>13</v>
      </c>
      <c r="H249" s="120" t="s">
        <v>688</v>
      </c>
      <c r="I249" s="234">
        <v>233616105670</v>
      </c>
      <c r="J249" s="193" t="s">
        <v>2017</v>
      </c>
      <c r="K249" s="193"/>
    </row>
    <row r="250" spans="1:11" x14ac:dyDescent="0.3">
      <c r="A250" s="193">
        <f t="shared" si="3"/>
        <v>234</v>
      </c>
      <c r="B250" s="193" t="s">
        <v>2306</v>
      </c>
      <c r="C250" s="193" t="s">
        <v>2314</v>
      </c>
      <c r="D250" s="193">
        <v>2000</v>
      </c>
      <c r="E250" s="193"/>
      <c r="F250" s="193"/>
      <c r="G250" s="193" t="s">
        <v>13</v>
      </c>
      <c r="H250" s="120" t="s">
        <v>688</v>
      </c>
      <c r="I250" s="234">
        <v>233616105680</v>
      </c>
      <c r="J250" s="193" t="s">
        <v>2017</v>
      </c>
      <c r="K250" s="193"/>
    </row>
    <row r="251" spans="1:11" x14ac:dyDescent="0.3">
      <c r="A251" s="193">
        <f t="shared" si="3"/>
        <v>235</v>
      </c>
      <c r="B251" s="193" t="s">
        <v>2306</v>
      </c>
      <c r="C251" s="193" t="s">
        <v>2315</v>
      </c>
      <c r="D251" s="193">
        <v>3000</v>
      </c>
      <c r="E251" s="193"/>
      <c r="F251" s="193"/>
      <c r="G251" s="193" t="s">
        <v>13</v>
      </c>
      <c r="H251" s="120" t="s">
        <v>688</v>
      </c>
      <c r="I251" s="234">
        <v>233616105684</v>
      </c>
      <c r="J251" s="193" t="s">
        <v>2017</v>
      </c>
      <c r="K251" s="193"/>
    </row>
    <row r="252" spans="1:11" x14ac:dyDescent="0.3">
      <c r="A252" s="193">
        <f t="shared" si="3"/>
        <v>236</v>
      </c>
      <c r="B252" s="193" t="s">
        <v>2316</v>
      </c>
      <c r="C252" s="193" t="s">
        <v>2317</v>
      </c>
      <c r="D252" s="193">
        <v>200</v>
      </c>
      <c r="E252" s="193"/>
      <c r="F252" s="193"/>
      <c r="G252" s="193" t="s">
        <v>13</v>
      </c>
      <c r="H252" s="120" t="s">
        <v>688</v>
      </c>
      <c r="I252" s="234">
        <v>233616105710</v>
      </c>
      <c r="J252" s="193" t="s">
        <v>2017</v>
      </c>
      <c r="K252" s="193"/>
    </row>
    <row r="253" spans="1:11" x14ac:dyDescent="0.3">
      <c r="A253" s="193">
        <f t="shared" si="3"/>
        <v>237</v>
      </c>
      <c r="B253" s="193" t="s">
        <v>2316</v>
      </c>
      <c r="C253" s="193" t="s">
        <v>2318</v>
      </c>
      <c r="D253" s="193">
        <v>400</v>
      </c>
      <c r="E253" s="193"/>
      <c r="F253" s="193"/>
      <c r="G253" s="193" t="s">
        <v>13</v>
      </c>
      <c r="H253" s="120" t="s">
        <v>688</v>
      </c>
      <c r="I253" s="234">
        <v>233616105720</v>
      </c>
      <c r="J253" s="193" t="s">
        <v>2017</v>
      </c>
      <c r="K253" s="193"/>
    </row>
    <row r="254" spans="1:11" x14ac:dyDescent="0.3">
      <c r="A254" s="193">
        <f t="shared" si="3"/>
        <v>238</v>
      </c>
      <c r="B254" s="193" t="s">
        <v>2316</v>
      </c>
      <c r="C254" s="193" t="s">
        <v>2319</v>
      </c>
      <c r="D254" s="193">
        <v>600</v>
      </c>
      <c r="E254" s="193"/>
      <c r="F254" s="193"/>
      <c r="G254" s="193" t="s">
        <v>13</v>
      </c>
      <c r="H254" s="120" t="s">
        <v>688</v>
      </c>
      <c r="I254" s="234">
        <v>233616105730</v>
      </c>
      <c r="J254" s="193" t="s">
        <v>2017</v>
      </c>
      <c r="K254" s="193"/>
    </row>
    <row r="255" spans="1:11" x14ac:dyDescent="0.3">
      <c r="A255" s="193">
        <f t="shared" si="3"/>
        <v>239</v>
      </c>
      <c r="B255" s="193" t="s">
        <v>2316</v>
      </c>
      <c r="C255" s="193" t="s">
        <v>2320</v>
      </c>
      <c r="D255" s="193">
        <v>800</v>
      </c>
      <c r="E255" s="193"/>
      <c r="F255" s="193"/>
      <c r="G255" s="193" t="s">
        <v>13</v>
      </c>
      <c r="H255" s="120" t="s">
        <v>688</v>
      </c>
      <c r="I255" s="234">
        <v>233616105740</v>
      </c>
      <c r="J255" s="193" t="s">
        <v>2017</v>
      </c>
      <c r="K255" s="193"/>
    </row>
    <row r="256" spans="1:11" x14ac:dyDescent="0.3">
      <c r="A256" s="193">
        <f t="shared" si="3"/>
        <v>240</v>
      </c>
      <c r="B256" s="193" t="s">
        <v>2316</v>
      </c>
      <c r="C256" s="193" t="s">
        <v>2321</v>
      </c>
      <c r="D256" s="193">
        <v>1000</v>
      </c>
      <c r="E256" s="193"/>
      <c r="F256" s="193"/>
      <c r="G256" s="193" t="s">
        <v>13</v>
      </c>
      <c r="H256" s="120" t="s">
        <v>688</v>
      </c>
      <c r="I256" s="234">
        <v>233616105750</v>
      </c>
      <c r="J256" s="193" t="s">
        <v>2017</v>
      </c>
      <c r="K256" s="193"/>
    </row>
    <row r="257" spans="1:11" x14ac:dyDescent="0.3">
      <c r="A257" s="193">
        <f t="shared" si="3"/>
        <v>241</v>
      </c>
      <c r="B257" s="193" t="s">
        <v>2316</v>
      </c>
      <c r="C257" s="193" t="s">
        <v>2322</v>
      </c>
      <c r="D257" s="193">
        <v>1250</v>
      </c>
      <c r="E257" s="193"/>
      <c r="F257" s="193"/>
      <c r="G257" s="193" t="s">
        <v>13</v>
      </c>
      <c r="H257" s="120" t="s">
        <v>688</v>
      </c>
      <c r="I257" s="234">
        <v>233616105760</v>
      </c>
      <c r="J257" s="193" t="s">
        <v>2017</v>
      </c>
      <c r="K257" s="193"/>
    </row>
    <row r="258" spans="1:11" x14ac:dyDescent="0.3">
      <c r="A258" s="193">
        <f t="shared" si="3"/>
        <v>242</v>
      </c>
      <c r="B258" s="193" t="s">
        <v>2316</v>
      </c>
      <c r="C258" s="193" t="s">
        <v>2323</v>
      </c>
      <c r="D258" s="193">
        <v>1500</v>
      </c>
      <c r="E258" s="193"/>
      <c r="F258" s="193"/>
      <c r="G258" s="193" t="s">
        <v>13</v>
      </c>
      <c r="H258" s="120" t="s">
        <v>688</v>
      </c>
      <c r="I258" s="234">
        <v>233616105770</v>
      </c>
      <c r="J258" s="193" t="s">
        <v>2017</v>
      </c>
      <c r="K258" s="193"/>
    </row>
    <row r="259" spans="1:11" x14ac:dyDescent="0.3">
      <c r="A259" s="193">
        <f t="shared" si="3"/>
        <v>243</v>
      </c>
      <c r="B259" s="193" t="s">
        <v>2316</v>
      </c>
      <c r="C259" s="193" t="s">
        <v>2324</v>
      </c>
      <c r="D259" s="193">
        <v>2000</v>
      </c>
      <c r="E259" s="193"/>
      <c r="F259" s="193"/>
      <c r="G259" s="193" t="s">
        <v>13</v>
      </c>
      <c r="H259" s="120" t="s">
        <v>688</v>
      </c>
      <c r="I259" s="234">
        <v>233616105780</v>
      </c>
      <c r="J259" s="193" t="s">
        <v>2017</v>
      </c>
      <c r="K259" s="193"/>
    </row>
    <row r="260" spans="1:11" x14ac:dyDescent="0.3">
      <c r="A260" s="193">
        <f t="shared" ref="A260:A322" si="4">A259+1</f>
        <v>244</v>
      </c>
      <c r="B260" s="193" t="s">
        <v>2325</v>
      </c>
      <c r="C260" s="193" t="s">
        <v>2326</v>
      </c>
      <c r="D260" s="193">
        <v>200</v>
      </c>
      <c r="E260" s="193"/>
      <c r="F260" s="193"/>
      <c r="G260" s="193" t="s">
        <v>13</v>
      </c>
      <c r="H260" s="120" t="s">
        <v>688</v>
      </c>
      <c r="I260" s="234">
        <v>233616105810</v>
      </c>
      <c r="J260" s="193" t="s">
        <v>2017</v>
      </c>
      <c r="K260" s="193"/>
    </row>
    <row r="261" spans="1:11" x14ac:dyDescent="0.3">
      <c r="A261" s="193">
        <f t="shared" si="4"/>
        <v>245</v>
      </c>
      <c r="B261" s="193" t="s">
        <v>2325</v>
      </c>
      <c r="C261" s="193" t="s">
        <v>2327</v>
      </c>
      <c r="D261" s="193">
        <v>400</v>
      </c>
      <c r="E261" s="193"/>
      <c r="F261" s="193"/>
      <c r="G261" s="193" t="s">
        <v>13</v>
      </c>
      <c r="H261" s="120" t="s">
        <v>688</v>
      </c>
      <c r="I261" s="234">
        <v>233616105820</v>
      </c>
      <c r="J261" s="193" t="s">
        <v>2017</v>
      </c>
      <c r="K261" s="193"/>
    </row>
    <row r="262" spans="1:11" x14ac:dyDescent="0.3">
      <c r="A262" s="193">
        <f t="shared" si="4"/>
        <v>246</v>
      </c>
      <c r="B262" s="193" t="s">
        <v>2325</v>
      </c>
      <c r="C262" s="193" t="s">
        <v>2328</v>
      </c>
      <c r="D262" s="193">
        <v>600</v>
      </c>
      <c r="E262" s="193"/>
      <c r="F262" s="193"/>
      <c r="G262" s="193" t="s">
        <v>13</v>
      </c>
      <c r="H262" s="120" t="s">
        <v>688</v>
      </c>
      <c r="I262" s="234">
        <v>233616105830</v>
      </c>
      <c r="J262" s="193" t="s">
        <v>2017</v>
      </c>
      <c r="K262" s="193"/>
    </row>
    <row r="263" spans="1:11" x14ac:dyDescent="0.3">
      <c r="A263" s="193">
        <f t="shared" si="4"/>
        <v>247</v>
      </c>
      <c r="B263" s="193" t="s">
        <v>2325</v>
      </c>
      <c r="C263" s="193" t="s">
        <v>2329</v>
      </c>
      <c r="D263" s="193">
        <v>800</v>
      </c>
      <c r="E263" s="193"/>
      <c r="F263" s="193"/>
      <c r="G263" s="193" t="s">
        <v>13</v>
      </c>
      <c r="H263" s="120" t="s">
        <v>688</v>
      </c>
      <c r="I263" s="234">
        <v>233616105840</v>
      </c>
      <c r="J263" s="193" t="s">
        <v>2017</v>
      </c>
      <c r="K263" s="193"/>
    </row>
    <row r="264" spans="1:11" x14ac:dyDescent="0.3">
      <c r="A264" s="193">
        <f t="shared" si="4"/>
        <v>248</v>
      </c>
      <c r="B264" s="193" t="s">
        <v>2325</v>
      </c>
      <c r="C264" s="193" t="s">
        <v>2330</v>
      </c>
      <c r="D264" s="193">
        <v>1000</v>
      </c>
      <c r="E264" s="193"/>
      <c r="F264" s="193"/>
      <c r="G264" s="193" t="s">
        <v>13</v>
      </c>
      <c r="H264" s="120" t="s">
        <v>688</v>
      </c>
      <c r="I264" s="234">
        <v>233616105850</v>
      </c>
      <c r="J264" s="193" t="s">
        <v>2017</v>
      </c>
      <c r="K264" s="193"/>
    </row>
    <row r="265" spans="1:11" x14ac:dyDescent="0.3">
      <c r="A265" s="193">
        <f t="shared" si="4"/>
        <v>249</v>
      </c>
      <c r="B265" s="193" t="s">
        <v>2325</v>
      </c>
      <c r="C265" s="193" t="s">
        <v>2331</v>
      </c>
      <c r="D265" s="193">
        <v>1250</v>
      </c>
      <c r="E265" s="193"/>
      <c r="F265" s="193"/>
      <c r="G265" s="193" t="s">
        <v>13</v>
      </c>
      <c r="H265" s="120" t="s">
        <v>688</v>
      </c>
      <c r="I265" s="234">
        <v>233616105860</v>
      </c>
      <c r="J265" s="193" t="s">
        <v>2017</v>
      </c>
      <c r="K265" s="193"/>
    </row>
    <row r="266" spans="1:11" x14ac:dyDescent="0.3">
      <c r="A266" s="193">
        <f t="shared" si="4"/>
        <v>250</v>
      </c>
      <c r="B266" s="193" t="s">
        <v>2325</v>
      </c>
      <c r="C266" s="193" t="s">
        <v>2332</v>
      </c>
      <c r="D266" s="193">
        <v>1500</v>
      </c>
      <c r="E266" s="193"/>
      <c r="F266" s="193"/>
      <c r="G266" s="193" t="s">
        <v>13</v>
      </c>
      <c r="H266" s="120" t="s">
        <v>688</v>
      </c>
      <c r="I266" s="234">
        <v>233616105870</v>
      </c>
      <c r="J266" s="193" t="s">
        <v>2017</v>
      </c>
      <c r="K266" s="193"/>
    </row>
    <row r="267" spans="1:11" x14ac:dyDescent="0.3">
      <c r="A267" s="193">
        <f t="shared" si="4"/>
        <v>251</v>
      </c>
      <c r="B267" s="193" t="s">
        <v>2325</v>
      </c>
      <c r="C267" s="193" t="s">
        <v>2333</v>
      </c>
      <c r="D267" s="193">
        <v>2000</v>
      </c>
      <c r="E267" s="193"/>
      <c r="F267" s="193"/>
      <c r="G267" s="193" t="s">
        <v>13</v>
      </c>
      <c r="H267" s="120" t="s">
        <v>688</v>
      </c>
      <c r="I267" s="234">
        <v>233616105880</v>
      </c>
      <c r="J267" s="193" t="s">
        <v>2017</v>
      </c>
      <c r="K267" s="193"/>
    </row>
    <row r="268" spans="1:11" x14ac:dyDescent="0.3">
      <c r="A268" s="193">
        <v>253</v>
      </c>
      <c r="B268" s="193" t="s">
        <v>2334</v>
      </c>
      <c r="C268" s="193" t="s">
        <v>2335</v>
      </c>
      <c r="D268" s="193">
        <v>64</v>
      </c>
      <c r="E268" s="193"/>
      <c r="F268" s="193"/>
      <c r="G268" s="193" t="s">
        <v>13</v>
      </c>
      <c r="H268" s="120" t="s">
        <v>688</v>
      </c>
      <c r="I268" s="199">
        <v>233713100520</v>
      </c>
      <c r="J268" s="193" t="s">
        <v>2017</v>
      </c>
      <c r="K268" s="193"/>
    </row>
    <row r="269" spans="1:11" x14ac:dyDescent="0.3">
      <c r="A269" s="193">
        <f t="shared" si="4"/>
        <v>254</v>
      </c>
      <c r="B269" s="193" t="s">
        <v>2334</v>
      </c>
      <c r="C269" s="193" t="s">
        <v>2336</v>
      </c>
      <c r="D269" s="193">
        <v>36</v>
      </c>
      <c r="E269" s="193"/>
      <c r="F269" s="193"/>
      <c r="G269" s="193" t="s">
        <v>13</v>
      </c>
      <c r="H269" s="120" t="s">
        <v>688</v>
      </c>
      <c r="I269" s="199">
        <v>233713102000</v>
      </c>
      <c r="J269" s="193" t="s">
        <v>2017</v>
      </c>
      <c r="K269" s="193"/>
    </row>
    <row r="270" spans="1:11" x14ac:dyDescent="0.3">
      <c r="A270" s="193">
        <f t="shared" si="4"/>
        <v>255</v>
      </c>
      <c r="B270" s="193" t="s">
        <v>2337</v>
      </c>
      <c r="C270" s="193" t="s">
        <v>2338</v>
      </c>
      <c r="D270" s="193">
        <v>0.25</v>
      </c>
      <c r="E270" s="193"/>
      <c r="F270" s="193"/>
      <c r="G270" s="193" t="s">
        <v>13</v>
      </c>
      <c r="H270" s="120" t="s">
        <v>688</v>
      </c>
      <c r="I270" s="199">
        <v>238216100140</v>
      </c>
      <c r="J270" s="193" t="s">
        <v>2017</v>
      </c>
      <c r="K270" s="193"/>
    </row>
    <row r="271" spans="1:11" x14ac:dyDescent="0.3">
      <c r="A271" s="193">
        <f t="shared" si="4"/>
        <v>256</v>
      </c>
      <c r="B271" s="193" t="s">
        <v>2337</v>
      </c>
      <c r="C271" s="193" t="s">
        <v>2339</v>
      </c>
      <c r="D271" s="193">
        <v>0.5</v>
      </c>
      <c r="E271" s="193"/>
      <c r="F271" s="193"/>
      <c r="G271" s="193" t="s">
        <v>13</v>
      </c>
      <c r="H271" s="120" t="s">
        <v>688</v>
      </c>
      <c r="I271" s="199">
        <v>238216100150</v>
      </c>
      <c r="J271" s="193" t="s">
        <v>2017</v>
      </c>
      <c r="K271" s="193"/>
    </row>
    <row r="272" spans="1:11" x14ac:dyDescent="0.3">
      <c r="A272" s="193">
        <f t="shared" si="4"/>
        <v>257</v>
      </c>
      <c r="B272" s="193" t="s">
        <v>2337</v>
      </c>
      <c r="C272" s="193" t="s">
        <v>2340</v>
      </c>
      <c r="D272" s="193">
        <v>1</v>
      </c>
      <c r="E272" s="193"/>
      <c r="F272" s="193"/>
      <c r="G272" s="193" t="s">
        <v>13</v>
      </c>
      <c r="H272" s="120" t="s">
        <v>688</v>
      </c>
      <c r="I272" s="199">
        <v>238216100160</v>
      </c>
      <c r="J272" s="193" t="s">
        <v>2017</v>
      </c>
      <c r="K272" s="193"/>
    </row>
    <row r="273" spans="1:11" x14ac:dyDescent="0.3">
      <c r="A273" s="193">
        <f t="shared" si="4"/>
        <v>258</v>
      </c>
      <c r="B273" s="193" t="s">
        <v>2337</v>
      </c>
      <c r="C273" s="193" t="s">
        <v>2341</v>
      </c>
      <c r="D273" s="193">
        <v>1.61</v>
      </c>
      <c r="E273" s="193"/>
      <c r="F273" s="193"/>
      <c r="G273" s="193" t="s">
        <v>13</v>
      </c>
      <c r="H273" s="120" t="s">
        <v>688</v>
      </c>
      <c r="I273" s="199">
        <v>238216100170</v>
      </c>
      <c r="J273" s="193" t="s">
        <v>2017</v>
      </c>
      <c r="K273" s="193"/>
    </row>
    <row r="274" spans="1:11" x14ac:dyDescent="0.3">
      <c r="A274" s="193">
        <f t="shared" si="4"/>
        <v>259</v>
      </c>
      <c r="B274" s="193" t="s">
        <v>2337</v>
      </c>
      <c r="C274" s="193" t="s">
        <v>2342</v>
      </c>
      <c r="D274" s="193">
        <v>0.4</v>
      </c>
      <c r="E274" s="193"/>
      <c r="F274" s="193"/>
      <c r="G274" s="193" t="s">
        <v>13</v>
      </c>
      <c r="H274" s="120" t="s">
        <v>688</v>
      </c>
      <c r="I274" s="199">
        <v>238216100180</v>
      </c>
      <c r="J274" s="193" t="s">
        <v>2017</v>
      </c>
      <c r="K274" s="193"/>
    </row>
    <row r="275" spans="1:11" x14ac:dyDescent="0.3">
      <c r="A275" s="193">
        <f t="shared" si="4"/>
        <v>260</v>
      </c>
      <c r="B275" s="193" t="s">
        <v>2337</v>
      </c>
      <c r="C275" s="193" t="s">
        <v>2343</v>
      </c>
      <c r="D275" s="193">
        <v>0.8</v>
      </c>
      <c r="E275" s="193"/>
      <c r="F275" s="193"/>
      <c r="G275" s="193" t="s">
        <v>13</v>
      </c>
      <c r="H275" s="120" t="s">
        <v>688</v>
      </c>
      <c r="I275" s="199">
        <v>238216100190</v>
      </c>
      <c r="J275" s="193" t="s">
        <v>2017</v>
      </c>
      <c r="K275" s="193"/>
    </row>
    <row r="276" spans="1:11" x14ac:dyDescent="0.3">
      <c r="A276" s="193">
        <f t="shared" si="4"/>
        <v>261</v>
      </c>
      <c r="B276" s="193" t="s">
        <v>2337</v>
      </c>
      <c r="C276" s="193" t="s">
        <v>2344</v>
      </c>
      <c r="D276" s="193">
        <v>1.6</v>
      </c>
      <c r="E276" s="193"/>
      <c r="F276" s="193"/>
      <c r="G276" s="193" t="s">
        <v>13</v>
      </c>
      <c r="H276" s="120" t="s">
        <v>688</v>
      </c>
      <c r="I276" s="199">
        <v>238216100200</v>
      </c>
      <c r="J276" s="193" t="s">
        <v>2017</v>
      </c>
      <c r="K276" s="193"/>
    </row>
    <row r="277" spans="1:11" x14ac:dyDescent="0.3">
      <c r="A277" s="193">
        <f t="shared" si="4"/>
        <v>262</v>
      </c>
      <c r="B277" s="193" t="s">
        <v>2337</v>
      </c>
      <c r="C277" s="193" t="s">
        <v>2345</v>
      </c>
      <c r="D277" s="193">
        <v>2.4</v>
      </c>
      <c r="E277" s="193"/>
      <c r="F277" s="193"/>
      <c r="G277" s="193" t="s">
        <v>13</v>
      </c>
      <c r="H277" s="120" t="s">
        <v>688</v>
      </c>
      <c r="I277" s="199">
        <v>238216100210</v>
      </c>
      <c r="J277" s="193" t="s">
        <v>2017</v>
      </c>
      <c r="K277" s="193"/>
    </row>
    <row r="278" spans="1:11" x14ac:dyDescent="0.3">
      <c r="A278" s="193">
        <f t="shared" si="4"/>
        <v>263</v>
      </c>
      <c r="B278" s="193" t="s">
        <v>2337</v>
      </c>
      <c r="C278" s="193" t="s">
        <v>2346</v>
      </c>
      <c r="D278" s="193">
        <v>0.67</v>
      </c>
      <c r="E278" s="193"/>
      <c r="F278" s="193"/>
      <c r="G278" s="193" t="s">
        <v>13</v>
      </c>
      <c r="H278" s="120" t="s">
        <v>688</v>
      </c>
      <c r="I278" s="199">
        <v>238216100220</v>
      </c>
      <c r="J278" s="193" t="s">
        <v>2017</v>
      </c>
      <c r="K278" s="193"/>
    </row>
    <row r="279" spans="1:11" x14ac:dyDescent="0.3">
      <c r="A279" s="193">
        <f t="shared" si="4"/>
        <v>264</v>
      </c>
      <c r="B279" s="193" t="s">
        <v>2337</v>
      </c>
      <c r="C279" s="193" t="s">
        <v>2347</v>
      </c>
      <c r="D279" s="193">
        <v>1.34</v>
      </c>
      <c r="E279" s="193"/>
      <c r="F279" s="193"/>
      <c r="G279" s="193" t="s">
        <v>13</v>
      </c>
      <c r="H279" s="120" t="s">
        <v>688</v>
      </c>
      <c r="I279" s="199">
        <v>238216100230</v>
      </c>
      <c r="J279" s="193" t="s">
        <v>2017</v>
      </c>
      <c r="K279" s="193"/>
    </row>
    <row r="280" spans="1:11" x14ac:dyDescent="0.3">
      <c r="A280" s="193">
        <f t="shared" si="4"/>
        <v>265</v>
      </c>
      <c r="B280" s="193" t="s">
        <v>2337</v>
      </c>
      <c r="C280" s="193" t="s">
        <v>2348</v>
      </c>
      <c r="D280" s="193">
        <v>2.68</v>
      </c>
      <c r="E280" s="193"/>
      <c r="F280" s="193"/>
      <c r="G280" s="193" t="s">
        <v>13</v>
      </c>
      <c r="H280" s="120" t="s">
        <v>688</v>
      </c>
      <c r="I280" s="199">
        <v>238216100240</v>
      </c>
      <c r="J280" s="193" t="s">
        <v>2017</v>
      </c>
      <c r="K280" s="193"/>
    </row>
    <row r="281" spans="1:11" x14ac:dyDescent="0.3">
      <c r="A281" s="193">
        <f t="shared" si="4"/>
        <v>266</v>
      </c>
      <c r="B281" s="193" t="s">
        <v>2337</v>
      </c>
      <c r="C281" s="193" t="s">
        <v>2349</v>
      </c>
      <c r="D281" s="193">
        <v>4</v>
      </c>
      <c r="E281" s="193"/>
      <c r="F281" s="193"/>
      <c r="G281" s="193" t="s">
        <v>13</v>
      </c>
      <c r="H281" s="120" t="s">
        <v>688</v>
      </c>
      <c r="I281" s="199">
        <v>238216100250</v>
      </c>
      <c r="J281" s="193" t="s">
        <v>2017</v>
      </c>
      <c r="K281" s="193"/>
    </row>
    <row r="282" spans="1:11" x14ac:dyDescent="0.3">
      <c r="A282" s="193">
        <f t="shared" si="4"/>
        <v>267</v>
      </c>
      <c r="B282" s="193" t="s">
        <v>2337</v>
      </c>
      <c r="C282" s="193" t="s">
        <v>2350</v>
      </c>
      <c r="D282" s="193">
        <v>0.8</v>
      </c>
      <c r="E282" s="193"/>
      <c r="F282" s="193"/>
      <c r="G282" s="193" t="s">
        <v>13</v>
      </c>
      <c r="H282" s="120" t="s">
        <v>688</v>
      </c>
      <c r="I282" s="199">
        <v>238216100260</v>
      </c>
      <c r="J282" s="193" t="s">
        <v>2017</v>
      </c>
      <c r="K282" s="193"/>
    </row>
    <row r="283" spans="1:11" x14ac:dyDescent="0.3">
      <c r="A283" s="193">
        <f t="shared" si="4"/>
        <v>268</v>
      </c>
      <c r="B283" s="193" t="s">
        <v>2337</v>
      </c>
      <c r="C283" s="193" t="s">
        <v>2351</v>
      </c>
      <c r="D283" s="193">
        <v>1.61</v>
      </c>
      <c r="E283" s="193"/>
      <c r="F283" s="193"/>
      <c r="G283" s="193" t="s">
        <v>13</v>
      </c>
      <c r="H283" s="120" t="s">
        <v>688</v>
      </c>
      <c r="I283" s="199">
        <v>238216100270</v>
      </c>
      <c r="J283" s="193" t="s">
        <v>2017</v>
      </c>
      <c r="K283" s="193"/>
    </row>
    <row r="284" spans="1:11" x14ac:dyDescent="0.3">
      <c r="A284" s="193">
        <f t="shared" si="4"/>
        <v>269</v>
      </c>
      <c r="B284" s="193" t="s">
        <v>2337</v>
      </c>
      <c r="C284" s="193" t="s">
        <v>2352</v>
      </c>
      <c r="D284" s="193">
        <v>3.22</v>
      </c>
      <c r="E284" s="193"/>
      <c r="F284" s="193"/>
      <c r="G284" s="193" t="s">
        <v>13</v>
      </c>
      <c r="H284" s="120" t="s">
        <v>688</v>
      </c>
      <c r="I284" s="199">
        <v>238216100280</v>
      </c>
      <c r="J284" s="193" t="s">
        <v>2017</v>
      </c>
      <c r="K284" s="193"/>
    </row>
    <row r="285" spans="1:11" x14ac:dyDescent="0.3">
      <c r="A285" s="193">
        <f t="shared" si="4"/>
        <v>270</v>
      </c>
      <c r="B285" s="193" t="s">
        <v>2337</v>
      </c>
      <c r="C285" s="193" t="s">
        <v>2353</v>
      </c>
      <c r="D285" s="193">
        <v>4.83</v>
      </c>
      <c r="E285" s="193"/>
      <c r="F285" s="193"/>
      <c r="G285" s="193" t="s">
        <v>13</v>
      </c>
      <c r="H285" s="120" t="s">
        <v>688</v>
      </c>
      <c r="I285" s="199">
        <v>238216100290</v>
      </c>
      <c r="J285" s="193" t="s">
        <v>2017</v>
      </c>
      <c r="K285" s="193"/>
    </row>
    <row r="286" spans="1:11" x14ac:dyDescent="0.3">
      <c r="A286" s="193">
        <f t="shared" si="4"/>
        <v>271</v>
      </c>
      <c r="B286" s="193" t="s">
        <v>2337</v>
      </c>
      <c r="C286" s="193" t="s">
        <v>2354</v>
      </c>
      <c r="D286" s="193">
        <v>1.43</v>
      </c>
      <c r="E286" s="193"/>
      <c r="F286" s="193"/>
      <c r="G286" s="193" t="s">
        <v>13</v>
      </c>
      <c r="H286" s="120" t="s">
        <v>688</v>
      </c>
      <c r="I286" s="199">
        <v>238216100300</v>
      </c>
      <c r="J286" s="193" t="s">
        <v>2017</v>
      </c>
      <c r="K286" s="193"/>
    </row>
    <row r="287" spans="1:11" x14ac:dyDescent="0.3">
      <c r="A287" s="193">
        <f t="shared" si="4"/>
        <v>272</v>
      </c>
      <c r="B287" s="193" t="s">
        <v>2337</v>
      </c>
      <c r="C287" s="193" t="s">
        <v>2355</v>
      </c>
      <c r="D287" s="193">
        <v>2.14</v>
      </c>
      <c r="E287" s="193"/>
      <c r="F287" s="193"/>
      <c r="G287" s="193" t="s">
        <v>13</v>
      </c>
      <c r="H287" s="120" t="s">
        <v>688</v>
      </c>
      <c r="I287" s="199">
        <v>238216100310</v>
      </c>
      <c r="J287" s="193" t="s">
        <v>2017</v>
      </c>
      <c r="K287" s="193"/>
    </row>
    <row r="288" spans="1:11" x14ac:dyDescent="0.3">
      <c r="A288" s="193">
        <f t="shared" si="4"/>
        <v>273</v>
      </c>
      <c r="B288" s="193" t="s">
        <v>2337</v>
      </c>
      <c r="C288" s="193" t="s">
        <v>2356</v>
      </c>
      <c r="D288" s="193">
        <v>4.3</v>
      </c>
      <c r="E288" s="193"/>
      <c r="F288" s="193"/>
      <c r="G288" s="193" t="s">
        <v>13</v>
      </c>
      <c r="H288" s="120" t="s">
        <v>688</v>
      </c>
      <c r="I288" s="199">
        <v>238216100320</v>
      </c>
      <c r="J288" s="193" t="s">
        <v>2017</v>
      </c>
      <c r="K288" s="193"/>
    </row>
    <row r="289" spans="1:11" x14ac:dyDescent="0.3">
      <c r="A289" s="193">
        <f t="shared" si="4"/>
        <v>274</v>
      </c>
      <c r="B289" s="193" t="s">
        <v>2337</v>
      </c>
      <c r="C289" s="193" t="s">
        <v>2357</v>
      </c>
      <c r="D289" s="193">
        <v>6.44</v>
      </c>
      <c r="E289" s="193"/>
      <c r="F289" s="193"/>
      <c r="G289" s="193" t="s">
        <v>13</v>
      </c>
      <c r="H289" s="120" t="s">
        <v>688</v>
      </c>
      <c r="I289" s="199">
        <v>238216100330</v>
      </c>
      <c r="J289" s="193" t="s">
        <v>2017</v>
      </c>
      <c r="K289" s="193"/>
    </row>
    <row r="290" spans="1:11" x14ac:dyDescent="0.3">
      <c r="A290" s="193">
        <f t="shared" si="4"/>
        <v>275</v>
      </c>
      <c r="B290" s="193" t="s">
        <v>2337</v>
      </c>
      <c r="C290" s="193" t="s">
        <v>2358</v>
      </c>
      <c r="D290" s="193">
        <v>2.68</v>
      </c>
      <c r="E290" s="193"/>
      <c r="F290" s="193"/>
      <c r="G290" s="193" t="s">
        <v>13</v>
      </c>
      <c r="H290" s="120" t="s">
        <v>688</v>
      </c>
      <c r="I290" s="199">
        <v>238216100340</v>
      </c>
      <c r="J290" s="193" t="s">
        <v>2017</v>
      </c>
      <c r="K290" s="193"/>
    </row>
    <row r="291" spans="1:11" x14ac:dyDescent="0.3">
      <c r="A291" s="193">
        <f t="shared" si="4"/>
        <v>276</v>
      </c>
      <c r="B291" s="193" t="s">
        <v>2337</v>
      </c>
      <c r="C291" s="193" t="s">
        <v>2359</v>
      </c>
      <c r="D291" s="193">
        <v>5.37</v>
      </c>
      <c r="E291" s="193"/>
      <c r="F291" s="193"/>
      <c r="G291" s="193" t="s">
        <v>13</v>
      </c>
      <c r="H291" s="120" t="s">
        <v>688</v>
      </c>
      <c r="I291" s="199">
        <v>238216100350</v>
      </c>
      <c r="J291" s="193" t="s">
        <v>2017</v>
      </c>
      <c r="K291" s="193"/>
    </row>
    <row r="292" spans="1:11" x14ac:dyDescent="0.3">
      <c r="A292" s="193">
        <f t="shared" si="4"/>
        <v>277</v>
      </c>
      <c r="B292" s="193" t="s">
        <v>2337</v>
      </c>
      <c r="C292" s="193" t="s">
        <v>2360</v>
      </c>
      <c r="D292" s="193">
        <v>8</v>
      </c>
      <c r="E292" s="193"/>
      <c r="F292" s="193"/>
      <c r="G292" s="193" t="s">
        <v>13</v>
      </c>
      <c r="H292" s="120" t="s">
        <v>688</v>
      </c>
      <c r="I292" s="199">
        <v>238216100360</v>
      </c>
      <c r="J292" s="193" t="s">
        <v>2017</v>
      </c>
      <c r="K292" s="193"/>
    </row>
    <row r="293" spans="1:11" x14ac:dyDescent="0.3">
      <c r="A293" s="193">
        <f t="shared" si="4"/>
        <v>278</v>
      </c>
      <c r="B293" s="193" t="s">
        <v>2337</v>
      </c>
      <c r="C293" s="193" t="s">
        <v>2361</v>
      </c>
      <c r="D293" s="193">
        <v>3.22</v>
      </c>
      <c r="E293" s="193"/>
      <c r="F293" s="193"/>
      <c r="G293" s="193" t="s">
        <v>13</v>
      </c>
      <c r="H293" s="120" t="s">
        <v>688</v>
      </c>
      <c r="I293" s="199">
        <v>238216100370</v>
      </c>
      <c r="J293" s="193" t="s">
        <v>2017</v>
      </c>
      <c r="K293" s="193"/>
    </row>
    <row r="294" spans="1:11" x14ac:dyDescent="0.3">
      <c r="A294" s="193">
        <f t="shared" si="4"/>
        <v>279</v>
      </c>
      <c r="B294" s="193" t="s">
        <v>2337</v>
      </c>
      <c r="C294" s="193" t="s">
        <v>2362</v>
      </c>
      <c r="D294" s="193">
        <v>6.44</v>
      </c>
      <c r="E294" s="193"/>
      <c r="F294" s="193"/>
      <c r="G294" s="193" t="s">
        <v>13</v>
      </c>
      <c r="H294" s="120" t="s">
        <v>688</v>
      </c>
      <c r="I294" s="199">
        <v>238216100380</v>
      </c>
      <c r="J294" s="193" t="s">
        <v>2017</v>
      </c>
      <c r="K294" s="193"/>
    </row>
    <row r="295" spans="1:11" x14ac:dyDescent="0.3">
      <c r="A295" s="193">
        <f t="shared" si="4"/>
        <v>280</v>
      </c>
      <c r="B295" s="193" t="s">
        <v>2337</v>
      </c>
      <c r="C295" s="193" t="s">
        <v>2363</v>
      </c>
      <c r="D295" s="193">
        <v>9.66</v>
      </c>
      <c r="E295" s="193"/>
      <c r="F295" s="193"/>
      <c r="G295" s="193" t="s">
        <v>13</v>
      </c>
      <c r="H295" s="120" t="s">
        <v>688</v>
      </c>
      <c r="I295" s="199">
        <v>238216100390</v>
      </c>
      <c r="J295" s="193" t="s">
        <v>2017</v>
      </c>
      <c r="K295" s="193"/>
    </row>
    <row r="296" spans="1:11" x14ac:dyDescent="0.3">
      <c r="A296" s="193">
        <f t="shared" si="4"/>
        <v>281</v>
      </c>
      <c r="B296" s="193" t="s">
        <v>2337</v>
      </c>
      <c r="C296" s="193" t="s">
        <v>2364</v>
      </c>
      <c r="D296" s="193">
        <v>4.7</v>
      </c>
      <c r="E296" s="193"/>
      <c r="F296" s="193"/>
      <c r="G296" s="193" t="s">
        <v>13</v>
      </c>
      <c r="H296" s="120" t="s">
        <v>688</v>
      </c>
      <c r="I296" s="199">
        <v>238216100400</v>
      </c>
      <c r="J296" s="193" t="s">
        <v>2017</v>
      </c>
      <c r="K296" s="193"/>
    </row>
    <row r="297" spans="1:11" x14ac:dyDescent="0.3">
      <c r="A297" s="193">
        <f t="shared" si="4"/>
        <v>282</v>
      </c>
      <c r="B297" s="193" t="s">
        <v>2337</v>
      </c>
      <c r="C297" s="193" t="s">
        <v>2365</v>
      </c>
      <c r="D297" s="193">
        <v>8</v>
      </c>
      <c r="E297" s="193"/>
      <c r="F297" s="193"/>
      <c r="G297" s="193" t="s">
        <v>13</v>
      </c>
      <c r="H297" s="120" t="s">
        <v>688</v>
      </c>
      <c r="I297" s="199">
        <v>238216100410</v>
      </c>
      <c r="J297" s="193" t="s">
        <v>2017</v>
      </c>
      <c r="K297" s="193"/>
    </row>
    <row r="298" spans="1:11" x14ac:dyDescent="0.3">
      <c r="A298" s="193">
        <f t="shared" si="4"/>
        <v>283</v>
      </c>
      <c r="B298" s="193" t="s">
        <v>2337</v>
      </c>
      <c r="C298" s="193" t="s">
        <v>2366</v>
      </c>
      <c r="D298" s="193">
        <v>12.1</v>
      </c>
      <c r="E298" s="193"/>
      <c r="F298" s="193"/>
      <c r="G298" s="193" t="s">
        <v>13</v>
      </c>
      <c r="H298" s="120" t="s">
        <v>688</v>
      </c>
      <c r="I298" s="199">
        <v>238216100420</v>
      </c>
      <c r="J298" s="193" t="s">
        <v>2017</v>
      </c>
      <c r="K298" s="193"/>
    </row>
    <row r="299" spans="1:11" x14ac:dyDescent="0.3">
      <c r="A299" s="193">
        <f t="shared" si="4"/>
        <v>284</v>
      </c>
      <c r="B299" s="193" t="s">
        <v>2337</v>
      </c>
      <c r="C299" s="193" t="s">
        <v>2367</v>
      </c>
      <c r="D299" s="193">
        <v>14.1</v>
      </c>
      <c r="E299" s="193"/>
      <c r="F299" s="193"/>
      <c r="G299" s="193" t="s">
        <v>13</v>
      </c>
      <c r="H299" s="120" t="s">
        <v>688</v>
      </c>
      <c r="I299" s="199">
        <v>238216100430</v>
      </c>
      <c r="J299" s="193" t="s">
        <v>2017</v>
      </c>
      <c r="K299" s="193"/>
    </row>
    <row r="300" spans="1:11" x14ac:dyDescent="0.3">
      <c r="A300" s="193">
        <f t="shared" si="4"/>
        <v>285</v>
      </c>
      <c r="B300" s="193" t="s">
        <v>2337</v>
      </c>
      <c r="C300" s="193" t="s">
        <v>2368</v>
      </c>
      <c r="D300" s="193">
        <v>6.1</v>
      </c>
      <c r="E300" s="193"/>
      <c r="F300" s="193"/>
      <c r="G300" s="193" t="s">
        <v>13</v>
      </c>
      <c r="H300" s="120" t="s">
        <v>688</v>
      </c>
      <c r="I300" s="199">
        <v>238216100440</v>
      </c>
      <c r="J300" s="193" t="s">
        <v>2017</v>
      </c>
      <c r="K300" s="193"/>
    </row>
    <row r="301" spans="1:11" x14ac:dyDescent="0.3">
      <c r="A301" s="193">
        <f t="shared" si="4"/>
        <v>286</v>
      </c>
      <c r="B301" s="193" t="s">
        <v>2337</v>
      </c>
      <c r="C301" s="193" t="s">
        <v>2369</v>
      </c>
      <c r="D301" s="193">
        <v>9.1199999999999992</v>
      </c>
      <c r="E301" s="193"/>
      <c r="F301" s="193"/>
      <c r="G301" s="193" t="s">
        <v>13</v>
      </c>
      <c r="H301" s="120" t="s">
        <v>688</v>
      </c>
      <c r="I301" s="199">
        <v>238216100450</v>
      </c>
      <c r="J301" s="193" t="s">
        <v>2017</v>
      </c>
      <c r="K301" s="193"/>
    </row>
    <row r="302" spans="1:11" x14ac:dyDescent="0.3">
      <c r="A302" s="193">
        <f t="shared" si="4"/>
        <v>287</v>
      </c>
      <c r="B302" s="193" t="s">
        <v>2337</v>
      </c>
      <c r="C302" s="193" t="s">
        <v>2370</v>
      </c>
      <c r="D302" s="193">
        <v>13.69</v>
      </c>
      <c r="E302" s="193"/>
      <c r="F302" s="193"/>
      <c r="G302" s="193" t="s">
        <v>13</v>
      </c>
      <c r="H302" s="120" t="s">
        <v>688</v>
      </c>
      <c r="I302" s="199">
        <v>238216100460</v>
      </c>
      <c r="J302" s="193" t="s">
        <v>2017</v>
      </c>
      <c r="K302" s="193"/>
    </row>
    <row r="303" spans="1:11" x14ac:dyDescent="0.3">
      <c r="A303" s="193">
        <f t="shared" si="4"/>
        <v>288</v>
      </c>
      <c r="B303" s="193" t="s">
        <v>2337</v>
      </c>
      <c r="C303" s="193" t="s">
        <v>2371</v>
      </c>
      <c r="D303" s="193">
        <v>16</v>
      </c>
      <c r="E303" s="193"/>
      <c r="F303" s="193"/>
      <c r="G303" s="193" t="s">
        <v>13</v>
      </c>
      <c r="H303" s="120" t="s">
        <v>688</v>
      </c>
      <c r="I303" s="199">
        <v>238216100470</v>
      </c>
      <c r="J303" s="193" t="s">
        <v>2017</v>
      </c>
      <c r="K303" s="193"/>
    </row>
    <row r="304" spans="1:11" x14ac:dyDescent="0.3">
      <c r="A304" s="193">
        <f t="shared" si="4"/>
        <v>289</v>
      </c>
      <c r="B304" s="193" t="s">
        <v>2372</v>
      </c>
      <c r="C304" s="193" t="s">
        <v>2373</v>
      </c>
      <c r="D304" s="193"/>
      <c r="E304" s="193"/>
      <c r="F304" s="193"/>
      <c r="G304" s="193" t="s">
        <v>13</v>
      </c>
      <c r="H304" s="120" t="s">
        <v>688</v>
      </c>
      <c r="I304" s="199">
        <v>237413103100</v>
      </c>
      <c r="J304" s="193" t="s">
        <v>2017</v>
      </c>
      <c r="K304" s="193"/>
    </row>
    <row r="305" spans="1:11" x14ac:dyDescent="0.3">
      <c r="A305" s="193">
        <f t="shared" si="4"/>
        <v>290</v>
      </c>
      <c r="B305" s="193" t="s">
        <v>2372</v>
      </c>
      <c r="C305" s="193" t="s">
        <v>2374</v>
      </c>
      <c r="D305" s="193"/>
      <c r="E305" s="193"/>
      <c r="F305" s="193"/>
      <c r="G305" s="193" t="s">
        <v>13</v>
      </c>
      <c r="H305" s="120" t="s">
        <v>688</v>
      </c>
      <c r="I305" s="199">
        <v>237413103140</v>
      </c>
      <c r="J305" s="193" t="s">
        <v>2017</v>
      </c>
      <c r="K305" s="193"/>
    </row>
    <row r="306" spans="1:11" x14ac:dyDescent="0.3">
      <c r="A306" s="193">
        <f t="shared" si="4"/>
        <v>291</v>
      </c>
      <c r="B306" s="193" t="s">
        <v>2372</v>
      </c>
      <c r="C306" s="193" t="s">
        <v>2375</v>
      </c>
      <c r="D306" s="193"/>
      <c r="E306" s="193"/>
      <c r="F306" s="193"/>
      <c r="G306" s="193" t="s">
        <v>13</v>
      </c>
      <c r="H306" s="120" t="s">
        <v>688</v>
      </c>
      <c r="I306" s="199">
        <v>237413103150</v>
      </c>
      <c r="J306" s="193" t="s">
        <v>2017</v>
      </c>
      <c r="K306" s="193"/>
    </row>
    <row r="307" spans="1:11" x14ac:dyDescent="0.3">
      <c r="A307" s="193">
        <f t="shared" si="4"/>
        <v>292</v>
      </c>
      <c r="B307" s="193" t="s">
        <v>2372</v>
      </c>
      <c r="C307" s="193" t="s">
        <v>2376</v>
      </c>
      <c r="D307" s="193"/>
      <c r="E307" s="193"/>
      <c r="F307" s="193"/>
      <c r="G307" s="193" t="s">
        <v>13</v>
      </c>
      <c r="H307" s="120" t="s">
        <v>688</v>
      </c>
      <c r="I307" s="199">
        <v>237413103160</v>
      </c>
      <c r="J307" s="193" t="s">
        <v>2017</v>
      </c>
      <c r="K307" s="193"/>
    </row>
    <row r="308" spans="1:11" x14ac:dyDescent="0.3">
      <c r="A308" s="193">
        <f t="shared" si="4"/>
        <v>293</v>
      </c>
      <c r="B308" s="193" t="s">
        <v>2372</v>
      </c>
      <c r="C308" s="193" t="s">
        <v>2377</v>
      </c>
      <c r="D308" s="193"/>
      <c r="E308" s="193"/>
      <c r="F308" s="193"/>
      <c r="G308" s="193" t="s">
        <v>13</v>
      </c>
      <c r="H308" s="120" t="s">
        <v>688</v>
      </c>
      <c r="I308" s="199">
        <v>237413103170</v>
      </c>
      <c r="J308" s="193" t="s">
        <v>2017</v>
      </c>
      <c r="K308" s="193"/>
    </row>
    <row r="309" spans="1:11" x14ac:dyDescent="0.3">
      <c r="A309" s="193">
        <f t="shared" si="4"/>
        <v>294</v>
      </c>
      <c r="B309" s="193" t="s">
        <v>2372</v>
      </c>
      <c r="C309" s="193" t="s">
        <v>2378</v>
      </c>
      <c r="D309" s="193"/>
      <c r="E309" s="193"/>
      <c r="F309" s="193"/>
      <c r="G309" s="193" t="s">
        <v>13</v>
      </c>
      <c r="H309" s="120" t="s">
        <v>688</v>
      </c>
      <c r="I309" s="199">
        <v>237413103180</v>
      </c>
      <c r="J309" s="193" t="s">
        <v>2017</v>
      </c>
      <c r="K309" s="193"/>
    </row>
    <row r="310" spans="1:11" x14ac:dyDescent="0.3">
      <c r="A310" s="193">
        <f t="shared" si="4"/>
        <v>295</v>
      </c>
      <c r="B310" s="193" t="s">
        <v>2372</v>
      </c>
      <c r="C310" s="193" t="s">
        <v>2379</v>
      </c>
      <c r="D310" s="193"/>
      <c r="E310" s="193"/>
      <c r="F310" s="193"/>
      <c r="G310" s="193" t="s">
        <v>13</v>
      </c>
      <c r="H310" s="120" t="s">
        <v>688</v>
      </c>
      <c r="I310" s="199">
        <v>237413103210</v>
      </c>
      <c r="J310" s="193" t="s">
        <v>2017</v>
      </c>
      <c r="K310" s="193"/>
    </row>
    <row r="311" spans="1:11" x14ac:dyDescent="0.3">
      <c r="A311" s="193">
        <f t="shared" si="4"/>
        <v>296</v>
      </c>
      <c r="B311" s="193" t="s">
        <v>2372</v>
      </c>
      <c r="C311" s="193" t="s">
        <v>2380</v>
      </c>
      <c r="D311" s="193"/>
      <c r="E311" s="193"/>
      <c r="F311" s="193"/>
      <c r="G311" s="193" t="s">
        <v>13</v>
      </c>
      <c r="H311" s="120" t="s">
        <v>688</v>
      </c>
      <c r="I311" s="199">
        <v>237413103240</v>
      </c>
      <c r="J311" s="193" t="s">
        <v>2017</v>
      </c>
      <c r="K311" s="193"/>
    </row>
    <row r="312" spans="1:11" x14ac:dyDescent="0.3">
      <c r="A312" s="193">
        <f t="shared" si="4"/>
        <v>297</v>
      </c>
      <c r="B312" s="193" t="s">
        <v>2372</v>
      </c>
      <c r="C312" s="193" t="s">
        <v>2381</v>
      </c>
      <c r="D312" s="193"/>
      <c r="E312" s="193"/>
      <c r="F312" s="193"/>
      <c r="G312" s="193" t="s">
        <v>13</v>
      </c>
      <c r="H312" s="120" t="s">
        <v>688</v>
      </c>
      <c r="I312" s="199">
        <v>237413103250</v>
      </c>
      <c r="J312" s="193" t="s">
        <v>2017</v>
      </c>
      <c r="K312" s="193"/>
    </row>
    <row r="313" spans="1:11" x14ac:dyDescent="0.3">
      <c r="A313" s="193">
        <f t="shared" si="4"/>
        <v>298</v>
      </c>
      <c r="B313" s="193" t="s">
        <v>2372</v>
      </c>
      <c r="C313" s="193" t="s">
        <v>2382</v>
      </c>
      <c r="D313" s="193"/>
      <c r="E313" s="193"/>
      <c r="F313" s="193"/>
      <c r="G313" s="193" t="s">
        <v>13</v>
      </c>
      <c r="H313" s="120" t="s">
        <v>688</v>
      </c>
      <c r="I313" s="199">
        <v>237413103260</v>
      </c>
      <c r="J313" s="193" t="s">
        <v>2017</v>
      </c>
      <c r="K313" s="193"/>
    </row>
    <row r="314" spans="1:11" x14ac:dyDescent="0.3">
      <c r="A314" s="193">
        <f t="shared" si="4"/>
        <v>299</v>
      </c>
      <c r="B314" s="193" t="s">
        <v>2372</v>
      </c>
      <c r="C314" s="193" t="s">
        <v>2383</v>
      </c>
      <c r="D314" s="193"/>
      <c r="E314" s="193"/>
      <c r="F314" s="193"/>
      <c r="G314" s="193" t="s">
        <v>13</v>
      </c>
      <c r="H314" s="120" t="s">
        <v>688</v>
      </c>
      <c r="I314" s="199">
        <v>237413103270</v>
      </c>
      <c r="J314" s="193" t="s">
        <v>2017</v>
      </c>
      <c r="K314" s="193"/>
    </row>
    <row r="315" spans="1:11" x14ac:dyDescent="0.3">
      <c r="A315" s="193">
        <f t="shared" si="4"/>
        <v>300</v>
      </c>
      <c r="B315" s="193" t="s">
        <v>2372</v>
      </c>
      <c r="C315" s="193" t="s">
        <v>2384</v>
      </c>
      <c r="D315" s="193"/>
      <c r="E315" s="193"/>
      <c r="F315" s="193"/>
      <c r="G315" s="193" t="s">
        <v>13</v>
      </c>
      <c r="H315" s="120" t="s">
        <v>688</v>
      </c>
      <c r="I315" s="199">
        <v>237413103280</v>
      </c>
      <c r="J315" s="193" t="s">
        <v>2017</v>
      </c>
      <c r="K315" s="193"/>
    </row>
    <row r="316" spans="1:11" x14ac:dyDescent="0.3">
      <c r="A316" s="193">
        <f t="shared" si="4"/>
        <v>301</v>
      </c>
      <c r="B316" s="193" t="s">
        <v>2385</v>
      </c>
      <c r="C316" s="193" t="s">
        <v>2386</v>
      </c>
      <c r="D316" s="193">
        <v>2000</v>
      </c>
      <c r="E316" s="193" t="s">
        <v>1318</v>
      </c>
      <c r="F316" s="193"/>
      <c r="G316" s="193" t="s">
        <v>13</v>
      </c>
      <c r="H316" s="120" t="s">
        <v>688</v>
      </c>
      <c r="I316" s="199">
        <v>237423161020</v>
      </c>
      <c r="J316" s="193" t="s">
        <v>2017</v>
      </c>
      <c r="K316" s="193"/>
    </row>
    <row r="317" spans="1:11" x14ac:dyDescent="0.3">
      <c r="A317" s="193">
        <f t="shared" si="4"/>
        <v>302</v>
      </c>
      <c r="B317" s="193" t="s">
        <v>2385</v>
      </c>
      <c r="C317" s="193" t="s">
        <v>2386</v>
      </c>
      <c r="D317" s="193">
        <v>3000</v>
      </c>
      <c r="E317" s="193" t="s">
        <v>1318</v>
      </c>
      <c r="F317" s="193"/>
      <c r="G317" s="193" t="s">
        <v>13</v>
      </c>
      <c r="H317" s="120" t="s">
        <v>688</v>
      </c>
      <c r="I317" s="199">
        <v>237423161020</v>
      </c>
      <c r="J317" s="193" t="s">
        <v>2017</v>
      </c>
      <c r="K317" s="193"/>
    </row>
    <row r="318" spans="1:11" x14ac:dyDescent="0.3">
      <c r="A318" s="193">
        <f t="shared" si="4"/>
        <v>303</v>
      </c>
      <c r="B318" s="193" t="s">
        <v>2385</v>
      </c>
      <c r="C318" s="193" t="s">
        <v>2387</v>
      </c>
      <c r="D318" s="193">
        <v>5000</v>
      </c>
      <c r="E318" s="193" t="s">
        <v>1318</v>
      </c>
      <c r="F318" s="193"/>
      <c r="G318" s="193" t="s">
        <v>13</v>
      </c>
      <c r="H318" s="120" t="s">
        <v>688</v>
      </c>
      <c r="I318" s="199">
        <v>237423161040</v>
      </c>
      <c r="J318" s="193" t="s">
        <v>2017</v>
      </c>
      <c r="K318" s="193"/>
    </row>
    <row r="319" spans="1:11" x14ac:dyDescent="0.3">
      <c r="A319" s="193">
        <f t="shared" si="4"/>
        <v>304</v>
      </c>
      <c r="B319" s="193" t="s">
        <v>2385</v>
      </c>
      <c r="C319" s="193" t="s">
        <v>2388</v>
      </c>
      <c r="D319" s="193">
        <v>6000</v>
      </c>
      <c r="E319" s="193" t="s">
        <v>1318</v>
      </c>
      <c r="F319" s="193"/>
      <c r="G319" s="193" t="s">
        <v>13</v>
      </c>
      <c r="H319" s="120" t="s">
        <v>688</v>
      </c>
      <c r="I319" s="199">
        <v>237423161060</v>
      </c>
      <c r="J319" s="193" t="s">
        <v>2017</v>
      </c>
      <c r="K319" s="193"/>
    </row>
    <row r="320" spans="1:11" x14ac:dyDescent="0.3">
      <c r="A320" s="193">
        <f t="shared" si="4"/>
        <v>305</v>
      </c>
      <c r="B320" s="193" t="s">
        <v>2385</v>
      </c>
      <c r="C320" s="193" t="s">
        <v>2389</v>
      </c>
      <c r="D320" s="193">
        <v>8000</v>
      </c>
      <c r="E320" s="193" t="s">
        <v>1318</v>
      </c>
      <c r="F320" s="193"/>
      <c r="G320" s="193" t="s">
        <v>13</v>
      </c>
      <c r="H320" s="120" t="s">
        <v>688</v>
      </c>
      <c r="I320" s="199">
        <v>237423161080</v>
      </c>
      <c r="J320" s="193" t="s">
        <v>2017</v>
      </c>
      <c r="K320" s="193"/>
    </row>
    <row r="321" spans="1:11" x14ac:dyDescent="0.3">
      <c r="A321" s="193">
        <f t="shared" si="4"/>
        <v>306</v>
      </c>
      <c r="B321" s="193" t="s">
        <v>2385</v>
      </c>
      <c r="C321" s="193" t="s">
        <v>2390</v>
      </c>
      <c r="D321" s="193">
        <v>10000</v>
      </c>
      <c r="E321" s="193" t="s">
        <v>1318</v>
      </c>
      <c r="F321" s="193"/>
      <c r="G321" s="193" t="s">
        <v>13</v>
      </c>
      <c r="H321" s="120" t="s">
        <v>688</v>
      </c>
      <c r="I321" s="199">
        <v>237423161100</v>
      </c>
      <c r="J321" s="193" t="s">
        <v>2017</v>
      </c>
      <c r="K321" s="193"/>
    </row>
    <row r="322" spans="1:11" x14ac:dyDescent="0.3">
      <c r="A322" s="193">
        <f t="shared" si="4"/>
        <v>307</v>
      </c>
      <c r="B322" s="193" t="s">
        <v>2385</v>
      </c>
      <c r="C322" s="193" t="s">
        <v>2391</v>
      </c>
      <c r="D322" s="193">
        <v>16000</v>
      </c>
      <c r="E322" s="193" t="s">
        <v>1318</v>
      </c>
      <c r="F322" s="193"/>
      <c r="G322" s="193" t="s">
        <v>13</v>
      </c>
      <c r="H322" s="120" t="s">
        <v>688</v>
      </c>
      <c r="I322" s="199">
        <v>237423161120</v>
      </c>
      <c r="J322" s="193" t="s">
        <v>2017</v>
      </c>
      <c r="K322" s="193"/>
    </row>
    <row r="323" spans="1:11" x14ac:dyDescent="0.3">
      <c r="A323" s="193">
        <f t="shared" ref="A323:A384" si="5">A322+1</f>
        <v>308</v>
      </c>
      <c r="B323" s="193" t="s">
        <v>2385</v>
      </c>
      <c r="C323" s="193" t="s">
        <v>2392</v>
      </c>
      <c r="D323" s="193">
        <v>24000</v>
      </c>
      <c r="E323" s="193" t="s">
        <v>1318</v>
      </c>
      <c r="F323" s="193"/>
      <c r="G323" s="193" t="s">
        <v>13</v>
      </c>
      <c r="H323" s="120" t="s">
        <v>688</v>
      </c>
      <c r="I323" s="199">
        <v>237423161140</v>
      </c>
      <c r="J323" s="193" t="s">
        <v>2017</v>
      </c>
      <c r="K323" s="193"/>
    </row>
    <row r="324" spans="1:11" x14ac:dyDescent="0.3">
      <c r="A324" s="193">
        <f t="shared" si="5"/>
        <v>309</v>
      </c>
      <c r="B324" s="193" t="s">
        <v>2385</v>
      </c>
      <c r="C324" s="193" t="s">
        <v>2393</v>
      </c>
      <c r="D324" s="193">
        <v>30000</v>
      </c>
      <c r="E324" s="193" t="s">
        <v>1318</v>
      </c>
      <c r="F324" s="193"/>
      <c r="G324" s="193" t="s">
        <v>13</v>
      </c>
      <c r="H324" s="120" t="s">
        <v>688</v>
      </c>
      <c r="I324" s="199">
        <v>237423161160</v>
      </c>
      <c r="J324" s="193" t="s">
        <v>2017</v>
      </c>
      <c r="K324" s="193"/>
    </row>
    <row r="325" spans="1:11" x14ac:dyDescent="0.3">
      <c r="A325" s="193">
        <f t="shared" si="5"/>
        <v>310</v>
      </c>
      <c r="B325" s="193" t="s">
        <v>2385</v>
      </c>
      <c r="C325" s="193" t="s">
        <v>2394</v>
      </c>
      <c r="D325" s="193">
        <v>35000</v>
      </c>
      <c r="E325" s="193" t="s">
        <v>1318</v>
      </c>
      <c r="F325" s="193"/>
      <c r="G325" s="193" t="s">
        <v>13</v>
      </c>
      <c r="H325" s="120" t="s">
        <v>688</v>
      </c>
      <c r="I325" s="199">
        <v>237423161180</v>
      </c>
      <c r="J325" s="193" t="s">
        <v>2017</v>
      </c>
      <c r="K325" s="193"/>
    </row>
    <row r="326" spans="1:11" x14ac:dyDescent="0.3">
      <c r="A326" s="193">
        <f t="shared" si="5"/>
        <v>311</v>
      </c>
      <c r="B326" s="193" t="s">
        <v>2385</v>
      </c>
      <c r="C326" s="193" t="s">
        <v>2395</v>
      </c>
      <c r="D326" s="193">
        <v>40000</v>
      </c>
      <c r="E326" s="193" t="s">
        <v>1318</v>
      </c>
      <c r="F326" s="193"/>
      <c r="G326" s="193" t="s">
        <v>13</v>
      </c>
      <c r="H326" s="120" t="s">
        <v>688</v>
      </c>
      <c r="I326" s="199">
        <v>237423161200</v>
      </c>
      <c r="J326" s="193" t="s">
        <v>2017</v>
      </c>
      <c r="K326" s="193"/>
    </row>
    <row r="327" spans="1:11" x14ac:dyDescent="0.3">
      <c r="A327" s="193">
        <f t="shared" si="5"/>
        <v>312</v>
      </c>
      <c r="B327" s="193" t="s">
        <v>2396</v>
      </c>
      <c r="C327" s="193" t="s">
        <v>2397</v>
      </c>
      <c r="D327" s="193"/>
      <c r="E327" s="193" t="s">
        <v>1318</v>
      </c>
      <c r="F327" s="193"/>
      <c r="G327" s="193" t="s">
        <v>13</v>
      </c>
      <c r="H327" s="120" t="s">
        <v>688</v>
      </c>
      <c r="I327" s="199">
        <v>237433101100</v>
      </c>
      <c r="J327" s="193" t="s">
        <v>2017</v>
      </c>
      <c r="K327" s="193"/>
    </row>
    <row r="328" spans="1:11" x14ac:dyDescent="0.3">
      <c r="A328" s="193">
        <f t="shared" si="5"/>
        <v>313</v>
      </c>
      <c r="B328" s="193" t="s">
        <v>2396</v>
      </c>
      <c r="C328" s="193" t="s">
        <v>2398</v>
      </c>
      <c r="D328" s="193"/>
      <c r="E328" s="193" t="s">
        <v>1318</v>
      </c>
      <c r="F328" s="193"/>
      <c r="G328" s="193" t="s">
        <v>13</v>
      </c>
      <c r="H328" s="120" t="s">
        <v>688</v>
      </c>
      <c r="I328" s="199">
        <v>237433101120</v>
      </c>
      <c r="J328" s="193" t="s">
        <v>2017</v>
      </c>
      <c r="K328" s="193"/>
    </row>
    <row r="329" spans="1:11" x14ac:dyDescent="0.3">
      <c r="A329" s="193">
        <f t="shared" si="5"/>
        <v>314</v>
      </c>
      <c r="B329" s="193" t="s">
        <v>2396</v>
      </c>
      <c r="C329" s="193" t="s">
        <v>2399</v>
      </c>
      <c r="D329" s="193"/>
      <c r="E329" s="193" t="s">
        <v>1318</v>
      </c>
      <c r="F329" s="193"/>
      <c r="G329" s="193" t="s">
        <v>13</v>
      </c>
      <c r="H329" s="120" t="s">
        <v>688</v>
      </c>
      <c r="I329" s="199">
        <v>237433101140</v>
      </c>
      <c r="J329" s="193" t="s">
        <v>2017</v>
      </c>
      <c r="K329" s="193"/>
    </row>
    <row r="330" spans="1:11" x14ac:dyDescent="0.3">
      <c r="A330" s="193">
        <f t="shared" si="5"/>
        <v>315</v>
      </c>
      <c r="B330" s="193" t="s">
        <v>2396</v>
      </c>
      <c r="C330" s="193" t="s">
        <v>2400</v>
      </c>
      <c r="D330" s="193"/>
      <c r="E330" s="193" t="s">
        <v>1318</v>
      </c>
      <c r="F330" s="193"/>
      <c r="G330" s="193" t="s">
        <v>13</v>
      </c>
      <c r="H330" s="120" t="s">
        <v>688</v>
      </c>
      <c r="I330" s="199">
        <v>237433101142</v>
      </c>
      <c r="J330" s="193" t="s">
        <v>2017</v>
      </c>
      <c r="K330" s="193"/>
    </row>
    <row r="331" spans="1:11" x14ac:dyDescent="0.3">
      <c r="A331" s="193">
        <f t="shared" si="5"/>
        <v>316</v>
      </c>
      <c r="B331" s="193" t="s">
        <v>2396</v>
      </c>
      <c r="C331" s="193" t="s">
        <v>2401</v>
      </c>
      <c r="D331" s="193"/>
      <c r="E331" s="193" t="s">
        <v>1318</v>
      </c>
      <c r="F331" s="193"/>
      <c r="G331" s="193" t="s">
        <v>13</v>
      </c>
      <c r="H331" s="120" t="s">
        <v>688</v>
      </c>
      <c r="I331" s="199">
        <v>237433101145</v>
      </c>
      <c r="J331" s="193" t="s">
        <v>2017</v>
      </c>
      <c r="K331" s="193"/>
    </row>
    <row r="332" spans="1:11" x14ac:dyDescent="0.3">
      <c r="A332" s="193">
        <f t="shared" si="5"/>
        <v>317</v>
      </c>
      <c r="B332" s="193" t="s">
        <v>2396</v>
      </c>
      <c r="C332" s="193" t="s">
        <v>2402</v>
      </c>
      <c r="D332" s="193"/>
      <c r="E332" s="193" t="s">
        <v>1318</v>
      </c>
      <c r="F332" s="193"/>
      <c r="G332" s="193" t="s">
        <v>13</v>
      </c>
      <c r="H332" s="120" t="s">
        <v>688</v>
      </c>
      <c r="I332" s="199">
        <v>237433101150</v>
      </c>
      <c r="J332" s="193" t="s">
        <v>2017</v>
      </c>
      <c r="K332" s="193"/>
    </row>
    <row r="333" spans="1:11" x14ac:dyDescent="0.3">
      <c r="A333" s="193">
        <f t="shared" si="5"/>
        <v>318</v>
      </c>
      <c r="B333" s="193" t="s">
        <v>2396</v>
      </c>
      <c r="C333" s="193" t="s">
        <v>2403</v>
      </c>
      <c r="D333" s="193"/>
      <c r="E333" s="193" t="s">
        <v>1318</v>
      </c>
      <c r="F333" s="193"/>
      <c r="G333" s="193" t="s">
        <v>13</v>
      </c>
      <c r="H333" s="120" t="s">
        <v>688</v>
      </c>
      <c r="I333" s="199">
        <v>237433101160</v>
      </c>
      <c r="J333" s="193" t="s">
        <v>2017</v>
      </c>
      <c r="K333" s="193"/>
    </row>
    <row r="334" spans="1:11" x14ac:dyDescent="0.3">
      <c r="A334" s="193">
        <f t="shared" si="5"/>
        <v>319</v>
      </c>
      <c r="B334" s="193" t="s">
        <v>2396</v>
      </c>
      <c r="C334" s="193" t="s">
        <v>2404</v>
      </c>
      <c r="D334" s="193"/>
      <c r="E334" s="193" t="s">
        <v>1318</v>
      </c>
      <c r="F334" s="193"/>
      <c r="G334" s="193" t="s">
        <v>13</v>
      </c>
      <c r="H334" s="120" t="s">
        <v>688</v>
      </c>
      <c r="I334" s="199">
        <v>237433101170</v>
      </c>
      <c r="J334" s="193" t="s">
        <v>2017</v>
      </c>
      <c r="K334" s="193"/>
    </row>
    <row r="335" spans="1:11" x14ac:dyDescent="0.3">
      <c r="A335" s="193">
        <f t="shared" si="5"/>
        <v>320</v>
      </c>
      <c r="B335" s="193" t="s">
        <v>2396</v>
      </c>
      <c r="C335" s="193" t="s">
        <v>2405</v>
      </c>
      <c r="D335" s="193"/>
      <c r="E335" s="193" t="s">
        <v>1318</v>
      </c>
      <c r="F335" s="193"/>
      <c r="G335" s="193" t="s">
        <v>13</v>
      </c>
      <c r="H335" s="120" t="s">
        <v>688</v>
      </c>
      <c r="I335" s="199">
        <v>237433101180</v>
      </c>
      <c r="J335" s="193" t="s">
        <v>2017</v>
      </c>
      <c r="K335" s="193"/>
    </row>
    <row r="336" spans="1:11" x14ac:dyDescent="0.3">
      <c r="A336" s="193">
        <f t="shared" si="5"/>
        <v>321</v>
      </c>
      <c r="B336" s="193" t="s">
        <v>2396</v>
      </c>
      <c r="C336" s="193" t="s">
        <v>2406</v>
      </c>
      <c r="D336" s="193"/>
      <c r="E336" s="193" t="s">
        <v>1318</v>
      </c>
      <c r="F336" s="193"/>
      <c r="G336" s="193" t="s">
        <v>13</v>
      </c>
      <c r="H336" s="120" t="s">
        <v>688</v>
      </c>
      <c r="I336" s="199">
        <v>237433101190</v>
      </c>
      <c r="J336" s="193" t="s">
        <v>2017</v>
      </c>
      <c r="K336" s="193"/>
    </row>
    <row r="337" spans="1:11" x14ac:dyDescent="0.3">
      <c r="A337" s="193">
        <f t="shared" si="5"/>
        <v>322</v>
      </c>
      <c r="B337" s="193" t="s">
        <v>2396</v>
      </c>
      <c r="C337" s="193" t="s">
        <v>2407</v>
      </c>
      <c r="D337" s="193"/>
      <c r="E337" s="193" t="s">
        <v>1318</v>
      </c>
      <c r="F337" s="193"/>
      <c r="G337" s="193" t="s">
        <v>13</v>
      </c>
      <c r="H337" s="120" t="s">
        <v>688</v>
      </c>
      <c r="I337" s="199">
        <v>237433101200</v>
      </c>
      <c r="J337" s="193" t="s">
        <v>2017</v>
      </c>
      <c r="K337" s="193"/>
    </row>
    <row r="338" spans="1:11" x14ac:dyDescent="0.3">
      <c r="A338" s="193">
        <f t="shared" si="5"/>
        <v>323</v>
      </c>
      <c r="B338" s="193" t="s">
        <v>2396</v>
      </c>
      <c r="C338" s="193" t="s">
        <v>2408</v>
      </c>
      <c r="D338" s="193"/>
      <c r="E338" s="193" t="s">
        <v>1318</v>
      </c>
      <c r="F338" s="193"/>
      <c r="G338" s="193" t="s">
        <v>13</v>
      </c>
      <c r="H338" s="120" t="s">
        <v>688</v>
      </c>
      <c r="I338" s="199">
        <v>237433101210</v>
      </c>
      <c r="J338" s="193" t="s">
        <v>2017</v>
      </c>
      <c r="K338" s="193"/>
    </row>
    <row r="339" spans="1:11" x14ac:dyDescent="0.3">
      <c r="A339" s="193">
        <f t="shared" si="5"/>
        <v>324</v>
      </c>
      <c r="B339" s="193" t="s">
        <v>2396</v>
      </c>
      <c r="C339" s="193" t="s">
        <v>2409</v>
      </c>
      <c r="D339" s="193"/>
      <c r="E339" s="193" t="s">
        <v>1318</v>
      </c>
      <c r="F339" s="193"/>
      <c r="G339" s="193" t="s">
        <v>13</v>
      </c>
      <c r="H339" s="120" t="s">
        <v>688</v>
      </c>
      <c r="I339" s="199">
        <v>237433101220</v>
      </c>
      <c r="J339" s="193" t="s">
        <v>2017</v>
      </c>
      <c r="K339" s="193"/>
    </row>
    <row r="340" spans="1:11" x14ac:dyDescent="0.3">
      <c r="A340" s="193">
        <f t="shared" si="5"/>
        <v>325</v>
      </c>
      <c r="B340" s="193" t="s">
        <v>2396</v>
      </c>
      <c r="C340" s="193" t="s">
        <v>2410</v>
      </c>
      <c r="D340" s="193"/>
      <c r="E340" s="193" t="s">
        <v>1318</v>
      </c>
      <c r="F340" s="193"/>
      <c r="G340" s="193" t="s">
        <v>13</v>
      </c>
      <c r="H340" s="120" t="s">
        <v>688</v>
      </c>
      <c r="I340" s="199">
        <v>237433101240</v>
      </c>
      <c r="J340" s="193" t="s">
        <v>2017</v>
      </c>
      <c r="K340" s="193"/>
    </row>
    <row r="341" spans="1:11" x14ac:dyDescent="0.3">
      <c r="A341" s="193">
        <f t="shared" si="5"/>
        <v>326</v>
      </c>
      <c r="B341" s="193" t="s">
        <v>2396</v>
      </c>
      <c r="C341" s="193" t="s">
        <v>2411</v>
      </c>
      <c r="D341" s="193"/>
      <c r="E341" s="193" t="s">
        <v>1318</v>
      </c>
      <c r="F341" s="193"/>
      <c r="G341" s="193" t="s">
        <v>13</v>
      </c>
      <c r="H341" s="120" t="s">
        <v>688</v>
      </c>
      <c r="I341" s="199">
        <v>237433101260</v>
      </c>
      <c r="J341" s="193" t="s">
        <v>2017</v>
      </c>
      <c r="K341" s="193"/>
    </row>
    <row r="342" spans="1:11" x14ac:dyDescent="0.3">
      <c r="A342" s="193">
        <f t="shared" si="5"/>
        <v>327</v>
      </c>
      <c r="B342" s="193" t="s">
        <v>2396</v>
      </c>
      <c r="C342" s="193" t="s">
        <v>2412</v>
      </c>
      <c r="D342" s="193"/>
      <c r="E342" s="193" t="s">
        <v>1318</v>
      </c>
      <c r="F342" s="193"/>
      <c r="G342" s="193" t="s">
        <v>13</v>
      </c>
      <c r="H342" s="120" t="s">
        <v>688</v>
      </c>
      <c r="I342" s="199">
        <v>237433101265</v>
      </c>
      <c r="J342" s="193" t="s">
        <v>2017</v>
      </c>
      <c r="K342" s="193"/>
    </row>
    <row r="343" spans="1:11" x14ac:dyDescent="0.3">
      <c r="A343" s="193">
        <f t="shared" si="5"/>
        <v>328</v>
      </c>
      <c r="B343" s="193" t="s">
        <v>2396</v>
      </c>
      <c r="C343" s="193" t="s">
        <v>2413</v>
      </c>
      <c r="D343" s="193"/>
      <c r="E343" s="193" t="s">
        <v>1318</v>
      </c>
      <c r="F343" s="193"/>
      <c r="G343" s="193" t="s">
        <v>13</v>
      </c>
      <c r="H343" s="120" t="s">
        <v>688</v>
      </c>
      <c r="I343" s="199">
        <v>237433101270</v>
      </c>
      <c r="J343" s="193" t="s">
        <v>2017</v>
      </c>
      <c r="K343" s="193"/>
    </row>
    <row r="344" spans="1:11" x14ac:dyDescent="0.3">
      <c r="A344" s="193">
        <f t="shared" si="5"/>
        <v>329</v>
      </c>
      <c r="B344" s="193" t="s">
        <v>2396</v>
      </c>
      <c r="C344" s="193" t="s">
        <v>2414</v>
      </c>
      <c r="D344" s="193"/>
      <c r="E344" s="193" t="s">
        <v>1318</v>
      </c>
      <c r="F344" s="193"/>
      <c r="G344" s="193" t="s">
        <v>13</v>
      </c>
      <c r="H344" s="120" t="s">
        <v>688</v>
      </c>
      <c r="I344" s="199">
        <v>237433101275</v>
      </c>
      <c r="J344" s="193" t="s">
        <v>2017</v>
      </c>
      <c r="K344" s="193"/>
    </row>
    <row r="345" spans="1:11" x14ac:dyDescent="0.3">
      <c r="A345" s="193">
        <f t="shared" si="5"/>
        <v>330</v>
      </c>
      <c r="B345" s="193" t="s">
        <v>2396</v>
      </c>
      <c r="C345" s="193" t="s">
        <v>2415</v>
      </c>
      <c r="D345" s="193"/>
      <c r="E345" s="193" t="s">
        <v>1318</v>
      </c>
      <c r="F345" s="193"/>
      <c r="G345" s="193" t="s">
        <v>13</v>
      </c>
      <c r="H345" s="120" t="s">
        <v>688</v>
      </c>
      <c r="I345" s="199">
        <v>237433101280</v>
      </c>
      <c r="J345" s="193" t="s">
        <v>2017</v>
      </c>
      <c r="K345" s="193"/>
    </row>
    <row r="346" spans="1:11" x14ac:dyDescent="0.3">
      <c r="A346" s="193">
        <f t="shared" si="5"/>
        <v>331</v>
      </c>
      <c r="B346" s="193" t="s">
        <v>2396</v>
      </c>
      <c r="C346" s="193" t="s">
        <v>2416</v>
      </c>
      <c r="D346" s="193"/>
      <c r="E346" s="193" t="s">
        <v>1316</v>
      </c>
      <c r="F346" s="193"/>
      <c r="G346" s="193" t="s">
        <v>13</v>
      </c>
      <c r="H346" s="120" t="s">
        <v>688</v>
      </c>
      <c r="I346" s="199">
        <v>237433101310</v>
      </c>
      <c r="J346" s="193" t="s">
        <v>2017</v>
      </c>
      <c r="K346" s="193"/>
    </row>
    <row r="347" spans="1:11" x14ac:dyDescent="0.3">
      <c r="A347" s="193">
        <f t="shared" si="5"/>
        <v>332</v>
      </c>
      <c r="B347" s="193" t="s">
        <v>2396</v>
      </c>
      <c r="C347" s="193" t="s">
        <v>2417</v>
      </c>
      <c r="D347" s="193"/>
      <c r="E347" s="193" t="s">
        <v>1316</v>
      </c>
      <c r="F347" s="193"/>
      <c r="G347" s="193" t="s">
        <v>13</v>
      </c>
      <c r="H347" s="120" t="s">
        <v>688</v>
      </c>
      <c r="I347" s="199">
        <v>237433101314</v>
      </c>
      <c r="J347" s="193" t="s">
        <v>2017</v>
      </c>
      <c r="K347" s="193"/>
    </row>
    <row r="348" spans="1:11" x14ac:dyDescent="0.3">
      <c r="A348" s="193">
        <f t="shared" si="5"/>
        <v>333</v>
      </c>
      <c r="B348" s="193" t="s">
        <v>2396</v>
      </c>
      <c r="C348" s="193" t="s">
        <v>2418</v>
      </c>
      <c r="D348" s="193"/>
      <c r="E348" s="193" t="s">
        <v>1316</v>
      </c>
      <c r="F348" s="193"/>
      <c r="G348" s="193" t="s">
        <v>13</v>
      </c>
      <c r="H348" s="120" t="s">
        <v>688</v>
      </c>
      <c r="I348" s="199">
        <v>237433101318</v>
      </c>
      <c r="J348" s="193" t="s">
        <v>2017</v>
      </c>
      <c r="K348" s="193"/>
    </row>
    <row r="349" spans="1:11" x14ac:dyDescent="0.3">
      <c r="A349" s="193">
        <f t="shared" si="5"/>
        <v>334</v>
      </c>
      <c r="B349" s="193" t="s">
        <v>2396</v>
      </c>
      <c r="C349" s="193" t="s">
        <v>2419</v>
      </c>
      <c r="D349" s="193"/>
      <c r="E349" s="193" t="s">
        <v>1316</v>
      </c>
      <c r="F349" s="193"/>
      <c r="G349" s="193" t="s">
        <v>13</v>
      </c>
      <c r="H349" s="120" t="s">
        <v>688</v>
      </c>
      <c r="I349" s="199">
        <v>237433101322</v>
      </c>
      <c r="J349" s="193" t="s">
        <v>2017</v>
      </c>
      <c r="K349" s="193"/>
    </row>
    <row r="350" spans="1:11" x14ac:dyDescent="0.3">
      <c r="A350" s="193">
        <f t="shared" si="5"/>
        <v>335</v>
      </c>
      <c r="B350" s="193" t="s">
        <v>2396</v>
      </c>
      <c r="C350" s="193" t="s">
        <v>2420</v>
      </c>
      <c r="D350" s="193"/>
      <c r="E350" s="193" t="s">
        <v>1316</v>
      </c>
      <c r="F350" s="193"/>
      <c r="G350" s="193" t="s">
        <v>13</v>
      </c>
      <c r="H350" s="120" t="s">
        <v>688</v>
      </c>
      <c r="I350" s="199">
        <v>237433101326</v>
      </c>
      <c r="J350" s="193" t="s">
        <v>2017</v>
      </c>
      <c r="K350" s="193"/>
    </row>
    <row r="351" spans="1:11" x14ac:dyDescent="0.3">
      <c r="A351" s="193">
        <f t="shared" si="5"/>
        <v>336</v>
      </c>
      <c r="B351" s="193" t="s">
        <v>2396</v>
      </c>
      <c r="C351" s="193" t="s">
        <v>2421</v>
      </c>
      <c r="D351" s="193"/>
      <c r="E351" s="193" t="s">
        <v>1316</v>
      </c>
      <c r="F351" s="193"/>
      <c r="G351" s="193" t="s">
        <v>13</v>
      </c>
      <c r="H351" s="120" t="s">
        <v>688</v>
      </c>
      <c r="I351" s="199">
        <v>237433101330</v>
      </c>
      <c r="J351" s="193" t="s">
        <v>2017</v>
      </c>
      <c r="K351" s="193"/>
    </row>
    <row r="352" spans="1:11" x14ac:dyDescent="0.3">
      <c r="A352" s="193">
        <f t="shared" si="5"/>
        <v>337</v>
      </c>
      <c r="B352" s="193" t="s">
        <v>2396</v>
      </c>
      <c r="C352" s="193" t="s">
        <v>2422</v>
      </c>
      <c r="D352" s="193"/>
      <c r="E352" s="193" t="s">
        <v>1316</v>
      </c>
      <c r="F352" s="193"/>
      <c r="G352" s="193" t="s">
        <v>13</v>
      </c>
      <c r="H352" s="120" t="s">
        <v>688</v>
      </c>
      <c r="I352" s="199">
        <v>237433101334</v>
      </c>
      <c r="J352" s="193" t="s">
        <v>2017</v>
      </c>
      <c r="K352" s="193"/>
    </row>
    <row r="353" spans="1:11" x14ac:dyDescent="0.3">
      <c r="A353" s="193">
        <f t="shared" si="5"/>
        <v>338</v>
      </c>
      <c r="B353" s="193" t="s">
        <v>2396</v>
      </c>
      <c r="C353" s="193" t="s">
        <v>2423</v>
      </c>
      <c r="D353" s="193"/>
      <c r="E353" s="193" t="s">
        <v>1316</v>
      </c>
      <c r="F353" s="193"/>
      <c r="G353" s="193" t="s">
        <v>13</v>
      </c>
      <c r="H353" s="120" t="s">
        <v>688</v>
      </c>
      <c r="I353" s="199">
        <v>237433101338</v>
      </c>
      <c r="J353" s="193" t="s">
        <v>2017</v>
      </c>
      <c r="K353" s="193"/>
    </row>
    <row r="354" spans="1:11" x14ac:dyDescent="0.3">
      <c r="A354" s="193">
        <f t="shared" si="5"/>
        <v>339</v>
      </c>
      <c r="B354" s="193" t="s">
        <v>2396</v>
      </c>
      <c r="C354" s="193" t="s">
        <v>2424</v>
      </c>
      <c r="D354" s="193"/>
      <c r="E354" s="193" t="s">
        <v>1316</v>
      </c>
      <c r="F354" s="193"/>
      <c r="G354" s="193" t="s">
        <v>13</v>
      </c>
      <c r="H354" s="120" t="s">
        <v>688</v>
      </c>
      <c r="I354" s="199">
        <v>237433101342</v>
      </c>
      <c r="J354" s="193" t="s">
        <v>2017</v>
      </c>
      <c r="K354" s="193"/>
    </row>
    <row r="355" spans="1:11" x14ac:dyDescent="0.3">
      <c r="A355" s="193">
        <f t="shared" si="5"/>
        <v>340</v>
      </c>
      <c r="B355" s="193" t="s">
        <v>2396</v>
      </c>
      <c r="C355" s="193" t="s">
        <v>2425</v>
      </c>
      <c r="D355" s="193"/>
      <c r="E355" s="193" t="s">
        <v>1316</v>
      </c>
      <c r="F355" s="193"/>
      <c r="G355" s="193" t="s">
        <v>13</v>
      </c>
      <c r="H355" s="120" t="s">
        <v>688</v>
      </c>
      <c r="I355" s="199">
        <v>237433101346</v>
      </c>
      <c r="J355" s="193" t="s">
        <v>2017</v>
      </c>
      <c r="K355" s="193"/>
    </row>
    <row r="356" spans="1:11" x14ac:dyDescent="0.3">
      <c r="A356" s="193">
        <f t="shared" si="5"/>
        <v>341</v>
      </c>
      <c r="B356" s="193" t="s">
        <v>2396</v>
      </c>
      <c r="C356" s="193" t="s">
        <v>2426</v>
      </c>
      <c r="D356" s="193"/>
      <c r="E356" s="193" t="s">
        <v>1318</v>
      </c>
      <c r="F356" s="193"/>
      <c r="G356" s="193" t="s">
        <v>13</v>
      </c>
      <c r="H356" s="120" t="s">
        <v>688</v>
      </c>
      <c r="I356" s="199">
        <v>237433102100</v>
      </c>
      <c r="J356" s="193" t="s">
        <v>2017</v>
      </c>
      <c r="K356" s="193"/>
    </row>
    <row r="357" spans="1:11" x14ac:dyDescent="0.3">
      <c r="A357" s="193">
        <f t="shared" si="5"/>
        <v>342</v>
      </c>
      <c r="B357" s="193" t="s">
        <v>2396</v>
      </c>
      <c r="C357" s="193" t="s">
        <v>2427</v>
      </c>
      <c r="D357" s="193"/>
      <c r="E357" s="193" t="s">
        <v>1318</v>
      </c>
      <c r="F357" s="193"/>
      <c r="G357" s="193" t="s">
        <v>13</v>
      </c>
      <c r="H357" s="120" t="s">
        <v>688</v>
      </c>
      <c r="I357" s="199">
        <v>237433102140</v>
      </c>
      <c r="J357" s="193" t="s">
        <v>2017</v>
      </c>
      <c r="K357" s="193"/>
    </row>
    <row r="358" spans="1:11" x14ac:dyDescent="0.3">
      <c r="A358" s="193">
        <f t="shared" si="5"/>
        <v>343</v>
      </c>
      <c r="B358" s="193" t="s">
        <v>2396</v>
      </c>
      <c r="C358" s="193" t="s">
        <v>2428</v>
      </c>
      <c r="D358" s="193"/>
      <c r="E358" s="193" t="s">
        <v>1318</v>
      </c>
      <c r="F358" s="193"/>
      <c r="G358" s="193" t="s">
        <v>13</v>
      </c>
      <c r="H358" s="120" t="s">
        <v>688</v>
      </c>
      <c r="I358" s="199">
        <v>237433102180</v>
      </c>
      <c r="J358" s="193" t="s">
        <v>2017</v>
      </c>
      <c r="K358" s="193"/>
    </row>
    <row r="359" spans="1:11" x14ac:dyDescent="0.3">
      <c r="A359" s="193">
        <f t="shared" si="5"/>
        <v>344</v>
      </c>
      <c r="B359" s="193" t="s">
        <v>2396</v>
      </c>
      <c r="C359" s="193" t="s">
        <v>2429</v>
      </c>
      <c r="D359" s="193"/>
      <c r="E359" s="193" t="s">
        <v>1318</v>
      </c>
      <c r="F359" s="193"/>
      <c r="G359" s="193" t="s">
        <v>13</v>
      </c>
      <c r="H359" s="120" t="s">
        <v>688</v>
      </c>
      <c r="I359" s="199">
        <v>237433102220</v>
      </c>
      <c r="J359" s="193" t="s">
        <v>2017</v>
      </c>
      <c r="K359" s="193"/>
    </row>
    <row r="360" spans="1:11" x14ac:dyDescent="0.3">
      <c r="A360" s="193">
        <f>359+1</f>
        <v>360</v>
      </c>
      <c r="B360" s="193" t="s">
        <v>2396</v>
      </c>
      <c r="C360" s="193" t="s">
        <v>2430</v>
      </c>
      <c r="D360" s="193"/>
      <c r="E360" s="193"/>
      <c r="F360" s="193"/>
      <c r="G360" s="193" t="s">
        <v>13</v>
      </c>
      <c r="H360" s="120" t="s">
        <v>688</v>
      </c>
      <c r="I360" s="199">
        <v>237433109410</v>
      </c>
      <c r="J360" s="193" t="s">
        <v>2017</v>
      </c>
      <c r="K360" s="193"/>
    </row>
    <row r="361" spans="1:11" x14ac:dyDescent="0.3">
      <c r="A361" s="193">
        <f t="shared" si="5"/>
        <v>361</v>
      </c>
      <c r="B361" s="193" t="s">
        <v>2396</v>
      </c>
      <c r="C361" s="193" t="s">
        <v>2431</v>
      </c>
      <c r="D361" s="193"/>
      <c r="E361" s="193"/>
      <c r="F361" s="193"/>
      <c r="G361" s="193" t="s">
        <v>13</v>
      </c>
      <c r="H361" s="120" t="s">
        <v>688</v>
      </c>
      <c r="I361" s="199">
        <v>237433109450</v>
      </c>
      <c r="J361" s="193" t="s">
        <v>2017</v>
      </c>
      <c r="K361" s="193"/>
    </row>
    <row r="362" spans="1:11" x14ac:dyDescent="0.3">
      <c r="A362" s="193">
        <f t="shared" si="5"/>
        <v>362</v>
      </c>
      <c r="B362" s="193" t="s">
        <v>2396</v>
      </c>
      <c r="C362" s="193" t="s">
        <v>2432</v>
      </c>
      <c r="D362" s="193"/>
      <c r="E362" s="193"/>
      <c r="F362" s="193"/>
      <c r="G362" s="193" t="s">
        <v>13</v>
      </c>
      <c r="H362" s="120" t="s">
        <v>688</v>
      </c>
      <c r="I362" s="199">
        <v>238119200570</v>
      </c>
      <c r="J362" s="193" t="s">
        <v>2017</v>
      </c>
      <c r="K362" s="193"/>
    </row>
    <row r="363" spans="1:11" x14ac:dyDescent="0.3">
      <c r="A363" s="193">
        <f t="shared" si="5"/>
        <v>363</v>
      </c>
      <c r="B363" s="193" t="s">
        <v>2433</v>
      </c>
      <c r="C363" s="193" t="s">
        <v>2434</v>
      </c>
      <c r="D363" s="193"/>
      <c r="E363" s="193"/>
      <c r="F363" s="193"/>
      <c r="G363" s="193" t="s">
        <v>13</v>
      </c>
      <c r="H363" s="120" t="s">
        <v>688</v>
      </c>
      <c r="I363" s="199">
        <v>232123131180</v>
      </c>
      <c r="J363" s="193" t="s">
        <v>2017</v>
      </c>
      <c r="K363" s="193"/>
    </row>
    <row r="364" spans="1:11" x14ac:dyDescent="0.3">
      <c r="A364" s="193">
        <f t="shared" si="5"/>
        <v>364</v>
      </c>
      <c r="B364" s="193" t="s">
        <v>2433</v>
      </c>
      <c r="C364" s="193" t="s">
        <v>2435</v>
      </c>
      <c r="D364" s="193"/>
      <c r="E364" s="193"/>
      <c r="F364" s="193"/>
      <c r="G364" s="193" t="s">
        <v>13</v>
      </c>
      <c r="H364" s="120" t="s">
        <v>688</v>
      </c>
      <c r="I364" s="199">
        <v>232123132060</v>
      </c>
      <c r="J364" s="193" t="s">
        <v>2017</v>
      </c>
      <c r="K364" s="193"/>
    </row>
    <row r="365" spans="1:11" x14ac:dyDescent="0.3">
      <c r="A365" s="193">
        <f t="shared" si="5"/>
        <v>365</v>
      </c>
      <c r="B365" s="193" t="s">
        <v>2433</v>
      </c>
      <c r="C365" s="193" t="s">
        <v>2436</v>
      </c>
      <c r="D365" s="193"/>
      <c r="E365" s="193"/>
      <c r="F365" s="193"/>
      <c r="G365" s="193" t="s">
        <v>13</v>
      </c>
      <c r="H365" s="120" t="s">
        <v>688</v>
      </c>
      <c r="I365" s="199">
        <v>232123133050</v>
      </c>
      <c r="J365" s="193" t="s">
        <v>2017</v>
      </c>
      <c r="K365" s="193"/>
    </row>
    <row r="366" spans="1:11" x14ac:dyDescent="0.3">
      <c r="A366" s="193">
        <f t="shared" si="5"/>
        <v>366</v>
      </c>
      <c r="B366" s="193" t="s">
        <v>2433</v>
      </c>
      <c r="C366" s="193" t="s">
        <v>2437</v>
      </c>
      <c r="D366" s="193"/>
      <c r="E366" s="193"/>
      <c r="F366" s="193"/>
      <c r="G366" s="193" t="s">
        <v>13</v>
      </c>
      <c r="H366" s="120" t="s">
        <v>688</v>
      </c>
      <c r="I366" s="235">
        <v>232123134040</v>
      </c>
      <c r="J366" s="193" t="s">
        <v>2017</v>
      </c>
      <c r="K366" s="193"/>
    </row>
    <row r="367" spans="1:11" x14ac:dyDescent="0.3">
      <c r="A367" s="193">
        <f t="shared" si="5"/>
        <v>367</v>
      </c>
      <c r="B367" s="193" t="s">
        <v>2433</v>
      </c>
      <c r="C367" s="193" t="s">
        <v>2438</v>
      </c>
      <c r="D367" s="193"/>
      <c r="E367" s="193"/>
      <c r="F367" s="193"/>
      <c r="G367" s="193" t="s">
        <v>13</v>
      </c>
      <c r="H367" s="120" t="s">
        <v>688</v>
      </c>
      <c r="I367" s="199">
        <v>232123134090</v>
      </c>
      <c r="J367" s="193" t="s">
        <v>2017</v>
      </c>
      <c r="K367" s="193"/>
    </row>
    <row r="368" spans="1:11" x14ac:dyDescent="0.3">
      <c r="A368" s="193">
        <f t="shared" si="5"/>
        <v>368</v>
      </c>
      <c r="B368" s="193" t="s">
        <v>2433</v>
      </c>
      <c r="C368" s="193" t="s">
        <v>2439</v>
      </c>
      <c r="D368" s="193"/>
      <c r="E368" s="193"/>
      <c r="F368" s="193"/>
      <c r="G368" s="193" t="s">
        <v>13</v>
      </c>
      <c r="H368" s="120" t="s">
        <v>688</v>
      </c>
      <c r="I368" s="235">
        <v>232123134100</v>
      </c>
      <c r="J368" s="193" t="s">
        <v>2017</v>
      </c>
      <c r="K368" s="193"/>
    </row>
    <row r="369" spans="1:11" x14ac:dyDescent="0.3">
      <c r="A369" s="193">
        <f t="shared" si="5"/>
        <v>369</v>
      </c>
      <c r="B369" s="193" t="s">
        <v>2433</v>
      </c>
      <c r="C369" s="193" t="s">
        <v>2440</v>
      </c>
      <c r="D369" s="193"/>
      <c r="E369" s="193"/>
      <c r="F369" s="193"/>
      <c r="G369" s="193" t="s">
        <v>13</v>
      </c>
      <c r="H369" s="120" t="s">
        <v>688</v>
      </c>
      <c r="I369" s="235">
        <v>232123134190</v>
      </c>
      <c r="J369" s="193" t="s">
        <v>2017</v>
      </c>
      <c r="K369" s="193"/>
    </row>
    <row r="370" spans="1:11" x14ac:dyDescent="0.3">
      <c r="A370" s="193">
        <f t="shared" si="5"/>
        <v>370</v>
      </c>
      <c r="B370" s="193" t="s">
        <v>2433</v>
      </c>
      <c r="C370" s="193" t="s">
        <v>2441</v>
      </c>
      <c r="D370" s="193"/>
      <c r="E370" s="193"/>
      <c r="F370" s="193"/>
      <c r="G370" s="193" t="s">
        <v>13</v>
      </c>
      <c r="H370" s="120" t="s">
        <v>688</v>
      </c>
      <c r="I370" s="235">
        <v>232123134300</v>
      </c>
      <c r="J370" s="193" t="s">
        <v>2017</v>
      </c>
      <c r="K370" s="193"/>
    </row>
    <row r="371" spans="1:11" x14ac:dyDescent="0.3">
      <c r="A371" s="193">
        <f t="shared" si="5"/>
        <v>371</v>
      </c>
      <c r="B371" s="193" t="s">
        <v>2433</v>
      </c>
      <c r="C371" s="193" t="s">
        <v>2442</v>
      </c>
      <c r="D371" s="193"/>
      <c r="E371" s="193"/>
      <c r="F371" s="193"/>
      <c r="G371" s="193" t="s">
        <v>13</v>
      </c>
      <c r="H371" s="120" t="s">
        <v>688</v>
      </c>
      <c r="I371" s="235">
        <v>232123134410</v>
      </c>
      <c r="J371" s="193" t="s">
        <v>2017</v>
      </c>
      <c r="K371" s="193"/>
    </row>
    <row r="372" spans="1:11" x14ac:dyDescent="0.3">
      <c r="A372" s="193">
        <f t="shared" si="5"/>
        <v>372</v>
      </c>
      <c r="B372" s="193" t="s">
        <v>2433</v>
      </c>
      <c r="C372" s="193" t="s">
        <v>2443</v>
      </c>
      <c r="D372" s="193"/>
      <c r="E372" s="193"/>
      <c r="F372" s="193"/>
      <c r="G372" s="193" t="s">
        <v>13</v>
      </c>
      <c r="H372" s="120" t="s">
        <v>688</v>
      </c>
      <c r="I372" s="235">
        <v>232123134420</v>
      </c>
      <c r="J372" s="193" t="s">
        <v>2017</v>
      </c>
      <c r="K372" s="193"/>
    </row>
    <row r="373" spans="1:11" x14ac:dyDescent="0.3">
      <c r="A373" s="193">
        <f t="shared" si="5"/>
        <v>373</v>
      </c>
      <c r="B373" s="193" t="s">
        <v>2433</v>
      </c>
      <c r="C373" s="193" t="s">
        <v>2444</v>
      </c>
      <c r="D373" s="193"/>
      <c r="E373" s="193"/>
      <c r="F373" s="193"/>
      <c r="G373" s="193" t="s">
        <v>13</v>
      </c>
      <c r="H373" s="120" t="s">
        <v>688</v>
      </c>
      <c r="I373" s="235">
        <v>232123134520</v>
      </c>
      <c r="J373" s="193" t="s">
        <v>2017</v>
      </c>
      <c r="K373" s="193"/>
    </row>
    <row r="374" spans="1:11" x14ac:dyDescent="0.3">
      <c r="A374" s="193">
        <f t="shared" si="5"/>
        <v>374</v>
      </c>
      <c r="B374" s="193" t="s">
        <v>2433</v>
      </c>
      <c r="C374" s="193" t="s">
        <v>2445</v>
      </c>
      <c r="D374" s="193"/>
      <c r="E374" s="193"/>
      <c r="F374" s="193"/>
      <c r="G374" s="193" t="s">
        <v>13</v>
      </c>
      <c r="H374" s="120" t="s">
        <v>688</v>
      </c>
      <c r="I374" s="235">
        <v>232123134530</v>
      </c>
      <c r="J374" s="193" t="s">
        <v>2017</v>
      </c>
      <c r="K374" s="193"/>
    </row>
    <row r="375" spans="1:11" x14ac:dyDescent="0.3">
      <c r="A375" s="193">
        <f t="shared" si="5"/>
        <v>375</v>
      </c>
      <c r="B375" s="193" t="s">
        <v>2433</v>
      </c>
      <c r="C375" s="193" t="s">
        <v>2446</v>
      </c>
      <c r="D375" s="193"/>
      <c r="E375" s="193"/>
      <c r="F375" s="193"/>
      <c r="G375" s="193" t="s">
        <v>13</v>
      </c>
      <c r="H375" s="120" t="s">
        <v>688</v>
      </c>
      <c r="I375" s="235">
        <v>232123134610</v>
      </c>
      <c r="J375" s="193" t="s">
        <v>2017</v>
      </c>
      <c r="K375" s="193"/>
    </row>
    <row r="376" spans="1:11" x14ac:dyDescent="0.3">
      <c r="A376" s="193">
        <f t="shared" si="5"/>
        <v>376</v>
      </c>
      <c r="B376" s="193" t="s">
        <v>2433</v>
      </c>
      <c r="C376" s="193" t="s">
        <v>2447</v>
      </c>
      <c r="D376" s="193"/>
      <c r="E376" s="193"/>
      <c r="F376" s="193"/>
      <c r="G376" s="193" t="s">
        <v>13</v>
      </c>
      <c r="H376" s="120" t="s">
        <v>688</v>
      </c>
      <c r="I376" s="235">
        <v>232123134620</v>
      </c>
      <c r="J376" s="193" t="s">
        <v>2017</v>
      </c>
      <c r="K376" s="193"/>
    </row>
    <row r="377" spans="1:11" x14ac:dyDescent="0.3">
      <c r="A377" s="193">
        <f t="shared" si="5"/>
        <v>377</v>
      </c>
      <c r="B377" s="193" t="s">
        <v>2433</v>
      </c>
      <c r="C377" s="193" t="s">
        <v>2448</v>
      </c>
      <c r="D377" s="193"/>
      <c r="E377" s="193"/>
      <c r="F377" s="193"/>
      <c r="G377" s="193" t="s">
        <v>13</v>
      </c>
      <c r="H377" s="120" t="s">
        <v>688</v>
      </c>
      <c r="I377" s="199">
        <v>232123135190</v>
      </c>
      <c r="J377" s="193" t="s">
        <v>2017</v>
      </c>
      <c r="K377" s="193"/>
    </row>
    <row r="378" spans="1:11" x14ac:dyDescent="0.3">
      <c r="A378" s="193">
        <f t="shared" si="5"/>
        <v>378</v>
      </c>
      <c r="B378" s="193" t="s">
        <v>2449</v>
      </c>
      <c r="C378" s="193" t="s">
        <v>2450</v>
      </c>
      <c r="D378" s="193"/>
      <c r="E378" s="193"/>
      <c r="F378" s="193"/>
      <c r="G378" s="193" t="s">
        <v>13</v>
      </c>
      <c r="H378" s="120" t="s">
        <v>688</v>
      </c>
      <c r="I378" s="199">
        <v>232129100120</v>
      </c>
      <c r="J378" s="193" t="s">
        <v>2017</v>
      </c>
      <c r="K378" s="193"/>
    </row>
    <row r="379" spans="1:11" x14ac:dyDescent="0.3">
      <c r="A379" s="193">
        <f t="shared" si="5"/>
        <v>379</v>
      </c>
      <c r="B379" s="193" t="s">
        <v>2449</v>
      </c>
      <c r="C379" s="193" t="s">
        <v>2451</v>
      </c>
      <c r="D379" s="193"/>
      <c r="E379" s="193"/>
      <c r="F379" s="193"/>
      <c r="G379" s="193" t="s">
        <v>13</v>
      </c>
      <c r="H379" s="120" t="s">
        <v>688</v>
      </c>
      <c r="I379" s="199">
        <v>232129100140</v>
      </c>
      <c r="J379" s="193" t="s">
        <v>2017</v>
      </c>
      <c r="K379" s="193"/>
    </row>
    <row r="380" spans="1:11" x14ac:dyDescent="0.3">
      <c r="A380" s="193">
        <f t="shared" si="5"/>
        <v>380</v>
      </c>
      <c r="B380" s="193" t="s">
        <v>2449</v>
      </c>
      <c r="C380" s="193" t="s">
        <v>2452</v>
      </c>
      <c r="D380" s="193"/>
      <c r="E380" s="193"/>
      <c r="F380" s="193"/>
      <c r="G380" s="193" t="s">
        <v>13</v>
      </c>
      <c r="H380" s="120" t="s">
        <v>688</v>
      </c>
      <c r="I380" s="199">
        <v>232129100160</v>
      </c>
      <c r="J380" s="193" t="s">
        <v>2017</v>
      </c>
      <c r="K380" s="193"/>
    </row>
    <row r="381" spans="1:11" x14ac:dyDescent="0.3">
      <c r="A381" s="193">
        <f t="shared" si="5"/>
        <v>381</v>
      </c>
      <c r="B381" s="193" t="s">
        <v>2449</v>
      </c>
      <c r="C381" s="193" t="s">
        <v>2453</v>
      </c>
      <c r="D381" s="193"/>
      <c r="E381" s="193"/>
      <c r="F381" s="193"/>
      <c r="G381" s="193" t="s">
        <v>13</v>
      </c>
      <c r="H381" s="120" t="s">
        <v>688</v>
      </c>
      <c r="I381" s="199">
        <v>232129100260</v>
      </c>
      <c r="J381" s="193" t="s">
        <v>2017</v>
      </c>
      <c r="K381" s="193"/>
    </row>
    <row r="382" spans="1:11" x14ac:dyDescent="0.3">
      <c r="A382" s="193">
        <f t="shared" si="5"/>
        <v>382</v>
      </c>
      <c r="B382" s="193" t="s">
        <v>2454</v>
      </c>
      <c r="C382" s="193" t="s">
        <v>2455</v>
      </c>
      <c r="D382" s="193"/>
      <c r="E382" s="193"/>
      <c r="F382" s="193"/>
      <c r="G382" s="193" t="s">
        <v>13</v>
      </c>
      <c r="H382" s="120" t="s">
        <v>688</v>
      </c>
      <c r="I382" s="199">
        <v>235123100100</v>
      </c>
      <c r="J382" s="193" t="s">
        <v>2017</v>
      </c>
      <c r="K382" s="193"/>
    </row>
    <row r="383" spans="1:11" x14ac:dyDescent="0.3">
      <c r="A383" s="193">
        <f t="shared" si="5"/>
        <v>383</v>
      </c>
      <c r="B383" s="193" t="s">
        <v>2454</v>
      </c>
      <c r="C383" s="193" t="s">
        <v>2456</v>
      </c>
      <c r="D383" s="193"/>
      <c r="E383" s="193"/>
      <c r="F383" s="193"/>
      <c r="G383" s="193" t="s">
        <v>13</v>
      </c>
      <c r="H383" s="120" t="s">
        <v>688</v>
      </c>
      <c r="I383" s="199">
        <v>235123100120</v>
      </c>
      <c r="J383" s="193" t="s">
        <v>2017</v>
      </c>
      <c r="K383" s="193"/>
    </row>
    <row r="384" spans="1:11" x14ac:dyDescent="0.3">
      <c r="A384" s="193">
        <f t="shared" si="5"/>
        <v>384</v>
      </c>
      <c r="B384" s="193" t="s">
        <v>2454</v>
      </c>
      <c r="C384" s="193" t="s">
        <v>2457</v>
      </c>
      <c r="D384" s="193"/>
      <c r="E384" s="193"/>
      <c r="F384" s="193"/>
      <c r="G384" s="193" t="s">
        <v>13</v>
      </c>
      <c r="H384" s="120" t="s">
        <v>688</v>
      </c>
      <c r="I384" s="199">
        <v>235123100140</v>
      </c>
      <c r="J384" s="193" t="s">
        <v>2017</v>
      </c>
      <c r="K384" s="193"/>
    </row>
    <row r="385" spans="1:11" x14ac:dyDescent="0.3">
      <c r="A385" s="193">
        <f t="shared" ref="A385:A448" si="6">A384+1</f>
        <v>385</v>
      </c>
      <c r="B385" s="193" t="s">
        <v>2454</v>
      </c>
      <c r="C385" s="193" t="s">
        <v>2458</v>
      </c>
      <c r="D385" s="193"/>
      <c r="E385" s="193"/>
      <c r="F385" s="193"/>
      <c r="G385" s="193" t="s">
        <v>13</v>
      </c>
      <c r="H385" s="120" t="s">
        <v>688</v>
      </c>
      <c r="I385" s="199">
        <v>235123100670</v>
      </c>
      <c r="J385" s="193" t="s">
        <v>2017</v>
      </c>
      <c r="K385" s="193"/>
    </row>
    <row r="386" spans="1:11" x14ac:dyDescent="0.3">
      <c r="A386" s="193">
        <f t="shared" si="6"/>
        <v>386</v>
      </c>
      <c r="B386" s="193" t="s">
        <v>2454</v>
      </c>
      <c r="C386" s="193" t="s">
        <v>2459</v>
      </c>
      <c r="D386" s="193"/>
      <c r="E386" s="193"/>
      <c r="F386" s="193"/>
      <c r="G386" s="193" t="s">
        <v>13</v>
      </c>
      <c r="H386" s="120" t="s">
        <v>688</v>
      </c>
      <c r="I386" s="199">
        <v>235123100980</v>
      </c>
      <c r="J386" s="193" t="s">
        <v>2017</v>
      </c>
      <c r="K386" s="193"/>
    </row>
    <row r="387" spans="1:11" x14ac:dyDescent="0.3">
      <c r="A387" s="193">
        <f t="shared" si="6"/>
        <v>387</v>
      </c>
      <c r="B387" s="193" t="s">
        <v>2454</v>
      </c>
      <c r="C387" s="193" t="s">
        <v>2460</v>
      </c>
      <c r="D387" s="193"/>
      <c r="E387" s="193"/>
      <c r="F387" s="193"/>
      <c r="G387" s="193" t="s">
        <v>13</v>
      </c>
      <c r="H387" s="120" t="s">
        <v>688</v>
      </c>
      <c r="I387" s="199">
        <v>235123101050</v>
      </c>
      <c r="J387" s="193" t="s">
        <v>2017</v>
      </c>
      <c r="K387" s="193"/>
    </row>
    <row r="388" spans="1:11" x14ac:dyDescent="0.3">
      <c r="A388" s="193">
        <f t="shared" si="6"/>
        <v>388</v>
      </c>
      <c r="B388" s="193" t="s">
        <v>2454</v>
      </c>
      <c r="C388" s="193" t="s">
        <v>2461</v>
      </c>
      <c r="D388" s="193"/>
      <c r="E388" s="193"/>
      <c r="F388" s="193"/>
      <c r="G388" s="193" t="s">
        <v>13</v>
      </c>
      <c r="H388" s="120" t="s">
        <v>688</v>
      </c>
      <c r="I388" s="199">
        <v>235123101070</v>
      </c>
      <c r="J388" s="193" t="s">
        <v>2017</v>
      </c>
      <c r="K388" s="193"/>
    </row>
    <row r="389" spans="1:11" x14ac:dyDescent="0.3">
      <c r="A389" s="193">
        <f t="shared" si="6"/>
        <v>389</v>
      </c>
      <c r="B389" s="193" t="s">
        <v>2454</v>
      </c>
      <c r="C389" s="193" t="s">
        <v>2462</v>
      </c>
      <c r="D389" s="193"/>
      <c r="E389" s="193"/>
      <c r="F389" s="193"/>
      <c r="G389" s="193" t="s">
        <v>13</v>
      </c>
      <c r="H389" s="120" t="s">
        <v>688</v>
      </c>
      <c r="I389" s="199">
        <v>235123101230</v>
      </c>
      <c r="J389" s="193" t="s">
        <v>2017</v>
      </c>
      <c r="K389" s="193"/>
    </row>
    <row r="390" spans="1:11" x14ac:dyDescent="0.3">
      <c r="A390" s="193">
        <f t="shared" si="6"/>
        <v>390</v>
      </c>
      <c r="B390" s="193" t="s">
        <v>2454</v>
      </c>
      <c r="C390" s="193" t="s">
        <v>2463</v>
      </c>
      <c r="D390" s="193"/>
      <c r="E390" s="193"/>
      <c r="F390" s="193"/>
      <c r="G390" s="193" t="s">
        <v>13</v>
      </c>
      <c r="H390" s="120" t="s">
        <v>688</v>
      </c>
      <c r="I390" s="199">
        <v>235123101490</v>
      </c>
      <c r="J390" s="193" t="s">
        <v>2017</v>
      </c>
      <c r="K390" s="193"/>
    </row>
    <row r="391" spans="1:11" x14ac:dyDescent="0.3">
      <c r="A391" s="193">
        <f t="shared" si="6"/>
        <v>391</v>
      </c>
      <c r="B391" s="193" t="s">
        <v>2454</v>
      </c>
      <c r="C391" s="193" t="s">
        <v>2464</v>
      </c>
      <c r="D391" s="193"/>
      <c r="E391" s="193"/>
      <c r="F391" s="193"/>
      <c r="G391" s="193" t="s">
        <v>13</v>
      </c>
      <c r="H391" s="120" t="s">
        <v>688</v>
      </c>
      <c r="I391" s="199">
        <v>235123101760</v>
      </c>
      <c r="J391" s="193" t="s">
        <v>2017</v>
      </c>
      <c r="K391" s="193"/>
    </row>
    <row r="392" spans="1:11" x14ac:dyDescent="0.3">
      <c r="A392" s="193">
        <f t="shared" si="6"/>
        <v>392</v>
      </c>
      <c r="B392" s="193" t="s">
        <v>2454</v>
      </c>
      <c r="C392" s="193" t="s">
        <v>2465</v>
      </c>
      <c r="D392" s="193"/>
      <c r="E392" s="193"/>
      <c r="F392" s="193"/>
      <c r="G392" s="193" t="s">
        <v>13</v>
      </c>
      <c r="H392" s="120" t="s">
        <v>688</v>
      </c>
      <c r="I392" s="199">
        <v>235123101780</v>
      </c>
      <c r="J392" s="193" t="s">
        <v>2017</v>
      </c>
      <c r="K392" s="193"/>
    </row>
    <row r="393" spans="1:11" x14ac:dyDescent="0.3">
      <c r="A393" s="193">
        <f t="shared" si="6"/>
        <v>393</v>
      </c>
      <c r="B393" s="193" t="s">
        <v>2466</v>
      </c>
      <c r="C393" s="193" t="s">
        <v>2467</v>
      </c>
      <c r="D393" s="193">
        <v>7.5</v>
      </c>
      <c r="E393" s="193" t="s">
        <v>1316</v>
      </c>
      <c r="F393" s="193"/>
      <c r="G393" s="193" t="s">
        <v>13</v>
      </c>
      <c r="H393" s="120" t="s">
        <v>688</v>
      </c>
      <c r="I393" s="199">
        <v>235213102000</v>
      </c>
      <c r="J393" s="193" t="s">
        <v>2017</v>
      </c>
      <c r="K393" s="193"/>
    </row>
    <row r="394" spans="1:11" x14ac:dyDescent="0.3">
      <c r="A394" s="193">
        <f t="shared" si="6"/>
        <v>394</v>
      </c>
      <c r="B394" s="193" t="s">
        <v>2466</v>
      </c>
      <c r="C394" s="193" t="s">
        <v>2468</v>
      </c>
      <c r="D394" s="193">
        <v>15</v>
      </c>
      <c r="E394" s="193" t="s">
        <v>1316</v>
      </c>
      <c r="F394" s="193"/>
      <c r="G394" s="193" t="s">
        <v>13</v>
      </c>
      <c r="H394" s="120" t="s">
        <v>688</v>
      </c>
      <c r="I394" s="199">
        <v>235213102020</v>
      </c>
      <c r="J394" s="193" t="s">
        <v>2017</v>
      </c>
      <c r="K394" s="193"/>
    </row>
    <row r="395" spans="1:11" x14ac:dyDescent="0.3">
      <c r="A395" s="193">
        <f t="shared" si="6"/>
        <v>395</v>
      </c>
      <c r="B395" s="193" t="s">
        <v>2466</v>
      </c>
      <c r="C395" s="193" t="s">
        <v>2469</v>
      </c>
      <c r="D395" s="193">
        <v>30</v>
      </c>
      <c r="E395" s="193" t="s">
        <v>1316</v>
      </c>
      <c r="F395" s="193"/>
      <c r="G395" s="193" t="s">
        <v>13</v>
      </c>
      <c r="H395" s="120" t="s">
        <v>688</v>
      </c>
      <c r="I395" s="236">
        <v>235213102040</v>
      </c>
      <c r="J395" s="193" t="s">
        <v>2017</v>
      </c>
      <c r="K395" s="193"/>
    </row>
    <row r="396" spans="1:11" x14ac:dyDescent="0.3">
      <c r="A396" s="193">
        <f t="shared" si="6"/>
        <v>396</v>
      </c>
      <c r="B396" s="193" t="s">
        <v>2466</v>
      </c>
      <c r="C396" s="193" t="s">
        <v>2470</v>
      </c>
      <c r="D396" s="193">
        <v>45</v>
      </c>
      <c r="E396" s="193" t="s">
        <v>1316</v>
      </c>
      <c r="F396" s="193"/>
      <c r="G396" s="193" t="s">
        <v>13</v>
      </c>
      <c r="H396" s="120" t="s">
        <v>688</v>
      </c>
      <c r="I396" s="199">
        <v>235213102060</v>
      </c>
      <c r="J396" s="193" t="s">
        <v>2017</v>
      </c>
      <c r="K396" s="193"/>
    </row>
    <row r="397" spans="1:11" x14ac:dyDescent="0.3">
      <c r="A397" s="193">
        <f t="shared" si="6"/>
        <v>397</v>
      </c>
      <c r="B397" s="193" t="s">
        <v>2466</v>
      </c>
      <c r="C397" s="193" t="s">
        <v>2471</v>
      </c>
      <c r="D397" s="193">
        <v>60</v>
      </c>
      <c r="E397" s="193" t="s">
        <v>1316</v>
      </c>
      <c r="F397" s="193"/>
      <c r="G397" s="193" t="s">
        <v>13</v>
      </c>
      <c r="H397" s="120" t="s">
        <v>688</v>
      </c>
      <c r="I397" s="236">
        <v>235213102070</v>
      </c>
      <c r="J397" s="193" t="s">
        <v>2017</v>
      </c>
      <c r="K397" s="193"/>
    </row>
    <row r="398" spans="1:11" x14ac:dyDescent="0.3">
      <c r="A398" s="193">
        <f t="shared" si="6"/>
        <v>398</v>
      </c>
      <c r="B398" s="193" t="s">
        <v>2466</v>
      </c>
      <c r="C398" s="193" t="s">
        <v>2472</v>
      </c>
      <c r="D398" s="193">
        <v>75</v>
      </c>
      <c r="E398" s="193" t="s">
        <v>1316</v>
      </c>
      <c r="F398" s="193"/>
      <c r="G398" s="193" t="s">
        <v>13</v>
      </c>
      <c r="H398" s="120" t="s">
        <v>688</v>
      </c>
      <c r="I398" s="236">
        <v>235213102080</v>
      </c>
      <c r="J398" s="193" t="s">
        <v>2017</v>
      </c>
      <c r="K398" s="193"/>
    </row>
    <row r="399" spans="1:11" x14ac:dyDescent="0.3">
      <c r="A399" s="193">
        <f t="shared" si="6"/>
        <v>399</v>
      </c>
      <c r="B399" s="193" t="s">
        <v>2466</v>
      </c>
      <c r="C399" s="193" t="s">
        <v>2473</v>
      </c>
      <c r="D399" s="193">
        <v>90</v>
      </c>
      <c r="E399" s="193" t="s">
        <v>1316</v>
      </c>
      <c r="F399" s="193"/>
      <c r="G399" s="193" t="s">
        <v>13</v>
      </c>
      <c r="H399" s="120" t="s">
        <v>688</v>
      </c>
      <c r="I399" s="236">
        <v>235213102100</v>
      </c>
      <c r="J399" s="193" t="s">
        <v>2017</v>
      </c>
      <c r="K399" s="193"/>
    </row>
    <row r="400" spans="1:11" x14ac:dyDescent="0.3">
      <c r="A400" s="193">
        <f t="shared" si="6"/>
        <v>400</v>
      </c>
      <c r="B400" s="193" t="s">
        <v>2466</v>
      </c>
      <c r="C400" s="193" t="s">
        <v>2474</v>
      </c>
      <c r="D400" s="193">
        <v>105</v>
      </c>
      <c r="E400" s="193" t="s">
        <v>1316</v>
      </c>
      <c r="F400" s="193"/>
      <c r="G400" s="193" t="s">
        <v>13</v>
      </c>
      <c r="H400" s="120" t="s">
        <v>688</v>
      </c>
      <c r="I400" s="236">
        <v>235213102120</v>
      </c>
      <c r="J400" s="193" t="s">
        <v>2017</v>
      </c>
      <c r="K400" s="193"/>
    </row>
    <row r="401" spans="1:11" x14ac:dyDescent="0.3">
      <c r="A401" s="193">
        <f t="shared" si="6"/>
        <v>401</v>
      </c>
      <c r="B401" s="193" t="s">
        <v>2466</v>
      </c>
      <c r="C401" s="193" t="s">
        <v>2475</v>
      </c>
      <c r="D401" s="193">
        <v>135</v>
      </c>
      <c r="E401" s="193" t="s">
        <v>1316</v>
      </c>
      <c r="F401" s="193"/>
      <c r="G401" s="193" t="s">
        <v>13</v>
      </c>
      <c r="H401" s="120" t="s">
        <v>688</v>
      </c>
      <c r="I401" s="199">
        <v>235213102160</v>
      </c>
      <c r="J401" s="193" t="s">
        <v>2017</v>
      </c>
      <c r="K401" s="193"/>
    </row>
    <row r="402" spans="1:11" x14ac:dyDescent="0.3">
      <c r="A402" s="193">
        <f t="shared" si="6"/>
        <v>402</v>
      </c>
      <c r="B402" s="193" t="s">
        <v>2466</v>
      </c>
      <c r="C402" s="193" t="s">
        <v>2476</v>
      </c>
      <c r="D402" s="193">
        <v>150</v>
      </c>
      <c r="E402" s="193" t="s">
        <v>1316</v>
      </c>
      <c r="F402" s="193"/>
      <c r="G402" s="193" t="s">
        <v>13</v>
      </c>
      <c r="H402" s="120" t="s">
        <v>688</v>
      </c>
      <c r="I402" s="236">
        <v>235213102180</v>
      </c>
      <c r="J402" s="193" t="s">
        <v>2017</v>
      </c>
      <c r="K402" s="193"/>
    </row>
    <row r="403" spans="1:11" x14ac:dyDescent="0.3">
      <c r="A403" s="193">
        <f t="shared" si="6"/>
        <v>403</v>
      </c>
      <c r="B403" s="193" t="s">
        <v>2466</v>
      </c>
      <c r="C403" s="193" t="s">
        <v>2477</v>
      </c>
      <c r="D403" s="193">
        <v>165</v>
      </c>
      <c r="E403" s="193" t="s">
        <v>1316</v>
      </c>
      <c r="F403" s="193"/>
      <c r="G403" s="193" t="s">
        <v>13</v>
      </c>
      <c r="H403" s="120" t="s">
        <v>688</v>
      </c>
      <c r="I403" s="236">
        <v>235213102200</v>
      </c>
      <c r="J403" s="193" t="s">
        <v>2017</v>
      </c>
      <c r="K403" s="193"/>
    </row>
    <row r="404" spans="1:11" x14ac:dyDescent="0.3">
      <c r="A404" s="193">
        <f t="shared" si="6"/>
        <v>404</v>
      </c>
      <c r="B404" s="193" t="s">
        <v>2466</v>
      </c>
      <c r="C404" s="193" t="s">
        <v>2478</v>
      </c>
      <c r="D404" s="193">
        <v>296</v>
      </c>
      <c r="E404" s="193" t="s">
        <v>1316</v>
      </c>
      <c r="F404" s="193"/>
      <c r="G404" s="193" t="s">
        <v>13</v>
      </c>
      <c r="H404" s="120" t="s">
        <v>688</v>
      </c>
      <c r="I404" s="236">
        <v>235213102220</v>
      </c>
      <c r="J404" s="193" t="s">
        <v>2017</v>
      </c>
      <c r="K404" s="193"/>
    </row>
    <row r="405" spans="1:11" x14ac:dyDescent="0.3">
      <c r="A405" s="193">
        <f t="shared" si="6"/>
        <v>405</v>
      </c>
      <c r="B405" s="193" t="s">
        <v>2466</v>
      </c>
      <c r="C405" s="193" t="s">
        <v>2479</v>
      </c>
      <c r="D405" s="193">
        <v>370</v>
      </c>
      <c r="E405" s="193" t="s">
        <v>1316</v>
      </c>
      <c r="F405" s="193"/>
      <c r="G405" s="193" t="s">
        <v>13</v>
      </c>
      <c r="H405" s="120" t="s">
        <v>688</v>
      </c>
      <c r="I405" s="236">
        <v>235213102280</v>
      </c>
      <c r="J405" s="193" t="s">
        <v>2017</v>
      </c>
      <c r="K405" s="193"/>
    </row>
    <row r="406" spans="1:11" x14ac:dyDescent="0.3">
      <c r="A406" s="193">
        <f t="shared" si="6"/>
        <v>406</v>
      </c>
      <c r="B406" s="193" t="s">
        <v>2466</v>
      </c>
      <c r="C406" s="193" t="s">
        <v>2480</v>
      </c>
      <c r="D406" s="193">
        <v>444</v>
      </c>
      <c r="E406" s="193" t="s">
        <v>1316</v>
      </c>
      <c r="F406" s="193"/>
      <c r="G406" s="193" t="s">
        <v>13</v>
      </c>
      <c r="H406" s="120" t="s">
        <v>688</v>
      </c>
      <c r="I406" s="236">
        <v>235213102300</v>
      </c>
      <c r="J406" s="193" t="s">
        <v>2017</v>
      </c>
      <c r="K406" s="193"/>
    </row>
    <row r="407" spans="1:11" x14ac:dyDescent="0.3">
      <c r="A407" s="193">
        <f t="shared" si="6"/>
        <v>407</v>
      </c>
      <c r="B407" s="193" t="s">
        <v>2466</v>
      </c>
      <c r="C407" s="193" t="s">
        <v>2481</v>
      </c>
      <c r="D407" s="193">
        <v>518</v>
      </c>
      <c r="E407" s="193" t="s">
        <v>1316</v>
      </c>
      <c r="F407" s="193"/>
      <c r="G407" s="193" t="s">
        <v>13</v>
      </c>
      <c r="H407" s="120" t="s">
        <v>688</v>
      </c>
      <c r="I407" s="236">
        <v>235213102340</v>
      </c>
      <c r="J407" s="193" t="s">
        <v>2017</v>
      </c>
      <c r="K407" s="193"/>
    </row>
    <row r="408" spans="1:11" x14ac:dyDescent="0.3">
      <c r="A408" s="193">
        <f t="shared" si="6"/>
        <v>408</v>
      </c>
      <c r="B408" s="193" t="s">
        <v>2466</v>
      </c>
      <c r="C408" s="193" t="s">
        <v>2482</v>
      </c>
      <c r="D408" s="193">
        <v>592</v>
      </c>
      <c r="E408" s="193" t="s">
        <v>1316</v>
      </c>
      <c r="F408" s="193"/>
      <c r="G408" s="193" t="s">
        <v>13</v>
      </c>
      <c r="H408" s="120" t="s">
        <v>688</v>
      </c>
      <c r="I408" s="236">
        <v>235213102360</v>
      </c>
      <c r="J408" s="193" t="s">
        <v>2017</v>
      </c>
      <c r="K408" s="193"/>
    </row>
    <row r="409" spans="1:11" x14ac:dyDescent="0.3">
      <c r="A409" s="193">
        <f t="shared" si="6"/>
        <v>409</v>
      </c>
      <c r="B409" s="193" t="s">
        <v>2466</v>
      </c>
      <c r="C409" s="193" t="s">
        <v>2483</v>
      </c>
      <c r="D409" s="193">
        <v>666</v>
      </c>
      <c r="E409" s="193" t="s">
        <v>1316</v>
      </c>
      <c r="F409" s="193"/>
      <c r="G409" s="193" t="s">
        <v>13</v>
      </c>
      <c r="H409" s="120" t="s">
        <v>688</v>
      </c>
      <c r="I409" s="236">
        <v>235213102400</v>
      </c>
      <c r="J409" s="193" t="s">
        <v>2017</v>
      </c>
      <c r="K409" s="193"/>
    </row>
    <row r="410" spans="1:11" x14ac:dyDescent="0.3">
      <c r="A410" s="193">
        <f t="shared" si="6"/>
        <v>410</v>
      </c>
      <c r="B410" s="193" t="s">
        <v>2466</v>
      </c>
      <c r="C410" s="193" t="s">
        <v>2484</v>
      </c>
      <c r="D410" s="193">
        <v>740</v>
      </c>
      <c r="E410" s="193" t="s">
        <v>1316</v>
      </c>
      <c r="F410" s="193"/>
      <c r="G410" s="193" t="s">
        <v>13</v>
      </c>
      <c r="H410" s="120" t="s">
        <v>688</v>
      </c>
      <c r="I410" s="236">
        <v>235213102420</v>
      </c>
      <c r="J410" s="193" t="s">
        <v>2017</v>
      </c>
      <c r="K410" s="193"/>
    </row>
    <row r="411" spans="1:11" x14ac:dyDescent="0.3">
      <c r="A411" s="193">
        <f t="shared" si="6"/>
        <v>411</v>
      </c>
      <c r="B411" s="193" t="s">
        <v>2466</v>
      </c>
      <c r="C411" s="193" t="s">
        <v>2485</v>
      </c>
      <c r="D411" s="193">
        <v>814</v>
      </c>
      <c r="E411" s="193" t="s">
        <v>1316</v>
      </c>
      <c r="F411" s="193"/>
      <c r="G411" s="193" t="s">
        <v>13</v>
      </c>
      <c r="H411" s="120" t="s">
        <v>688</v>
      </c>
      <c r="I411" s="236">
        <v>235213102440</v>
      </c>
      <c r="J411" s="193" t="s">
        <v>2017</v>
      </c>
      <c r="K411" s="193"/>
    </row>
    <row r="412" spans="1:11" x14ac:dyDescent="0.3">
      <c r="A412" s="193">
        <f t="shared" si="6"/>
        <v>412</v>
      </c>
      <c r="B412" s="193" t="s">
        <v>2466</v>
      </c>
      <c r="C412" s="193" t="s">
        <v>2486</v>
      </c>
      <c r="D412" s="193">
        <v>888</v>
      </c>
      <c r="E412" s="193" t="s">
        <v>1316</v>
      </c>
      <c r="F412" s="193"/>
      <c r="G412" s="193" t="s">
        <v>13</v>
      </c>
      <c r="H412" s="120" t="s">
        <v>688</v>
      </c>
      <c r="I412" s="236">
        <v>235213102460</v>
      </c>
      <c r="J412" s="193" t="s">
        <v>2017</v>
      </c>
      <c r="K412" s="193"/>
    </row>
    <row r="413" spans="1:11" x14ac:dyDescent="0.3">
      <c r="A413" s="193">
        <f t="shared" si="6"/>
        <v>413</v>
      </c>
      <c r="B413" s="193" t="s">
        <v>2466</v>
      </c>
      <c r="C413" s="193" t="s">
        <v>2487</v>
      </c>
      <c r="D413" s="193">
        <v>962</v>
      </c>
      <c r="E413" s="193" t="s">
        <v>1316</v>
      </c>
      <c r="F413" s="193"/>
      <c r="G413" s="193" t="s">
        <v>13</v>
      </c>
      <c r="H413" s="120" t="s">
        <v>688</v>
      </c>
      <c r="I413" s="236">
        <v>235213102480</v>
      </c>
      <c r="J413" s="193" t="s">
        <v>2017</v>
      </c>
      <c r="K413" s="193"/>
    </row>
    <row r="414" spans="1:11" x14ac:dyDescent="0.3">
      <c r="A414" s="193">
        <f t="shared" si="6"/>
        <v>414</v>
      </c>
      <c r="B414" s="193" t="s">
        <v>2466</v>
      </c>
      <c r="C414" s="193" t="s">
        <v>2488</v>
      </c>
      <c r="D414" s="193">
        <v>1036</v>
      </c>
      <c r="E414" s="193" t="s">
        <v>1316</v>
      </c>
      <c r="F414" s="193"/>
      <c r="G414" s="193" t="s">
        <v>13</v>
      </c>
      <c r="H414" s="120" t="s">
        <v>688</v>
      </c>
      <c r="I414" s="236">
        <v>235213102500</v>
      </c>
      <c r="J414" s="193" t="s">
        <v>2017</v>
      </c>
      <c r="K414" s="193"/>
    </row>
    <row r="415" spans="1:11" x14ac:dyDescent="0.3">
      <c r="A415" s="193">
        <f t="shared" si="6"/>
        <v>415</v>
      </c>
      <c r="B415" s="193" t="s">
        <v>2466</v>
      </c>
      <c r="C415" s="193" t="s">
        <v>2489</v>
      </c>
      <c r="D415" s="193">
        <v>1110</v>
      </c>
      <c r="E415" s="193" t="s">
        <v>1316</v>
      </c>
      <c r="F415" s="193"/>
      <c r="G415" s="193" t="s">
        <v>13</v>
      </c>
      <c r="H415" s="120" t="s">
        <v>688</v>
      </c>
      <c r="I415" s="236">
        <v>235213102520</v>
      </c>
      <c r="J415" s="193" t="s">
        <v>2017</v>
      </c>
      <c r="K415" s="193"/>
    </row>
    <row r="416" spans="1:11" x14ac:dyDescent="0.3">
      <c r="A416" s="193">
        <f t="shared" si="6"/>
        <v>416</v>
      </c>
      <c r="B416" s="193" t="s">
        <v>2466</v>
      </c>
      <c r="C416" s="193" t="s">
        <v>2490</v>
      </c>
      <c r="D416" s="193">
        <v>1440</v>
      </c>
      <c r="E416" s="193" t="s">
        <v>1316</v>
      </c>
      <c r="F416" s="193"/>
      <c r="G416" s="193" t="s">
        <v>13</v>
      </c>
      <c r="H416" s="120" t="s">
        <v>688</v>
      </c>
      <c r="I416" s="236">
        <v>235213102540</v>
      </c>
      <c r="J416" s="193" t="s">
        <v>2017</v>
      </c>
      <c r="K416" s="193"/>
    </row>
    <row r="417" spans="1:11" x14ac:dyDescent="0.3">
      <c r="A417" s="193">
        <f t="shared" si="6"/>
        <v>417</v>
      </c>
      <c r="B417" s="193" t="s">
        <v>2466</v>
      </c>
      <c r="C417" s="193" t="s">
        <v>2491</v>
      </c>
      <c r="D417" s="193">
        <v>1560</v>
      </c>
      <c r="E417" s="193" t="s">
        <v>1316</v>
      </c>
      <c r="F417" s="193"/>
      <c r="G417" s="193" t="s">
        <v>13</v>
      </c>
      <c r="H417" s="120" t="s">
        <v>688</v>
      </c>
      <c r="I417" s="236">
        <v>235213102560</v>
      </c>
      <c r="J417" s="193" t="s">
        <v>2017</v>
      </c>
      <c r="K417" s="193"/>
    </row>
    <row r="418" spans="1:11" x14ac:dyDescent="0.3">
      <c r="A418" s="193">
        <f t="shared" si="6"/>
        <v>418</v>
      </c>
      <c r="B418" s="193" t="s">
        <v>2466</v>
      </c>
      <c r="C418" s="193" t="s">
        <v>2492</v>
      </c>
      <c r="D418" s="193">
        <v>1680</v>
      </c>
      <c r="E418" s="193" t="s">
        <v>1316</v>
      </c>
      <c r="F418" s="193"/>
      <c r="G418" s="193" t="s">
        <v>13</v>
      </c>
      <c r="H418" s="120" t="s">
        <v>688</v>
      </c>
      <c r="I418" s="236">
        <v>235213102580</v>
      </c>
      <c r="J418" s="193" t="s">
        <v>2017</v>
      </c>
      <c r="K418" s="193"/>
    </row>
    <row r="419" spans="1:11" x14ac:dyDescent="0.3">
      <c r="A419" s="193">
        <f t="shared" si="6"/>
        <v>419</v>
      </c>
      <c r="B419" s="193" t="s">
        <v>2466</v>
      </c>
      <c r="C419" s="193" t="s">
        <v>2493</v>
      </c>
      <c r="D419" s="193">
        <v>1800</v>
      </c>
      <c r="E419" s="193" t="s">
        <v>1316</v>
      </c>
      <c r="F419" s="193"/>
      <c r="G419" s="193" t="s">
        <v>13</v>
      </c>
      <c r="H419" s="120" t="s">
        <v>688</v>
      </c>
      <c r="I419" s="236">
        <v>235213102600</v>
      </c>
      <c r="J419" s="193" t="s">
        <v>2017</v>
      </c>
      <c r="K419" s="193"/>
    </row>
    <row r="420" spans="1:11" x14ac:dyDescent="0.3">
      <c r="A420" s="193">
        <f t="shared" si="6"/>
        <v>420</v>
      </c>
      <c r="B420" s="193" t="s">
        <v>2466</v>
      </c>
      <c r="C420" s="193" t="s">
        <v>2494</v>
      </c>
      <c r="D420" s="193">
        <v>1980</v>
      </c>
      <c r="E420" s="193" t="s">
        <v>1316</v>
      </c>
      <c r="F420" s="193"/>
      <c r="G420" s="193" t="s">
        <v>13</v>
      </c>
      <c r="H420" s="120" t="s">
        <v>688</v>
      </c>
      <c r="I420" s="236">
        <v>235213102620</v>
      </c>
      <c r="J420" s="193" t="s">
        <v>2017</v>
      </c>
      <c r="K420" s="193"/>
    </row>
    <row r="421" spans="1:11" x14ac:dyDescent="0.3">
      <c r="A421" s="193">
        <f t="shared" si="6"/>
        <v>421</v>
      </c>
      <c r="B421" s="193" t="s">
        <v>2466</v>
      </c>
      <c r="C421" s="193" t="s">
        <v>2495</v>
      </c>
      <c r="D421" s="193">
        <v>2100</v>
      </c>
      <c r="E421" s="193" t="s">
        <v>1316</v>
      </c>
      <c r="F421" s="193"/>
      <c r="G421" s="193" t="s">
        <v>13</v>
      </c>
      <c r="H421" s="120" t="s">
        <v>688</v>
      </c>
      <c r="I421" s="236">
        <v>235213102640</v>
      </c>
      <c r="J421" s="193" t="s">
        <v>2017</v>
      </c>
      <c r="K421" s="193"/>
    </row>
    <row r="422" spans="1:11" x14ac:dyDescent="0.3">
      <c r="A422" s="193">
        <f t="shared" si="6"/>
        <v>422</v>
      </c>
      <c r="B422" s="193" t="s">
        <v>2466</v>
      </c>
      <c r="C422" s="193" t="s">
        <v>2496</v>
      </c>
      <c r="D422" s="193">
        <v>2220</v>
      </c>
      <c r="E422" s="193" t="s">
        <v>1316</v>
      </c>
      <c r="F422" s="193"/>
      <c r="G422" s="193" t="s">
        <v>13</v>
      </c>
      <c r="H422" s="120" t="s">
        <v>688</v>
      </c>
      <c r="I422" s="236">
        <v>235213102660</v>
      </c>
      <c r="J422" s="193" t="s">
        <v>2017</v>
      </c>
      <c r="K422" s="193"/>
    </row>
    <row r="423" spans="1:11" x14ac:dyDescent="0.3">
      <c r="A423" s="193">
        <f t="shared" si="6"/>
        <v>423</v>
      </c>
      <c r="B423" s="193" t="s">
        <v>2466</v>
      </c>
      <c r="C423" s="193" t="s">
        <v>2497</v>
      </c>
      <c r="D423" s="193">
        <v>2400</v>
      </c>
      <c r="E423" s="193" t="s">
        <v>1316</v>
      </c>
      <c r="F423" s="193"/>
      <c r="G423" s="193" t="s">
        <v>13</v>
      </c>
      <c r="H423" s="120" t="s">
        <v>688</v>
      </c>
      <c r="I423" s="236">
        <v>235213102680</v>
      </c>
      <c r="J423" s="193" t="s">
        <v>2017</v>
      </c>
      <c r="K423" s="193"/>
    </row>
    <row r="424" spans="1:11" x14ac:dyDescent="0.3">
      <c r="A424" s="193">
        <f t="shared" si="6"/>
        <v>424</v>
      </c>
      <c r="B424" s="193" t="s">
        <v>2466</v>
      </c>
      <c r="C424" s="193" t="s">
        <v>2498</v>
      </c>
      <c r="D424" s="193">
        <v>2610</v>
      </c>
      <c r="E424" s="193" t="s">
        <v>1316</v>
      </c>
      <c r="F424" s="193"/>
      <c r="G424" s="193" t="s">
        <v>13</v>
      </c>
      <c r="H424" s="120" t="s">
        <v>688</v>
      </c>
      <c r="I424" s="236">
        <v>235213102700</v>
      </c>
      <c r="J424" s="193" t="s">
        <v>2017</v>
      </c>
      <c r="K424" s="193"/>
    </row>
    <row r="425" spans="1:11" x14ac:dyDescent="0.3">
      <c r="A425" s="193">
        <f t="shared" si="6"/>
        <v>425</v>
      </c>
      <c r="B425" s="193" t="s">
        <v>2466</v>
      </c>
      <c r="C425" s="193" t="s">
        <v>2499</v>
      </c>
      <c r="D425" s="193">
        <v>2790</v>
      </c>
      <c r="E425" s="193" t="s">
        <v>1316</v>
      </c>
      <c r="F425" s="193"/>
      <c r="G425" s="193" t="s">
        <v>13</v>
      </c>
      <c r="H425" s="120" t="s">
        <v>688</v>
      </c>
      <c r="I425" s="236">
        <v>235213102720</v>
      </c>
      <c r="J425" s="193" t="s">
        <v>2017</v>
      </c>
      <c r="K425" s="193"/>
    </row>
    <row r="426" spans="1:11" x14ac:dyDescent="0.3">
      <c r="A426" s="193">
        <f t="shared" si="6"/>
        <v>426</v>
      </c>
      <c r="B426" s="193" t="s">
        <v>2466</v>
      </c>
      <c r="C426" s="193" t="s">
        <v>2500</v>
      </c>
      <c r="D426" s="193">
        <v>2970</v>
      </c>
      <c r="E426" s="193" t="s">
        <v>1316</v>
      </c>
      <c r="F426" s="193"/>
      <c r="G426" s="193" t="s">
        <v>13</v>
      </c>
      <c r="H426" s="120" t="s">
        <v>688</v>
      </c>
      <c r="I426" s="236">
        <v>235213102740</v>
      </c>
      <c r="J426" s="193" t="s">
        <v>2017</v>
      </c>
      <c r="K426" s="193"/>
    </row>
    <row r="427" spans="1:11" x14ac:dyDescent="0.3">
      <c r="A427" s="193">
        <f t="shared" si="6"/>
        <v>427</v>
      </c>
      <c r="B427" s="193" t="s">
        <v>2466</v>
      </c>
      <c r="C427" s="193" t="s">
        <v>2501</v>
      </c>
      <c r="D427" s="193">
        <v>3150</v>
      </c>
      <c r="E427" s="193" t="s">
        <v>1316</v>
      </c>
      <c r="F427" s="193"/>
      <c r="G427" s="193" t="s">
        <v>13</v>
      </c>
      <c r="H427" s="120" t="s">
        <v>688</v>
      </c>
      <c r="I427" s="236">
        <v>235213102760</v>
      </c>
      <c r="J427" s="193" t="s">
        <v>2017</v>
      </c>
      <c r="K427" s="193"/>
    </row>
    <row r="428" spans="1:11" x14ac:dyDescent="0.3">
      <c r="A428" s="193">
        <f t="shared" si="6"/>
        <v>428</v>
      </c>
      <c r="B428" s="193" t="s">
        <v>2466</v>
      </c>
      <c r="C428" s="193" t="s">
        <v>2502</v>
      </c>
      <c r="D428" s="193">
        <v>3240</v>
      </c>
      <c r="E428" s="193" t="s">
        <v>1316</v>
      </c>
      <c r="F428" s="193"/>
      <c r="G428" s="193" t="s">
        <v>13</v>
      </c>
      <c r="H428" s="120" t="s">
        <v>688</v>
      </c>
      <c r="I428" s="236">
        <v>235213102780</v>
      </c>
      <c r="J428" s="193" t="s">
        <v>2017</v>
      </c>
      <c r="K428" s="193"/>
    </row>
    <row r="429" spans="1:11" x14ac:dyDescent="0.3">
      <c r="A429" s="193">
        <f t="shared" si="6"/>
        <v>429</v>
      </c>
      <c r="B429" s="193" t="s">
        <v>2466</v>
      </c>
      <c r="C429" s="193" t="s">
        <v>2503</v>
      </c>
      <c r="D429" s="193">
        <v>3420</v>
      </c>
      <c r="E429" s="193" t="s">
        <v>1316</v>
      </c>
      <c r="F429" s="193"/>
      <c r="G429" s="193" t="s">
        <v>13</v>
      </c>
      <c r="H429" s="120" t="s">
        <v>688</v>
      </c>
      <c r="I429" s="236">
        <v>235213102800</v>
      </c>
      <c r="J429" s="193" t="s">
        <v>2017</v>
      </c>
      <c r="K429" s="193"/>
    </row>
    <row r="430" spans="1:11" x14ac:dyDescent="0.3">
      <c r="A430" s="193">
        <f t="shared" si="6"/>
        <v>430</v>
      </c>
      <c r="B430" s="193" t="s">
        <v>2466</v>
      </c>
      <c r="C430" s="193" t="s">
        <v>2504</v>
      </c>
      <c r="D430" s="193">
        <v>3600</v>
      </c>
      <c r="E430" s="193" t="s">
        <v>1316</v>
      </c>
      <c r="F430" s="193"/>
      <c r="G430" s="193" t="s">
        <v>13</v>
      </c>
      <c r="H430" s="120" t="s">
        <v>688</v>
      </c>
      <c r="I430" s="236">
        <v>235213102820</v>
      </c>
      <c r="J430" s="193" t="s">
        <v>2017</v>
      </c>
      <c r="K430" s="193"/>
    </row>
    <row r="431" spans="1:11" x14ac:dyDescent="0.3">
      <c r="A431" s="193">
        <f t="shared" si="6"/>
        <v>431</v>
      </c>
      <c r="B431" s="193" t="s">
        <v>2505</v>
      </c>
      <c r="C431" s="193" t="s">
        <v>2506</v>
      </c>
      <c r="D431" s="193">
        <v>12.3</v>
      </c>
      <c r="E431" s="193" t="s">
        <v>1318</v>
      </c>
      <c r="F431" s="193"/>
      <c r="G431" s="193" t="s">
        <v>13</v>
      </c>
      <c r="H431" s="120" t="s">
        <v>688</v>
      </c>
      <c r="I431" s="199">
        <v>235216240100</v>
      </c>
      <c r="J431" s="193" t="s">
        <v>2017</v>
      </c>
      <c r="K431" s="193"/>
    </row>
    <row r="432" spans="1:11" x14ac:dyDescent="0.3">
      <c r="A432" s="193">
        <f t="shared" si="6"/>
        <v>432</v>
      </c>
      <c r="B432" s="193" t="s">
        <v>2505</v>
      </c>
      <c r="C432" s="193" t="s">
        <v>2507</v>
      </c>
      <c r="D432" s="193">
        <v>16.7</v>
      </c>
      <c r="E432" s="193" t="s">
        <v>1318</v>
      </c>
      <c r="F432" s="193"/>
      <c r="G432" s="193" t="s">
        <v>13</v>
      </c>
      <c r="H432" s="120" t="s">
        <v>688</v>
      </c>
      <c r="I432" s="199">
        <v>235216240120</v>
      </c>
      <c r="J432" s="193" t="s">
        <v>2017</v>
      </c>
      <c r="K432" s="193"/>
    </row>
    <row r="433" spans="1:11" x14ac:dyDescent="0.3">
      <c r="A433" s="193">
        <f t="shared" si="6"/>
        <v>433</v>
      </c>
      <c r="B433" s="193" t="s">
        <v>2505</v>
      </c>
      <c r="C433" s="193" t="s">
        <v>2508</v>
      </c>
      <c r="D433" s="193">
        <v>25</v>
      </c>
      <c r="E433" s="193" t="s">
        <v>1318</v>
      </c>
      <c r="F433" s="193"/>
      <c r="G433" s="193" t="s">
        <v>13</v>
      </c>
      <c r="H433" s="120" t="s">
        <v>688</v>
      </c>
      <c r="I433" s="199">
        <v>235216240140</v>
      </c>
      <c r="J433" s="193" t="s">
        <v>2017</v>
      </c>
      <c r="K433" s="193"/>
    </row>
    <row r="434" spans="1:11" x14ac:dyDescent="0.3">
      <c r="A434" s="193">
        <f t="shared" si="6"/>
        <v>434</v>
      </c>
      <c r="B434" s="193" t="s">
        <v>2505</v>
      </c>
      <c r="C434" s="193" t="s">
        <v>2509</v>
      </c>
      <c r="D434" s="193">
        <v>32.799999999999997</v>
      </c>
      <c r="E434" s="193" t="s">
        <v>1318</v>
      </c>
      <c r="F434" s="193"/>
      <c r="G434" s="193" t="s">
        <v>13</v>
      </c>
      <c r="H434" s="120" t="s">
        <v>688</v>
      </c>
      <c r="I434" s="199">
        <v>235216240160</v>
      </c>
      <c r="J434" s="193" t="s">
        <v>2017</v>
      </c>
      <c r="K434" s="193"/>
    </row>
    <row r="435" spans="1:11" x14ac:dyDescent="0.3">
      <c r="A435" s="193">
        <f t="shared" si="6"/>
        <v>435</v>
      </c>
      <c r="B435" s="193" t="s">
        <v>2505</v>
      </c>
      <c r="C435" s="193" t="s">
        <v>2510</v>
      </c>
      <c r="D435" s="193">
        <v>41</v>
      </c>
      <c r="E435" s="193" t="s">
        <v>1318</v>
      </c>
      <c r="F435" s="193"/>
      <c r="G435" s="193" t="s">
        <v>13</v>
      </c>
      <c r="H435" s="120" t="s">
        <v>688</v>
      </c>
      <c r="I435" s="199">
        <v>235216240180</v>
      </c>
      <c r="J435" s="193" t="s">
        <v>2017</v>
      </c>
      <c r="K435" s="193"/>
    </row>
    <row r="436" spans="1:11" x14ac:dyDescent="0.3">
      <c r="A436" s="193">
        <f t="shared" si="6"/>
        <v>436</v>
      </c>
      <c r="B436" s="193" t="s">
        <v>2505</v>
      </c>
      <c r="C436" s="193" t="s">
        <v>2511</v>
      </c>
      <c r="D436" s="193">
        <v>49</v>
      </c>
      <c r="E436" s="193" t="s">
        <v>1318</v>
      </c>
      <c r="F436" s="193"/>
      <c r="G436" s="193" t="s">
        <v>13</v>
      </c>
      <c r="H436" s="120" t="s">
        <v>688</v>
      </c>
      <c r="I436" s="199">
        <v>235216240200</v>
      </c>
      <c r="J436" s="193" t="s">
        <v>2017</v>
      </c>
      <c r="K436" s="193"/>
    </row>
    <row r="437" spans="1:11" x14ac:dyDescent="0.3">
      <c r="A437" s="193">
        <f t="shared" si="6"/>
        <v>437</v>
      </c>
      <c r="B437" s="193" t="s">
        <v>2505</v>
      </c>
      <c r="C437" s="193" t="s">
        <v>2512</v>
      </c>
      <c r="D437" s="193">
        <v>57</v>
      </c>
      <c r="E437" s="193" t="s">
        <v>1318</v>
      </c>
      <c r="F437" s="193"/>
      <c r="G437" s="193" t="s">
        <v>13</v>
      </c>
      <c r="H437" s="120" t="s">
        <v>688</v>
      </c>
      <c r="I437" s="199">
        <v>235216240220</v>
      </c>
      <c r="J437" s="193" t="s">
        <v>2017</v>
      </c>
      <c r="K437" s="193"/>
    </row>
    <row r="438" spans="1:11" x14ac:dyDescent="0.3">
      <c r="A438" s="193">
        <f t="shared" si="6"/>
        <v>438</v>
      </c>
      <c r="B438" s="193" t="s">
        <v>2513</v>
      </c>
      <c r="C438" s="193" t="s">
        <v>2514</v>
      </c>
      <c r="D438" s="193">
        <v>21</v>
      </c>
      <c r="E438" s="193" t="s">
        <v>1318</v>
      </c>
      <c r="F438" s="193"/>
      <c r="G438" s="193" t="s">
        <v>13</v>
      </c>
      <c r="H438" s="120" t="s">
        <v>688</v>
      </c>
      <c r="I438" s="199">
        <v>235219208030</v>
      </c>
      <c r="J438" s="193" t="s">
        <v>2017</v>
      </c>
      <c r="K438" s="193"/>
    </row>
    <row r="439" spans="1:11" x14ac:dyDescent="0.3">
      <c r="A439" s="193">
        <f t="shared" si="6"/>
        <v>439</v>
      </c>
      <c r="B439" s="193" t="s">
        <v>2513</v>
      </c>
      <c r="C439" s="193" t="s">
        <v>2515</v>
      </c>
      <c r="D439" s="193">
        <v>27.5</v>
      </c>
      <c r="E439" s="193" t="s">
        <v>1318</v>
      </c>
      <c r="F439" s="193"/>
      <c r="G439" s="193" t="s">
        <v>13</v>
      </c>
      <c r="H439" s="120" t="s">
        <v>688</v>
      </c>
      <c r="I439" s="199">
        <v>235219208050</v>
      </c>
      <c r="J439" s="193" t="s">
        <v>2017</v>
      </c>
      <c r="K439" s="193"/>
    </row>
    <row r="440" spans="1:11" x14ac:dyDescent="0.3">
      <c r="A440" s="193">
        <f t="shared" si="6"/>
        <v>440</v>
      </c>
      <c r="B440" s="193" t="s">
        <v>2513</v>
      </c>
      <c r="C440" s="193" t="s">
        <v>2516</v>
      </c>
      <c r="D440" s="193">
        <v>41</v>
      </c>
      <c r="E440" s="193" t="s">
        <v>1318</v>
      </c>
      <c r="F440" s="193"/>
      <c r="G440" s="193" t="s">
        <v>13</v>
      </c>
      <c r="H440" s="120" t="s">
        <v>688</v>
      </c>
      <c r="I440" s="199">
        <v>235219208080</v>
      </c>
      <c r="J440" s="193" t="s">
        <v>2017</v>
      </c>
      <c r="K440" s="193"/>
    </row>
    <row r="441" spans="1:11" x14ac:dyDescent="0.3">
      <c r="A441" s="193">
        <f t="shared" si="6"/>
        <v>441</v>
      </c>
      <c r="B441" s="193" t="s">
        <v>2513</v>
      </c>
      <c r="C441" s="193" t="s">
        <v>2517</v>
      </c>
      <c r="D441" s="193">
        <v>61</v>
      </c>
      <c r="E441" s="193" t="s">
        <v>1318</v>
      </c>
      <c r="F441" s="193"/>
      <c r="G441" s="193" t="s">
        <v>13</v>
      </c>
      <c r="H441" s="120" t="s">
        <v>688</v>
      </c>
      <c r="I441" s="199">
        <v>235219208090</v>
      </c>
      <c r="J441" s="193" t="s">
        <v>2017</v>
      </c>
      <c r="K441" s="193"/>
    </row>
    <row r="442" spans="1:11" x14ac:dyDescent="0.3">
      <c r="A442" s="193">
        <f t="shared" si="6"/>
        <v>442</v>
      </c>
      <c r="B442" s="193" t="s">
        <v>2513</v>
      </c>
      <c r="C442" s="193" t="s">
        <v>2518</v>
      </c>
      <c r="D442" s="193">
        <v>79</v>
      </c>
      <c r="E442" s="193" t="s">
        <v>1318</v>
      </c>
      <c r="F442" s="193"/>
      <c r="G442" s="193" t="s">
        <v>13</v>
      </c>
      <c r="H442" s="120" t="s">
        <v>688</v>
      </c>
      <c r="I442" s="199">
        <v>235219208120</v>
      </c>
      <c r="J442" s="193" t="s">
        <v>2017</v>
      </c>
      <c r="K442" s="193"/>
    </row>
    <row r="443" spans="1:11" x14ac:dyDescent="0.3">
      <c r="A443" s="193">
        <f t="shared" si="6"/>
        <v>443</v>
      </c>
      <c r="B443" s="193" t="s">
        <v>2513</v>
      </c>
      <c r="C443" s="193" t="s">
        <v>2519</v>
      </c>
      <c r="D443" s="193">
        <v>107</v>
      </c>
      <c r="E443" s="193" t="s">
        <v>1318</v>
      </c>
      <c r="F443" s="193"/>
      <c r="G443" s="193" t="s">
        <v>13</v>
      </c>
      <c r="H443" s="120" t="s">
        <v>688</v>
      </c>
      <c r="I443" s="199">
        <v>235219208130</v>
      </c>
      <c r="J443" s="193" t="s">
        <v>2017</v>
      </c>
      <c r="K443" s="193"/>
    </row>
    <row r="444" spans="1:11" x14ac:dyDescent="0.3">
      <c r="A444" s="193">
        <f t="shared" si="6"/>
        <v>444</v>
      </c>
      <c r="B444" s="193" t="s">
        <v>2520</v>
      </c>
      <c r="C444" s="193" t="s">
        <v>2521</v>
      </c>
      <c r="D444" s="193">
        <v>23.5</v>
      </c>
      <c r="E444" s="193" t="s">
        <v>1318</v>
      </c>
      <c r="F444" s="193"/>
      <c r="G444" s="193" t="s">
        <v>13</v>
      </c>
      <c r="H444" s="120" t="s">
        <v>688</v>
      </c>
      <c r="I444" s="199">
        <v>235223203000</v>
      </c>
      <c r="J444" s="193" t="s">
        <v>2017</v>
      </c>
      <c r="K444" s="193"/>
    </row>
    <row r="445" spans="1:11" x14ac:dyDescent="0.3">
      <c r="A445" s="193">
        <f t="shared" si="6"/>
        <v>445</v>
      </c>
      <c r="B445" s="193" t="s">
        <v>2520</v>
      </c>
      <c r="C445" s="193" t="s">
        <v>2522</v>
      </c>
      <c r="D445" s="193">
        <v>29.3</v>
      </c>
      <c r="E445" s="193" t="s">
        <v>1318</v>
      </c>
      <c r="F445" s="193"/>
      <c r="G445" s="193" t="s">
        <v>13</v>
      </c>
      <c r="H445" s="120" t="s">
        <v>688</v>
      </c>
      <c r="I445" s="199">
        <v>235223203020</v>
      </c>
      <c r="J445" s="193" t="s">
        <v>2017</v>
      </c>
      <c r="K445" s="193"/>
    </row>
    <row r="446" spans="1:11" x14ac:dyDescent="0.3">
      <c r="A446" s="193">
        <f t="shared" si="6"/>
        <v>446</v>
      </c>
      <c r="B446" s="193" t="s">
        <v>2520</v>
      </c>
      <c r="C446" s="193" t="s">
        <v>2523</v>
      </c>
      <c r="D446" s="193">
        <v>35.799999999999997</v>
      </c>
      <c r="E446" s="193" t="s">
        <v>1318</v>
      </c>
      <c r="F446" s="193"/>
      <c r="G446" s="193" t="s">
        <v>13</v>
      </c>
      <c r="H446" s="120" t="s">
        <v>688</v>
      </c>
      <c r="I446" s="199">
        <v>235223203040</v>
      </c>
      <c r="J446" s="193" t="s">
        <v>2017</v>
      </c>
      <c r="K446" s="193"/>
    </row>
    <row r="447" spans="1:11" x14ac:dyDescent="0.3">
      <c r="A447" s="193">
        <f t="shared" si="6"/>
        <v>447</v>
      </c>
      <c r="B447" s="193" t="s">
        <v>2520</v>
      </c>
      <c r="C447" s="193" t="s">
        <v>2524</v>
      </c>
      <c r="D447" s="193">
        <v>47.8</v>
      </c>
      <c r="E447" s="193" t="s">
        <v>1318</v>
      </c>
      <c r="F447" s="193"/>
      <c r="G447" s="193" t="s">
        <v>13</v>
      </c>
      <c r="H447" s="120" t="s">
        <v>688</v>
      </c>
      <c r="I447" s="199">
        <v>235223203060</v>
      </c>
      <c r="J447" s="193" t="s">
        <v>2017</v>
      </c>
      <c r="K447" s="193"/>
    </row>
    <row r="448" spans="1:11" x14ac:dyDescent="0.3">
      <c r="A448" s="193">
        <f t="shared" si="6"/>
        <v>448</v>
      </c>
      <c r="B448" s="193" t="s">
        <v>2520</v>
      </c>
      <c r="C448" s="193" t="s">
        <v>2525</v>
      </c>
      <c r="D448" s="193">
        <v>59.5</v>
      </c>
      <c r="E448" s="193" t="s">
        <v>1318</v>
      </c>
      <c r="F448" s="193"/>
      <c r="G448" s="193" t="s">
        <v>13</v>
      </c>
      <c r="H448" s="120" t="s">
        <v>688</v>
      </c>
      <c r="I448" s="199">
        <v>235223203080</v>
      </c>
      <c r="J448" s="193" t="s">
        <v>2017</v>
      </c>
      <c r="K448" s="193"/>
    </row>
    <row r="449" spans="1:11" x14ac:dyDescent="0.3">
      <c r="A449" s="193">
        <f t="shared" ref="A449:A512" si="7">A448+1</f>
        <v>449</v>
      </c>
      <c r="B449" s="193" t="s">
        <v>2520</v>
      </c>
      <c r="C449" s="193" t="s">
        <v>2526</v>
      </c>
      <c r="D449" s="193">
        <v>70.400000000000006</v>
      </c>
      <c r="E449" s="193" t="s">
        <v>1318</v>
      </c>
      <c r="F449" s="193"/>
      <c r="G449" s="193" t="s">
        <v>13</v>
      </c>
      <c r="H449" s="120" t="s">
        <v>688</v>
      </c>
      <c r="I449" s="199">
        <v>235223203100</v>
      </c>
      <c r="J449" s="193" t="s">
        <v>2017</v>
      </c>
      <c r="K449" s="193"/>
    </row>
    <row r="450" spans="1:11" x14ac:dyDescent="0.3">
      <c r="A450" s="193">
        <f t="shared" si="7"/>
        <v>450</v>
      </c>
      <c r="B450" s="193" t="s">
        <v>2520</v>
      </c>
      <c r="C450" s="193" t="s">
        <v>2527</v>
      </c>
      <c r="D450" s="193">
        <v>82</v>
      </c>
      <c r="E450" s="193" t="s">
        <v>1318</v>
      </c>
      <c r="F450" s="193"/>
      <c r="G450" s="193" t="s">
        <v>13</v>
      </c>
      <c r="H450" s="120" t="s">
        <v>688</v>
      </c>
      <c r="I450" s="199">
        <v>235223203120</v>
      </c>
      <c r="J450" s="193" t="s">
        <v>2017</v>
      </c>
      <c r="K450" s="193"/>
    </row>
    <row r="451" spans="1:11" x14ac:dyDescent="0.3">
      <c r="A451" s="193">
        <f t="shared" si="7"/>
        <v>451</v>
      </c>
      <c r="B451" s="193" t="s">
        <v>2520</v>
      </c>
      <c r="C451" s="193" t="s">
        <v>2528</v>
      </c>
      <c r="D451" s="193">
        <v>94</v>
      </c>
      <c r="E451" s="193" t="s">
        <v>1318</v>
      </c>
      <c r="F451" s="193"/>
      <c r="G451" s="193" t="s">
        <v>13</v>
      </c>
      <c r="H451" s="120" t="s">
        <v>688</v>
      </c>
      <c r="I451" s="199">
        <v>235223203140</v>
      </c>
      <c r="J451" s="193" t="s">
        <v>2017</v>
      </c>
      <c r="K451" s="193"/>
    </row>
    <row r="452" spans="1:11" x14ac:dyDescent="0.3">
      <c r="A452" s="193">
        <f t="shared" si="7"/>
        <v>452</v>
      </c>
      <c r="B452" s="193" t="s">
        <v>2520</v>
      </c>
      <c r="C452" s="193" t="s">
        <v>2529</v>
      </c>
      <c r="D452" s="193">
        <v>106</v>
      </c>
      <c r="E452" s="193" t="s">
        <v>1318</v>
      </c>
      <c r="F452" s="193"/>
      <c r="G452" s="193" t="s">
        <v>13</v>
      </c>
      <c r="H452" s="120" t="s">
        <v>688</v>
      </c>
      <c r="I452" s="199">
        <v>235223203160</v>
      </c>
      <c r="J452" s="193" t="s">
        <v>2017</v>
      </c>
      <c r="K452" s="193"/>
    </row>
    <row r="453" spans="1:11" x14ac:dyDescent="0.3">
      <c r="A453" s="193">
        <f t="shared" si="7"/>
        <v>453</v>
      </c>
      <c r="B453" s="193" t="s">
        <v>2520</v>
      </c>
      <c r="C453" s="193" t="s">
        <v>2530</v>
      </c>
      <c r="D453" s="193">
        <v>117.3</v>
      </c>
      <c r="E453" s="193" t="s">
        <v>1318</v>
      </c>
      <c r="F453" s="193"/>
      <c r="G453" s="193" t="s">
        <v>13</v>
      </c>
      <c r="H453" s="120" t="s">
        <v>688</v>
      </c>
      <c r="I453" s="199">
        <v>235223203180</v>
      </c>
      <c r="J453" s="193" t="s">
        <v>2017</v>
      </c>
      <c r="K453" s="193"/>
    </row>
    <row r="454" spans="1:11" x14ac:dyDescent="0.3">
      <c r="A454" s="193">
        <f t="shared" si="7"/>
        <v>454</v>
      </c>
      <c r="B454" s="193" t="s">
        <v>2520</v>
      </c>
      <c r="C454" s="193" t="s">
        <v>2531</v>
      </c>
      <c r="D454" s="193">
        <v>129</v>
      </c>
      <c r="E454" s="193" t="s">
        <v>1318</v>
      </c>
      <c r="F454" s="193"/>
      <c r="G454" s="193" t="s">
        <v>13</v>
      </c>
      <c r="H454" s="120" t="s">
        <v>688</v>
      </c>
      <c r="I454" s="199">
        <v>235223203200</v>
      </c>
      <c r="J454" s="193" t="s">
        <v>2017</v>
      </c>
      <c r="K454" s="193"/>
    </row>
    <row r="455" spans="1:11" x14ac:dyDescent="0.3">
      <c r="A455" s="193">
        <f t="shared" si="7"/>
        <v>455</v>
      </c>
      <c r="B455" s="193" t="s">
        <v>2520</v>
      </c>
      <c r="C455" s="193" t="s">
        <v>2532</v>
      </c>
      <c r="D455" s="193">
        <v>160</v>
      </c>
      <c r="E455" s="193" t="s">
        <v>1318</v>
      </c>
      <c r="F455" s="193"/>
      <c r="G455" s="193" t="s">
        <v>13</v>
      </c>
      <c r="H455" s="120" t="s">
        <v>688</v>
      </c>
      <c r="I455" s="199">
        <v>235223203220</v>
      </c>
      <c r="J455" s="193" t="s">
        <v>2017</v>
      </c>
      <c r="K455" s="193"/>
    </row>
    <row r="456" spans="1:11" x14ac:dyDescent="0.3">
      <c r="A456" s="193">
        <f t="shared" si="7"/>
        <v>456</v>
      </c>
      <c r="B456" s="193" t="s">
        <v>2520</v>
      </c>
      <c r="C456" s="193" t="s">
        <v>2533</v>
      </c>
      <c r="D456" s="193">
        <v>224</v>
      </c>
      <c r="E456" s="193" t="s">
        <v>1318</v>
      </c>
      <c r="F456" s="193"/>
      <c r="G456" s="193" t="s">
        <v>13</v>
      </c>
      <c r="H456" s="120" t="s">
        <v>688</v>
      </c>
      <c r="I456" s="199">
        <v>235223203240</v>
      </c>
      <c r="J456" s="193" t="s">
        <v>2017</v>
      </c>
      <c r="K456" s="193"/>
    </row>
    <row r="457" spans="1:11" x14ac:dyDescent="0.3">
      <c r="A457" s="193">
        <f t="shared" si="7"/>
        <v>457</v>
      </c>
      <c r="B457" s="193" t="s">
        <v>2520</v>
      </c>
      <c r="C457" s="193" t="s">
        <v>2534</v>
      </c>
      <c r="D457" s="193">
        <v>319</v>
      </c>
      <c r="E457" s="193" t="s">
        <v>1318</v>
      </c>
      <c r="F457" s="193"/>
      <c r="G457" s="193" t="s">
        <v>13</v>
      </c>
      <c r="H457" s="120" t="s">
        <v>688</v>
      </c>
      <c r="I457" s="199">
        <v>235223203260</v>
      </c>
      <c r="J457" s="193" t="s">
        <v>2017</v>
      </c>
      <c r="K457" s="193"/>
    </row>
    <row r="458" spans="1:11" x14ac:dyDescent="0.3">
      <c r="A458" s="193">
        <f t="shared" si="7"/>
        <v>458</v>
      </c>
      <c r="B458" s="193" t="s">
        <v>2520</v>
      </c>
      <c r="C458" s="193" t="s">
        <v>2535</v>
      </c>
      <c r="D458" s="193">
        <v>374</v>
      </c>
      <c r="E458" s="193" t="s">
        <v>1318</v>
      </c>
      <c r="F458" s="193"/>
      <c r="G458" s="193" t="s">
        <v>13</v>
      </c>
      <c r="H458" s="120" t="s">
        <v>688</v>
      </c>
      <c r="I458" s="199">
        <v>235223203280</v>
      </c>
      <c r="J458" s="193" t="s">
        <v>2017</v>
      </c>
      <c r="K458" s="193"/>
    </row>
    <row r="459" spans="1:11" x14ac:dyDescent="0.3">
      <c r="A459" s="193">
        <f t="shared" si="7"/>
        <v>459</v>
      </c>
      <c r="B459" s="193" t="s">
        <v>2520</v>
      </c>
      <c r="C459" s="193" t="s">
        <v>2536</v>
      </c>
      <c r="D459" s="193">
        <v>448</v>
      </c>
      <c r="E459" s="193" t="s">
        <v>1318</v>
      </c>
      <c r="F459" s="193"/>
      <c r="G459" s="193" t="s">
        <v>13</v>
      </c>
      <c r="H459" s="120" t="s">
        <v>688</v>
      </c>
      <c r="I459" s="199">
        <v>235223203300</v>
      </c>
      <c r="J459" s="193" t="s">
        <v>2017</v>
      </c>
      <c r="K459" s="193"/>
    </row>
    <row r="460" spans="1:11" x14ac:dyDescent="0.3">
      <c r="A460" s="193">
        <f t="shared" si="7"/>
        <v>460</v>
      </c>
      <c r="B460" s="193" t="s">
        <v>2520</v>
      </c>
      <c r="C460" s="193" t="s">
        <v>2537</v>
      </c>
      <c r="D460" s="193">
        <v>586.5</v>
      </c>
      <c r="E460" s="193" t="s">
        <v>1318</v>
      </c>
      <c r="F460" s="193"/>
      <c r="G460" s="193" t="s">
        <v>13</v>
      </c>
      <c r="H460" s="120" t="s">
        <v>688</v>
      </c>
      <c r="I460" s="199">
        <v>235223203320</v>
      </c>
      <c r="J460" s="193" t="s">
        <v>2017</v>
      </c>
      <c r="K460" s="193"/>
    </row>
    <row r="461" spans="1:11" x14ac:dyDescent="0.3">
      <c r="A461" s="193">
        <f t="shared" si="7"/>
        <v>461</v>
      </c>
      <c r="B461" s="193" t="s">
        <v>2520</v>
      </c>
      <c r="C461" s="193" t="s">
        <v>2538</v>
      </c>
      <c r="D461" s="193">
        <v>678</v>
      </c>
      <c r="E461" s="193" t="s">
        <v>1318</v>
      </c>
      <c r="F461" s="193"/>
      <c r="G461" s="193" t="s">
        <v>13</v>
      </c>
      <c r="H461" s="120" t="s">
        <v>688</v>
      </c>
      <c r="I461" s="199">
        <v>235223203340</v>
      </c>
      <c r="J461" s="193" t="s">
        <v>2017</v>
      </c>
      <c r="K461" s="193"/>
    </row>
    <row r="462" spans="1:11" x14ac:dyDescent="0.3">
      <c r="A462" s="193">
        <f t="shared" si="7"/>
        <v>462</v>
      </c>
      <c r="B462" s="193" t="s">
        <v>2520</v>
      </c>
      <c r="C462" s="193" t="s">
        <v>2539</v>
      </c>
      <c r="D462" s="193">
        <v>840</v>
      </c>
      <c r="E462" s="193" t="s">
        <v>1318</v>
      </c>
      <c r="F462" s="193"/>
      <c r="G462" s="193" t="s">
        <v>13</v>
      </c>
      <c r="H462" s="120" t="s">
        <v>688</v>
      </c>
      <c r="I462" s="199">
        <v>235223203360</v>
      </c>
      <c r="J462" s="193" t="s">
        <v>2017</v>
      </c>
      <c r="K462" s="193"/>
    </row>
    <row r="463" spans="1:11" x14ac:dyDescent="0.3">
      <c r="A463" s="193">
        <f t="shared" si="7"/>
        <v>463</v>
      </c>
      <c r="B463" s="193" t="s">
        <v>2520</v>
      </c>
      <c r="C463" s="193" t="s">
        <v>2540</v>
      </c>
      <c r="D463" s="193">
        <v>957</v>
      </c>
      <c r="E463" s="193" t="s">
        <v>1318</v>
      </c>
      <c r="F463" s="193"/>
      <c r="G463" s="193" t="s">
        <v>13</v>
      </c>
      <c r="H463" s="120" t="s">
        <v>688</v>
      </c>
      <c r="I463" s="199">
        <v>235223203380</v>
      </c>
      <c r="J463" s="193" t="s">
        <v>2017</v>
      </c>
      <c r="K463" s="193"/>
    </row>
    <row r="464" spans="1:11" x14ac:dyDescent="0.3">
      <c r="A464" s="193">
        <f t="shared" si="7"/>
        <v>464</v>
      </c>
      <c r="B464" s="193" t="s">
        <v>2520</v>
      </c>
      <c r="C464" s="193" t="s">
        <v>2541</v>
      </c>
      <c r="D464" s="193">
        <v>1172</v>
      </c>
      <c r="E464" s="193" t="s">
        <v>1318</v>
      </c>
      <c r="F464" s="193"/>
      <c r="G464" s="193" t="s">
        <v>13</v>
      </c>
      <c r="H464" s="120" t="s">
        <v>688</v>
      </c>
      <c r="I464" s="199">
        <v>235223203400</v>
      </c>
      <c r="J464" s="193" t="s">
        <v>2017</v>
      </c>
      <c r="K464" s="193"/>
    </row>
    <row r="465" spans="1:11" x14ac:dyDescent="0.3">
      <c r="A465" s="193">
        <f t="shared" si="7"/>
        <v>465</v>
      </c>
      <c r="B465" s="193" t="s">
        <v>2520</v>
      </c>
      <c r="C465" s="193" t="s">
        <v>2542</v>
      </c>
      <c r="D465" s="193">
        <v>1316</v>
      </c>
      <c r="E465" s="193" t="s">
        <v>1318</v>
      </c>
      <c r="F465" s="193"/>
      <c r="G465" s="193" t="s">
        <v>13</v>
      </c>
      <c r="H465" s="120" t="s">
        <v>688</v>
      </c>
      <c r="I465" s="199">
        <v>235223203420</v>
      </c>
      <c r="J465" s="193" t="s">
        <v>2017</v>
      </c>
      <c r="K465" s="193"/>
    </row>
    <row r="466" spans="1:11" x14ac:dyDescent="0.3">
      <c r="A466" s="193">
        <f t="shared" si="7"/>
        <v>466</v>
      </c>
      <c r="B466" s="193" t="s">
        <v>2520</v>
      </c>
      <c r="C466" s="193" t="s">
        <v>2543</v>
      </c>
      <c r="D466" s="193">
        <v>1384</v>
      </c>
      <c r="E466" s="193" t="s">
        <v>1318</v>
      </c>
      <c r="F466" s="193"/>
      <c r="G466" s="193" t="s">
        <v>13</v>
      </c>
      <c r="H466" s="120" t="s">
        <v>688</v>
      </c>
      <c r="I466" s="199">
        <v>235223203440</v>
      </c>
      <c r="J466" s="193" t="s">
        <v>2017</v>
      </c>
      <c r="K466" s="193"/>
    </row>
    <row r="467" spans="1:11" x14ac:dyDescent="0.3">
      <c r="A467" s="193">
        <f t="shared" si="7"/>
        <v>467</v>
      </c>
      <c r="B467" s="193" t="s">
        <v>2520</v>
      </c>
      <c r="C467" s="193" t="s">
        <v>2544</v>
      </c>
      <c r="D467" s="193">
        <v>1618</v>
      </c>
      <c r="E467" s="193" t="s">
        <v>1318</v>
      </c>
      <c r="F467" s="193"/>
      <c r="G467" s="193" t="s">
        <v>13</v>
      </c>
      <c r="H467" s="120" t="s">
        <v>688</v>
      </c>
      <c r="I467" s="199">
        <v>235223203460</v>
      </c>
      <c r="J467" s="193" t="s">
        <v>2017</v>
      </c>
      <c r="K467" s="193"/>
    </row>
    <row r="468" spans="1:11" x14ac:dyDescent="0.3">
      <c r="A468" s="193">
        <f t="shared" si="7"/>
        <v>468</v>
      </c>
      <c r="B468" s="193" t="s">
        <v>2520</v>
      </c>
      <c r="C468" s="193" t="s">
        <v>2545</v>
      </c>
      <c r="D468" s="193">
        <v>1789</v>
      </c>
      <c r="E468" s="193" t="s">
        <v>1318</v>
      </c>
      <c r="F468" s="193"/>
      <c r="G468" s="193" t="s">
        <v>13</v>
      </c>
      <c r="H468" s="120" t="s">
        <v>688</v>
      </c>
      <c r="I468" s="199">
        <v>235223203480</v>
      </c>
      <c r="J468" s="193" t="s">
        <v>2017</v>
      </c>
      <c r="K468" s="193"/>
    </row>
    <row r="469" spans="1:11" x14ac:dyDescent="0.3">
      <c r="A469" s="193">
        <f t="shared" si="7"/>
        <v>469</v>
      </c>
      <c r="B469" s="193" t="s">
        <v>2520</v>
      </c>
      <c r="C469" s="193" t="s">
        <v>2546</v>
      </c>
      <c r="D469" s="193">
        <v>1874</v>
      </c>
      <c r="E469" s="193" t="s">
        <v>1318</v>
      </c>
      <c r="F469" s="193"/>
      <c r="G469" s="193" t="s">
        <v>13</v>
      </c>
      <c r="H469" s="120" t="s">
        <v>688</v>
      </c>
      <c r="I469" s="199">
        <v>235223203500</v>
      </c>
      <c r="J469" s="193" t="s">
        <v>2017</v>
      </c>
      <c r="K469" s="193"/>
    </row>
    <row r="470" spans="1:11" x14ac:dyDescent="0.3">
      <c r="A470" s="193">
        <f t="shared" si="7"/>
        <v>470</v>
      </c>
      <c r="B470" s="193" t="s">
        <v>2520</v>
      </c>
      <c r="C470" s="193" t="s">
        <v>2547</v>
      </c>
      <c r="D470" s="193">
        <v>1959</v>
      </c>
      <c r="E470" s="193" t="s">
        <v>1318</v>
      </c>
      <c r="F470" s="193"/>
      <c r="G470" s="193" t="s">
        <v>13</v>
      </c>
      <c r="H470" s="120" t="s">
        <v>688</v>
      </c>
      <c r="I470" s="199">
        <v>235223203520</v>
      </c>
      <c r="J470" s="193" t="s">
        <v>2017</v>
      </c>
      <c r="K470" s="193"/>
    </row>
    <row r="471" spans="1:11" x14ac:dyDescent="0.3">
      <c r="A471" s="193">
        <f t="shared" si="7"/>
        <v>471</v>
      </c>
      <c r="B471" s="193" t="s">
        <v>2520</v>
      </c>
      <c r="C471" s="193" t="s">
        <v>2548</v>
      </c>
      <c r="D471" s="193">
        <v>2044</v>
      </c>
      <c r="E471" s="193" t="s">
        <v>1318</v>
      </c>
      <c r="F471" s="193"/>
      <c r="G471" s="193" t="s">
        <v>13</v>
      </c>
      <c r="H471" s="120" t="s">
        <v>688</v>
      </c>
      <c r="I471" s="199">
        <v>235223203540</v>
      </c>
      <c r="J471" s="193" t="s">
        <v>2017</v>
      </c>
      <c r="K471" s="193"/>
    </row>
    <row r="472" spans="1:11" x14ac:dyDescent="0.3">
      <c r="A472" s="193">
        <f t="shared" si="7"/>
        <v>472</v>
      </c>
      <c r="B472" s="193" t="s">
        <v>2549</v>
      </c>
      <c r="C472" s="193" t="s">
        <v>2550</v>
      </c>
      <c r="D472" s="193">
        <v>375</v>
      </c>
      <c r="E472" s="193" t="s">
        <v>2551</v>
      </c>
      <c r="F472" s="193"/>
      <c r="G472" s="193" t="s">
        <v>13</v>
      </c>
      <c r="H472" s="120" t="s">
        <v>688</v>
      </c>
      <c r="I472" s="199">
        <v>235223603400</v>
      </c>
      <c r="J472" s="193" t="s">
        <v>2017</v>
      </c>
      <c r="K472" s="193"/>
    </row>
    <row r="473" spans="1:11" x14ac:dyDescent="0.3">
      <c r="A473" s="193">
        <f t="shared" si="7"/>
        <v>473</v>
      </c>
      <c r="B473" s="193" t="s">
        <v>2549</v>
      </c>
      <c r="C473" s="193" t="s">
        <v>2552</v>
      </c>
      <c r="D473" s="193">
        <v>428</v>
      </c>
      <c r="E473" s="193" t="s">
        <v>2551</v>
      </c>
      <c r="F473" s="193"/>
      <c r="G473" s="193" t="s">
        <v>13</v>
      </c>
      <c r="H473" s="120" t="s">
        <v>688</v>
      </c>
      <c r="I473" s="199">
        <v>235223603420</v>
      </c>
      <c r="J473" s="193" t="s">
        <v>2017</v>
      </c>
      <c r="K473" s="193"/>
    </row>
    <row r="474" spans="1:11" x14ac:dyDescent="0.3">
      <c r="A474" s="193">
        <f t="shared" si="7"/>
        <v>474</v>
      </c>
      <c r="B474" s="193" t="s">
        <v>2549</v>
      </c>
      <c r="C474" s="193" t="s">
        <v>2553</v>
      </c>
      <c r="D474" s="193">
        <v>481</v>
      </c>
      <c r="E474" s="193" t="s">
        <v>2551</v>
      </c>
      <c r="F474" s="193"/>
      <c r="G474" s="193" t="s">
        <v>13</v>
      </c>
      <c r="H474" s="120" t="s">
        <v>688</v>
      </c>
      <c r="I474" s="199">
        <v>235223603440</v>
      </c>
      <c r="J474" s="193" t="s">
        <v>2017</v>
      </c>
      <c r="K474" s="193"/>
    </row>
    <row r="475" spans="1:11" x14ac:dyDescent="0.3">
      <c r="A475" s="193">
        <f t="shared" si="7"/>
        <v>475</v>
      </c>
      <c r="B475" s="193" t="s">
        <v>2549</v>
      </c>
      <c r="C475" s="193" t="s">
        <v>2554</v>
      </c>
      <c r="D475" s="193">
        <v>534</v>
      </c>
      <c r="E475" s="193" t="s">
        <v>2551</v>
      </c>
      <c r="F475" s="193"/>
      <c r="G475" s="193" t="s">
        <v>13</v>
      </c>
      <c r="H475" s="120" t="s">
        <v>688</v>
      </c>
      <c r="I475" s="199">
        <v>235223603460</v>
      </c>
      <c r="J475" s="193" t="s">
        <v>2017</v>
      </c>
      <c r="K475" s="193"/>
    </row>
    <row r="476" spans="1:11" x14ac:dyDescent="0.3">
      <c r="A476" s="193">
        <f t="shared" si="7"/>
        <v>476</v>
      </c>
      <c r="B476" s="193" t="s">
        <v>2549</v>
      </c>
      <c r="C476" s="193" t="s">
        <v>2555</v>
      </c>
      <c r="D476" s="193">
        <v>586.5</v>
      </c>
      <c r="E476" s="193" t="s">
        <v>2551</v>
      </c>
      <c r="F476" s="193"/>
      <c r="G476" s="193" t="s">
        <v>13</v>
      </c>
      <c r="H476" s="120" t="s">
        <v>688</v>
      </c>
      <c r="I476" s="199">
        <v>235223603480</v>
      </c>
      <c r="J476" s="193" t="s">
        <v>2017</v>
      </c>
      <c r="K476" s="193"/>
    </row>
    <row r="477" spans="1:11" x14ac:dyDescent="0.3">
      <c r="A477" s="193">
        <f t="shared" si="7"/>
        <v>477</v>
      </c>
      <c r="B477" s="193" t="s">
        <v>2549</v>
      </c>
      <c r="C477" s="193" t="s">
        <v>2556</v>
      </c>
      <c r="D477" s="193">
        <v>692</v>
      </c>
      <c r="E477" s="193" t="s">
        <v>2551</v>
      </c>
      <c r="F477" s="193"/>
      <c r="G477" s="193" t="s">
        <v>13</v>
      </c>
      <c r="H477" s="120" t="s">
        <v>688</v>
      </c>
      <c r="I477" s="199">
        <v>235223603500</v>
      </c>
      <c r="J477" s="193" t="s">
        <v>2017</v>
      </c>
      <c r="K477" s="193"/>
    </row>
    <row r="478" spans="1:11" x14ac:dyDescent="0.3">
      <c r="A478" s="193">
        <f t="shared" si="7"/>
        <v>478</v>
      </c>
      <c r="B478" s="193" t="s">
        <v>2549</v>
      </c>
      <c r="C478" s="193" t="s">
        <v>2557</v>
      </c>
      <c r="D478" s="193">
        <v>800</v>
      </c>
      <c r="E478" s="193" t="s">
        <v>2551</v>
      </c>
      <c r="F478" s="193"/>
      <c r="G478" s="193" t="s">
        <v>13</v>
      </c>
      <c r="H478" s="120" t="s">
        <v>688</v>
      </c>
      <c r="I478" s="199">
        <v>235223603540</v>
      </c>
      <c r="J478" s="193" t="s">
        <v>2017</v>
      </c>
      <c r="K478" s="193"/>
    </row>
    <row r="479" spans="1:11" x14ac:dyDescent="0.3">
      <c r="A479" s="193">
        <f t="shared" si="7"/>
        <v>479</v>
      </c>
      <c r="B479" s="193" t="s">
        <v>2549</v>
      </c>
      <c r="C479" s="193" t="s">
        <v>2558</v>
      </c>
      <c r="D479" s="193">
        <v>865</v>
      </c>
      <c r="E479" s="193" t="s">
        <v>2551</v>
      </c>
      <c r="F479" s="193"/>
      <c r="G479" s="193" t="s">
        <v>13</v>
      </c>
      <c r="H479" s="120" t="s">
        <v>688</v>
      </c>
      <c r="I479" s="199">
        <v>235223603800</v>
      </c>
      <c r="J479" s="193" t="s">
        <v>2017</v>
      </c>
      <c r="K479" s="193"/>
    </row>
    <row r="480" spans="1:11" x14ac:dyDescent="0.3">
      <c r="A480" s="193">
        <f t="shared" si="7"/>
        <v>480</v>
      </c>
      <c r="B480" s="193" t="s">
        <v>2549</v>
      </c>
      <c r="C480" s="193" t="s">
        <v>2559</v>
      </c>
      <c r="D480" s="193">
        <v>941</v>
      </c>
      <c r="E480" s="193" t="s">
        <v>2551</v>
      </c>
      <c r="F480" s="193"/>
      <c r="G480" s="193" t="s">
        <v>13</v>
      </c>
      <c r="H480" s="120" t="s">
        <v>688</v>
      </c>
      <c r="I480" s="199">
        <v>235223603820</v>
      </c>
      <c r="J480" s="193" t="s">
        <v>2017</v>
      </c>
      <c r="K480" s="193"/>
    </row>
    <row r="481" spans="1:11" x14ac:dyDescent="0.3">
      <c r="A481" s="193">
        <f t="shared" si="7"/>
        <v>481</v>
      </c>
      <c r="B481" s="193" t="s">
        <v>2549</v>
      </c>
      <c r="C481" s="193" t="s">
        <v>2560</v>
      </c>
      <c r="D481" s="193">
        <v>1020.5</v>
      </c>
      <c r="E481" s="193" t="s">
        <v>2551</v>
      </c>
      <c r="F481" s="193"/>
      <c r="G481" s="193" t="s">
        <v>13</v>
      </c>
      <c r="H481" s="120" t="s">
        <v>688</v>
      </c>
      <c r="I481" s="199">
        <v>235223603840</v>
      </c>
      <c r="J481" s="193" t="s">
        <v>2017</v>
      </c>
      <c r="K481" s="193"/>
    </row>
    <row r="482" spans="1:11" x14ac:dyDescent="0.3">
      <c r="A482" s="193">
        <f t="shared" si="7"/>
        <v>482</v>
      </c>
      <c r="B482" s="193" t="s">
        <v>2549</v>
      </c>
      <c r="C482" s="193" t="s">
        <v>2561</v>
      </c>
      <c r="D482" s="193">
        <v>1098</v>
      </c>
      <c r="E482" s="193" t="s">
        <v>2551</v>
      </c>
      <c r="F482" s="193"/>
      <c r="G482" s="193" t="s">
        <v>13</v>
      </c>
      <c r="H482" s="120" t="s">
        <v>688</v>
      </c>
      <c r="I482" s="199">
        <v>235223603860</v>
      </c>
      <c r="J482" s="193" t="s">
        <v>2017</v>
      </c>
      <c r="K482" s="193"/>
    </row>
    <row r="483" spans="1:11" x14ac:dyDescent="0.3">
      <c r="A483" s="193">
        <f t="shared" si="7"/>
        <v>483</v>
      </c>
      <c r="B483" s="193" t="s">
        <v>2549</v>
      </c>
      <c r="C483" s="193" t="s">
        <v>2562</v>
      </c>
      <c r="D483" s="193">
        <v>1173</v>
      </c>
      <c r="E483" s="193" t="s">
        <v>2551</v>
      </c>
      <c r="F483" s="193"/>
      <c r="G483" s="193" t="s">
        <v>13</v>
      </c>
      <c r="H483" s="120" t="s">
        <v>688</v>
      </c>
      <c r="I483" s="199">
        <v>235223603880</v>
      </c>
      <c r="J483" s="193" t="s">
        <v>2017</v>
      </c>
      <c r="K483" s="193"/>
    </row>
    <row r="484" spans="1:11" x14ac:dyDescent="0.3">
      <c r="A484" s="193">
        <f t="shared" si="7"/>
        <v>484</v>
      </c>
      <c r="B484" s="193" t="s">
        <v>2549</v>
      </c>
      <c r="C484" s="193" t="s">
        <v>2563</v>
      </c>
      <c r="D484" s="193">
        <v>1232</v>
      </c>
      <c r="E484" s="193" t="s">
        <v>2551</v>
      </c>
      <c r="F484" s="193"/>
      <c r="G484" s="193" t="s">
        <v>13</v>
      </c>
      <c r="H484" s="120" t="s">
        <v>688</v>
      </c>
      <c r="I484" s="199">
        <v>235223603900</v>
      </c>
      <c r="J484" s="193" t="s">
        <v>2017</v>
      </c>
      <c r="K484" s="193"/>
    </row>
    <row r="485" spans="1:11" x14ac:dyDescent="0.3">
      <c r="A485" s="193">
        <f t="shared" si="7"/>
        <v>485</v>
      </c>
      <c r="B485" s="193" t="s">
        <v>2549</v>
      </c>
      <c r="C485" s="193" t="s">
        <v>2564</v>
      </c>
      <c r="D485" s="193">
        <v>1290</v>
      </c>
      <c r="E485" s="193" t="s">
        <v>2551</v>
      </c>
      <c r="F485" s="193"/>
      <c r="G485" s="193" t="s">
        <v>13</v>
      </c>
      <c r="H485" s="120" t="s">
        <v>688</v>
      </c>
      <c r="I485" s="199">
        <v>235223603920</v>
      </c>
      <c r="J485" s="193" t="s">
        <v>2017</v>
      </c>
      <c r="K485" s="193"/>
    </row>
    <row r="486" spans="1:11" x14ac:dyDescent="0.3">
      <c r="A486" s="193">
        <f t="shared" si="7"/>
        <v>486</v>
      </c>
      <c r="B486" s="193" t="s">
        <v>2549</v>
      </c>
      <c r="C486" s="193" t="s">
        <v>2565</v>
      </c>
      <c r="D486" s="193">
        <v>1349</v>
      </c>
      <c r="E486" s="193" t="s">
        <v>2551</v>
      </c>
      <c r="F486" s="193"/>
      <c r="G486" s="193" t="s">
        <v>13</v>
      </c>
      <c r="H486" s="120" t="s">
        <v>688</v>
      </c>
      <c r="I486" s="199">
        <v>235223603940</v>
      </c>
      <c r="J486" s="193" t="s">
        <v>2017</v>
      </c>
      <c r="K486" s="193"/>
    </row>
    <row r="487" spans="1:11" x14ac:dyDescent="0.3">
      <c r="A487" s="193">
        <f t="shared" si="7"/>
        <v>487</v>
      </c>
      <c r="B487" s="193" t="s">
        <v>2566</v>
      </c>
      <c r="C487" s="193" t="s">
        <v>2567</v>
      </c>
      <c r="D487" s="193">
        <v>30</v>
      </c>
      <c r="E487" s="193" t="s">
        <v>2568</v>
      </c>
      <c r="F487" s="193"/>
      <c r="G487" s="193" t="s">
        <v>13</v>
      </c>
      <c r="H487" s="120" t="s">
        <v>688</v>
      </c>
      <c r="I487" s="199">
        <v>235226407000</v>
      </c>
      <c r="J487" s="193" t="s">
        <v>2017</v>
      </c>
      <c r="K487" s="193"/>
    </row>
    <row r="488" spans="1:11" x14ac:dyDescent="0.3">
      <c r="A488" s="193">
        <f t="shared" si="7"/>
        <v>488</v>
      </c>
      <c r="B488" s="193" t="s">
        <v>2566</v>
      </c>
      <c r="C488" s="193" t="s">
        <v>2569</v>
      </c>
      <c r="D488" s="193">
        <v>35</v>
      </c>
      <c r="E488" s="193"/>
      <c r="F488" s="193"/>
      <c r="G488" s="193" t="s">
        <v>13</v>
      </c>
      <c r="H488" s="120" t="s">
        <v>688</v>
      </c>
      <c r="I488" s="199">
        <v>235226407020</v>
      </c>
      <c r="J488" s="193" t="s">
        <v>2017</v>
      </c>
      <c r="K488" s="193"/>
    </row>
    <row r="489" spans="1:11" x14ac:dyDescent="0.3">
      <c r="A489" s="193">
        <f t="shared" si="7"/>
        <v>489</v>
      </c>
      <c r="B489" s="193" t="s">
        <v>2566</v>
      </c>
      <c r="C489" s="193" t="s">
        <v>2570</v>
      </c>
      <c r="D489" s="193">
        <v>40</v>
      </c>
      <c r="E489" s="193"/>
      <c r="F489" s="193"/>
      <c r="G489" s="193" t="s">
        <v>13</v>
      </c>
      <c r="H489" s="120" t="s">
        <v>688</v>
      </c>
      <c r="I489" s="199">
        <v>235226407040</v>
      </c>
      <c r="J489" s="193" t="s">
        <v>2017</v>
      </c>
      <c r="K489" s="193"/>
    </row>
    <row r="490" spans="1:11" x14ac:dyDescent="0.3">
      <c r="A490" s="193">
        <f t="shared" si="7"/>
        <v>490</v>
      </c>
      <c r="B490" s="193" t="s">
        <v>2566</v>
      </c>
      <c r="C490" s="193" t="s">
        <v>2571</v>
      </c>
      <c r="D490" s="193">
        <v>49</v>
      </c>
      <c r="E490" s="193"/>
      <c r="F490" s="193"/>
      <c r="G490" s="193" t="s">
        <v>13</v>
      </c>
      <c r="H490" s="120" t="s">
        <v>688</v>
      </c>
      <c r="I490" s="199">
        <v>235226407060</v>
      </c>
      <c r="J490" s="193" t="s">
        <v>2017</v>
      </c>
      <c r="K490" s="193"/>
    </row>
    <row r="491" spans="1:11" x14ac:dyDescent="0.3">
      <c r="A491" s="193">
        <f t="shared" si="7"/>
        <v>491</v>
      </c>
      <c r="B491" s="193" t="s">
        <v>2566</v>
      </c>
      <c r="C491" s="193" t="s">
        <v>2572</v>
      </c>
      <c r="D491" s="193">
        <v>66</v>
      </c>
      <c r="E491" s="193"/>
      <c r="F491" s="193"/>
      <c r="G491" s="193" t="s">
        <v>13</v>
      </c>
      <c r="H491" s="120" t="s">
        <v>688</v>
      </c>
      <c r="I491" s="199">
        <v>235226407080</v>
      </c>
      <c r="J491" s="193" t="s">
        <v>2017</v>
      </c>
      <c r="K491" s="193"/>
    </row>
    <row r="492" spans="1:11" x14ac:dyDescent="0.3">
      <c r="A492" s="193">
        <f t="shared" si="7"/>
        <v>492</v>
      </c>
      <c r="B492" s="193" t="s">
        <v>2566</v>
      </c>
      <c r="C492" s="193" t="s">
        <v>2573</v>
      </c>
      <c r="D492" s="193">
        <v>92</v>
      </c>
      <c r="E492" s="193"/>
      <c r="F492" s="193"/>
      <c r="G492" s="193" t="s">
        <v>13</v>
      </c>
      <c r="H492" s="120" t="s">
        <v>688</v>
      </c>
      <c r="I492" s="199">
        <v>235226407100</v>
      </c>
      <c r="J492" s="193" t="s">
        <v>2017</v>
      </c>
      <c r="K492" s="193"/>
    </row>
    <row r="493" spans="1:11" x14ac:dyDescent="0.3">
      <c r="A493" s="193">
        <f t="shared" si="7"/>
        <v>493</v>
      </c>
      <c r="B493" s="193" t="s">
        <v>2566</v>
      </c>
      <c r="C493" s="193" t="s">
        <v>2574</v>
      </c>
      <c r="D493" s="193">
        <v>123</v>
      </c>
      <c r="E493" s="193"/>
      <c r="F493" s="193"/>
      <c r="G493" s="193" t="s">
        <v>13</v>
      </c>
      <c r="H493" s="120" t="s">
        <v>688</v>
      </c>
      <c r="I493" s="199">
        <v>235226407120</v>
      </c>
      <c r="J493" s="193" t="s">
        <v>2017</v>
      </c>
      <c r="K493" s="193"/>
    </row>
    <row r="494" spans="1:11" x14ac:dyDescent="0.3">
      <c r="A494" s="193">
        <f t="shared" si="7"/>
        <v>494</v>
      </c>
      <c r="B494" s="193" t="s">
        <v>2566</v>
      </c>
      <c r="C494" s="193" t="s">
        <v>2575</v>
      </c>
      <c r="D494" s="193">
        <v>154</v>
      </c>
      <c r="E494" s="193"/>
      <c r="F494" s="193"/>
      <c r="G494" s="193" t="s">
        <v>13</v>
      </c>
      <c r="H494" s="120" t="s">
        <v>688</v>
      </c>
      <c r="I494" s="199">
        <v>235226407140</v>
      </c>
      <c r="J494" s="193" t="s">
        <v>2017</v>
      </c>
      <c r="K494" s="193"/>
    </row>
    <row r="495" spans="1:11" x14ac:dyDescent="0.3">
      <c r="A495" s="193">
        <f t="shared" si="7"/>
        <v>495</v>
      </c>
      <c r="B495" s="193" t="s">
        <v>2566</v>
      </c>
      <c r="C495" s="193" t="s">
        <v>2576</v>
      </c>
      <c r="D495" s="193">
        <v>215.5</v>
      </c>
      <c r="E495" s="193"/>
      <c r="F495" s="193"/>
      <c r="G495" s="193" t="s">
        <v>13</v>
      </c>
      <c r="H495" s="120" t="s">
        <v>688</v>
      </c>
      <c r="I495" s="199">
        <v>235226407180</v>
      </c>
      <c r="J495" s="193" t="s">
        <v>2017</v>
      </c>
      <c r="K495" s="193"/>
    </row>
    <row r="496" spans="1:11" x14ac:dyDescent="0.3">
      <c r="A496" s="193">
        <f t="shared" si="7"/>
        <v>496</v>
      </c>
      <c r="B496" s="193" t="s">
        <v>2566</v>
      </c>
      <c r="C496" s="193" t="s">
        <v>2577</v>
      </c>
      <c r="D496" s="193">
        <v>308</v>
      </c>
      <c r="E496" s="193"/>
      <c r="F496" s="193"/>
      <c r="G496" s="193" t="s">
        <v>13</v>
      </c>
      <c r="H496" s="120" t="s">
        <v>688</v>
      </c>
      <c r="I496" s="199">
        <v>235226407220</v>
      </c>
      <c r="J496" s="193" t="s">
        <v>2017</v>
      </c>
      <c r="K496" s="193"/>
    </row>
    <row r="497" spans="1:11" x14ac:dyDescent="0.3">
      <c r="A497" s="193">
        <f t="shared" si="7"/>
        <v>497</v>
      </c>
      <c r="B497" s="193" t="s">
        <v>2566</v>
      </c>
      <c r="C497" s="193" t="s">
        <v>2578</v>
      </c>
      <c r="D497" s="193">
        <v>677</v>
      </c>
      <c r="E497" s="193"/>
      <c r="F497" s="193"/>
      <c r="G497" s="193" t="s">
        <v>13</v>
      </c>
      <c r="H497" s="120" t="s">
        <v>688</v>
      </c>
      <c r="I497" s="199">
        <v>235226407280</v>
      </c>
      <c r="J497" s="193" t="s">
        <v>2017</v>
      </c>
      <c r="K497" s="193"/>
    </row>
    <row r="498" spans="1:11" x14ac:dyDescent="0.3">
      <c r="A498" s="193">
        <f t="shared" si="7"/>
        <v>498</v>
      </c>
      <c r="B498" s="193" t="s">
        <v>2566</v>
      </c>
      <c r="C498" s="193" t="s">
        <v>2579</v>
      </c>
      <c r="D498" s="193">
        <v>924</v>
      </c>
      <c r="E498" s="193"/>
      <c r="F498" s="193"/>
      <c r="G498" s="193" t="s">
        <v>13</v>
      </c>
      <c r="H498" s="120" t="s">
        <v>688</v>
      </c>
      <c r="I498" s="199">
        <v>235226407320</v>
      </c>
      <c r="J498" s="193" t="s">
        <v>2017</v>
      </c>
      <c r="K498" s="193"/>
    </row>
    <row r="499" spans="1:11" x14ac:dyDescent="0.3">
      <c r="A499" s="193">
        <f t="shared" si="7"/>
        <v>499</v>
      </c>
      <c r="B499" s="193" t="s">
        <v>2580</v>
      </c>
      <c r="C499" s="193" t="s">
        <v>2581</v>
      </c>
      <c r="D499" s="193">
        <v>59</v>
      </c>
      <c r="E499" s="193"/>
      <c r="F499" s="193"/>
      <c r="G499" s="193" t="s">
        <v>13</v>
      </c>
      <c r="H499" s="120" t="s">
        <v>688</v>
      </c>
      <c r="I499" s="199">
        <v>235226702010</v>
      </c>
      <c r="J499" s="193" t="s">
        <v>2017</v>
      </c>
      <c r="K499" s="193"/>
    </row>
    <row r="500" spans="1:11" x14ac:dyDescent="0.3">
      <c r="A500" s="193">
        <f t="shared" si="7"/>
        <v>500</v>
      </c>
      <c r="B500" s="193" t="s">
        <v>2580</v>
      </c>
      <c r="C500" s="193" t="s">
        <v>2582</v>
      </c>
      <c r="D500" s="193">
        <v>80.599999999999994</v>
      </c>
      <c r="E500" s="193"/>
      <c r="F500" s="193"/>
      <c r="G500" s="193" t="s">
        <v>13</v>
      </c>
      <c r="H500" s="120" t="s">
        <v>688</v>
      </c>
      <c r="I500" s="199">
        <v>235226702014</v>
      </c>
      <c r="J500" s="193" t="s">
        <v>2017</v>
      </c>
      <c r="K500" s="193"/>
    </row>
    <row r="501" spans="1:11" x14ac:dyDescent="0.3">
      <c r="A501" s="193">
        <f t="shared" si="7"/>
        <v>501</v>
      </c>
      <c r="B501" s="193" t="s">
        <v>2580</v>
      </c>
      <c r="C501" s="193" t="s">
        <v>2583</v>
      </c>
      <c r="D501" s="193">
        <v>105.5</v>
      </c>
      <c r="E501" s="193"/>
      <c r="F501" s="193"/>
      <c r="G501" s="193" t="s">
        <v>13</v>
      </c>
      <c r="H501" s="120" t="s">
        <v>688</v>
      </c>
      <c r="I501" s="199">
        <v>235226702018</v>
      </c>
      <c r="J501" s="193" t="s">
        <v>2017</v>
      </c>
      <c r="K501" s="193"/>
    </row>
    <row r="502" spans="1:11" x14ac:dyDescent="0.3">
      <c r="A502" s="193">
        <f t="shared" si="7"/>
        <v>502</v>
      </c>
      <c r="B502" s="193" t="s">
        <v>2580</v>
      </c>
      <c r="C502" s="193" t="s">
        <v>2584</v>
      </c>
      <c r="D502" s="193">
        <v>152.5</v>
      </c>
      <c r="E502" s="193"/>
      <c r="F502" s="193"/>
      <c r="G502" s="193" t="s">
        <v>13</v>
      </c>
      <c r="H502" s="120" t="s">
        <v>688</v>
      </c>
      <c r="I502" s="199">
        <v>235226702022</v>
      </c>
      <c r="J502" s="193" t="s">
        <v>2017</v>
      </c>
      <c r="K502" s="193"/>
    </row>
    <row r="503" spans="1:11" x14ac:dyDescent="0.3">
      <c r="A503" s="193">
        <f t="shared" si="7"/>
        <v>503</v>
      </c>
      <c r="B503" s="193" t="s">
        <v>2580</v>
      </c>
      <c r="C503" s="193" t="s">
        <v>2585</v>
      </c>
      <c r="D503" s="193">
        <v>176</v>
      </c>
      <c r="E503" s="193"/>
      <c r="F503" s="193"/>
      <c r="G503" s="193" t="s">
        <v>13</v>
      </c>
      <c r="H503" s="120" t="s">
        <v>688</v>
      </c>
      <c r="I503" s="199">
        <v>235226702026</v>
      </c>
      <c r="J503" s="193" t="s">
        <v>2017</v>
      </c>
      <c r="K503" s="193"/>
    </row>
    <row r="504" spans="1:11" x14ac:dyDescent="0.3">
      <c r="A504" s="193">
        <f t="shared" si="7"/>
        <v>504</v>
      </c>
      <c r="B504" s="193" t="s">
        <v>2580</v>
      </c>
      <c r="C504" s="193" t="s">
        <v>2586</v>
      </c>
      <c r="D504" s="193">
        <v>211</v>
      </c>
      <c r="E504" s="193"/>
      <c r="F504" s="193"/>
      <c r="G504" s="193" t="s">
        <v>13</v>
      </c>
      <c r="H504" s="120" t="s">
        <v>688</v>
      </c>
      <c r="I504" s="199">
        <v>235226702030</v>
      </c>
      <c r="J504" s="193" t="s">
        <v>2017</v>
      </c>
      <c r="K504" s="193"/>
    </row>
    <row r="505" spans="1:11" x14ac:dyDescent="0.3">
      <c r="A505" s="193">
        <f t="shared" si="7"/>
        <v>505</v>
      </c>
      <c r="B505" s="193" t="s">
        <v>2580</v>
      </c>
      <c r="C505" s="193" t="s">
        <v>2587</v>
      </c>
      <c r="D505" s="193">
        <v>281.5</v>
      </c>
      <c r="E505" s="193"/>
      <c r="F505" s="193"/>
      <c r="G505" s="193" t="s">
        <v>13</v>
      </c>
      <c r="H505" s="120" t="s">
        <v>688</v>
      </c>
      <c r="I505" s="199">
        <v>235226702034</v>
      </c>
      <c r="J505" s="193" t="s">
        <v>2017</v>
      </c>
      <c r="K505" s="193"/>
    </row>
    <row r="506" spans="1:11" x14ac:dyDescent="0.3">
      <c r="A506" s="193">
        <f t="shared" si="7"/>
        <v>506</v>
      </c>
      <c r="B506" s="193" t="s">
        <v>2580</v>
      </c>
      <c r="C506" s="193" t="s">
        <v>2588</v>
      </c>
      <c r="D506" s="193">
        <v>352</v>
      </c>
      <c r="E506" s="193"/>
      <c r="F506" s="193"/>
      <c r="G506" s="193" t="s">
        <v>13</v>
      </c>
      <c r="H506" s="120" t="s">
        <v>688</v>
      </c>
      <c r="I506" s="199">
        <v>235226702040</v>
      </c>
      <c r="J506" s="193" t="s">
        <v>2017</v>
      </c>
      <c r="K506" s="193"/>
    </row>
    <row r="507" spans="1:11" x14ac:dyDescent="0.3">
      <c r="A507" s="193">
        <f t="shared" si="7"/>
        <v>507</v>
      </c>
      <c r="B507" s="193" t="s">
        <v>2580</v>
      </c>
      <c r="C507" s="193" t="s">
        <v>2589</v>
      </c>
      <c r="D507" s="193">
        <v>422</v>
      </c>
      <c r="E507" s="193"/>
      <c r="F507" s="193"/>
      <c r="G507" s="193" t="s">
        <v>13</v>
      </c>
      <c r="H507" s="120" t="s">
        <v>688</v>
      </c>
      <c r="I507" s="199">
        <v>235226702044</v>
      </c>
      <c r="J507" s="193" t="s">
        <v>2017</v>
      </c>
      <c r="K507" s="193"/>
    </row>
    <row r="508" spans="1:11" x14ac:dyDescent="0.3">
      <c r="A508" s="193">
        <f t="shared" si="7"/>
        <v>508</v>
      </c>
      <c r="B508" s="193" t="s">
        <v>2580</v>
      </c>
      <c r="C508" s="193" t="s">
        <v>2590</v>
      </c>
      <c r="D508" s="193">
        <v>469</v>
      </c>
      <c r="E508" s="193"/>
      <c r="F508" s="193"/>
      <c r="G508" s="193" t="s">
        <v>13</v>
      </c>
      <c r="H508" s="120" t="s">
        <v>688</v>
      </c>
      <c r="I508" s="199">
        <v>235226702060</v>
      </c>
      <c r="J508" s="193" t="s">
        <v>2017</v>
      </c>
      <c r="K508" s="193"/>
    </row>
    <row r="509" spans="1:11" x14ac:dyDescent="0.3">
      <c r="A509" s="193">
        <f t="shared" si="7"/>
        <v>509</v>
      </c>
      <c r="B509" s="193" t="s">
        <v>2580</v>
      </c>
      <c r="C509" s="193" t="s">
        <v>2591</v>
      </c>
      <c r="D509" s="193">
        <v>563</v>
      </c>
      <c r="E509" s="193"/>
      <c r="F509" s="193"/>
      <c r="G509" s="193" t="s">
        <v>13</v>
      </c>
      <c r="H509" s="120" t="s">
        <v>688</v>
      </c>
      <c r="I509" s="199">
        <v>235226702068</v>
      </c>
      <c r="J509" s="193" t="s">
        <v>2017</v>
      </c>
      <c r="K509" s="193"/>
    </row>
    <row r="510" spans="1:11" x14ac:dyDescent="0.3">
      <c r="A510" s="193">
        <f t="shared" si="7"/>
        <v>510</v>
      </c>
      <c r="B510" s="193" t="s">
        <v>2580</v>
      </c>
      <c r="C510" s="193" t="s">
        <v>2592</v>
      </c>
      <c r="D510" s="193">
        <v>633</v>
      </c>
      <c r="E510" s="193"/>
      <c r="F510" s="193"/>
      <c r="G510" s="193" t="s">
        <v>13</v>
      </c>
      <c r="H510" s="120" t="s">
        <v>688</v>
      </c>
      <c r="I510" s="199">
        <v>235226702072</v>
      </c>
      <c r="J510" s="193" t="s">
        <v>2017</v>
      </c>
      <c r="K510" s="193"/>
    </row>
    <row r="511" spans="1:11" x14ac:dyDescent="0.3">
      <c r="A511" s="193">
        <f t="shared" si="7"/>
        <v>511</v>
      </c>
      <c r="B511" s="193" t="s">
        <v>2580</v>
      </c>
      <c r="C511" s="193" t="s">
        <v>2593</v>
      </c>
      <c r="D511" s="193">
        <v>704</v>
      </c>
      <c r="E511" s="193"/>
      <c r="F511" s="193"/>
      <c r="G511" s="193" t="s">
        <v>13</v>
      </c>
      <c r="H511" s="120" t="s">
        <v>688</v>
      </c>
      <c r="I511" s="199">
        <v>235226702080</v>
      </c>
      <c r="J511" s="193" t="s">
        <v>2017</v>
      </c>
      <c r="K511" s="193"/>
    </row>
    <row r="512" spans="1:11" x14ac:dyDescent="0.3">
      <c r="A512" s="193">
        <f t="shared" si="7"/>
        <v>512</v>
      </c>
      <c r="B512" s="193" t="s">
        <v>2580</v>
      </c>
      <c r="C512" s="193" t="s">
        <v>2594</v>
      </c>
      <c r="D512" s="193">
        <v>938</v>
      </c>
      <c r="E512" s="193"/>
      <c r="F512" s="193"/>
      <c r="G512" s="193" t="s">
        <v>13</v>
      </c>
      <c r="H512" s="120" t="s">
        <v>688</v>
      </c>
      <c r="I512" s="199">
        <v>235226702100</v>
      </c>
      <c r="J512" s="193" t="s">
        <v>2017</v>
      </c>
      <c r="K512" s="193"/>
    </row>
    <row r="513" spans="1:11" x14ac:dyDescent="0.3">
      <c r="A513" s="193">
        <f t="shared" ref="A513:A576" si="8">A512+1</f>
        <v>513</v>
      </c>
      <c r="B513" s="193" t="s">
        <v>2580</v>
      </c>
      <c r="C513" s="193" t="s">
        <v>2595</v>
      </c>
      <c r="D513" s="193">
        <v>1408</v>
      </c>
      <c r="E513" s="193"/>
      <c r="F513" s="193"/>
      <c r="G513" s="193" t="s">
        <v>13</v>
      </c>
      <c r="H513" s="120" t="s">
        <v>688</v>
      </c>
      <c r="I513" s="199">
        <v>235226702120</v>
      </c>
      <c r="J513" s="193" t="s">
        <v>2017</v>
      </c>
      <c r="K513" s="193"/>
    </row>
    <row r="514" spans="1:11" x14ac:dyDescent="0.3">
      <c r="A514" s="193">
        <f t="shared" si="8"/>
        <v>514</v>
      </c>
      <c r="B514" s="193" t="s">
        <v>2596</v>
      </c>
      <c r="C514" s="193" t="s">
        <v>2597</v>
      </c>
      <c r="D514" s="193">
        <v>59</v>
      </c>
      <c r="E514" s="193"/>
      <c r="F514" s="193"/>
      <c r="G514" s="193" t="s">
        <v>13</v>
      </c>
      <c r="H514" s="120" t="s">
        <v>688</v>
      </c>
      <c r="I514" s="199">
        <v>235226702204</v>
      </c>
      <c r="J514" s="193" t="s">
        <v>2017</v>
      </c>
      <c r="K514" s="193"/>
    </row>
    <row r="515" spans="1:11" x14ac:dyDescent="0.3">
      <c r="A515" s="193">
        <f t="shared" si="8"/>
        <v>515</v>
      </c>
      <c r="B515" s="193" t="s">
        <v>2596</v>
      </c>
      <c r="C515" s="193" t="s">
        <v>2598</v>
      </c>
      <c r="D515" s="193">
        <v>81</v>
      </c>
      <c r="E515" s="193"/>
      <c r="F515" s="193"/>
      <c r="G515" s="193" t="s">
        <v>13</v>
      </c>
      <c r="H515" s="120" t="s">
        <v>688</v>
      </c>
      <c r="I515" s="199">
        <v>235226702208</v>
      </c>
      <c r="J515" s="193" t="s">
        <v>2017</v>
      </c>
      <c r="K515" s="193"/>
    </row>
    <row r="516" spans="1:11" x14ac:dyDescent="0.3">
      <c r="A516" s="193">
        <f t="shared" si="8"/>
        <v>516</v>
      </c>
      <c r="B516" s="193" t="s">
        <v>2596</v>
      </c>
      <c r="C516" s="193" t="s">
        <v>2599</v>
      </c>
      <c r="D516" s="193">
        <v>105.5</v>
      </c>
      <c r="E516" s="193"/>
      <c r="F516" s="193"/>
      <c r="G516" s="193" t="s">
        <v>13</v>
      </c>
      <c r="H516" s="120" t="s">
        <v>688</v>
      </c>
      <c r="I516" s="199">
        <v>235226702212</v>
      </c>
      <c r="J516" s="193" t="s">
        <v>2017</v>
      </c>
      <c r="K516" s="193"/>
    </row>
    <row r="517" spans="1:11" x14ac:dyDescent="0.3">
      <c r="A517" s="193">
        <f t="shared" si="8"/>
        <v>517</v>
      </c>
      <c r="B517" s="193" t="s">
        <v>2596</v>
      </c>
      <c r="C517" s="193" t="s">
        <v>2600</v>
      </c>
      <c r="D517" s="193">
        <v>152.5</v>
      </c>
      <c r="E517" s="193"/>
      <c r="F517" s="193"/>
      <c r="G517" s="193" t="s">
        <v>13</v>
      </c>
      <c r="H517" s="120" t="s">
        <v>688</v>
      </c>
      <c r="I517" s="199">
        <v>235226702216</v>
      </c>
      <c r="J517" s="193" t="s">
        <v>2017</v>
      </c>
      <c r="K517" s="193"/>
    </row>
    <row r="518" spans="1:11" x14ac:dyDescent="0.3">
      <c r="A518" s="193">
        <f t="shared" si="8"/>
        <v>518</v>
      </c>
      <c r="B518" s="193" t="s">
        <v>2596</v>
      </c>
      <c r="C518" s="193" t="s">
        <v>2601</v>
      </c>
      <c r="D518" s="193">
        <v>176</v>
      </c>
      <c r="E518" s="193"/>
      <c r="F518" s="193"/>
      <c r="G518" s="193" t="s">
        <v>13</v>
      </c>
      <c r="H518" s="120" t="s">
        <v>688</v>
      </c>
      <c r="I518" s="199">
        <v>235226702220</v>
      </c>
      <c r="J518" s="193" t="s">
        <v>2017</v>
      </c>
      <c r="K518" s="193"/>
    </row>
    <row r="519" spans="1:11" x14ac:dyDescent="0.3">
      <c r="A519" s="193">
        <f t="shared" si="8"/>
        <v>519</v>
      </c>
      <c r="B519" s="193" t="s">
        <v>2596</v>
      </c>
      <c r="C519" s="193" t="s">
        <v>2602</v>
      </c>
      <c r="D519" s="193">
        <v>211</v>
      </c>
      <c r="E519" s="193"/>
      <c r="F519" s="193"/>
      <c r="G519" s="193" t="s">
        <v>13</v>
      </c>
      <c r="H519" s="120" t="s">
        <v>688</v>
      </c>
      <c r="I519" s="199">
        <v>235226702224</v>
      </c>
      <c r="J519" s="193" t="s">
        <v>2017</v>
      </c>
      <c r="K519" s="193"/>
    </row>
    <row r="520" spans="1:11" x14ac:dyDescent="0.3">
      <c r="A520" s="193">
        <f t="shared" si="8"/>
        <v>520</v>
      </c>
      <c r="B520" s="193" t="s">
        <v>2596</v>
      </c>
      <c r="C520" s="193" t="s">
        <v>2603</v>
      </c>
      <c r="D520" s="193">
        <v>281.5</v>
      </c>
      <c r="E520" s="193"/>
      <c r="F520" s="193"/>
      <c r="G520" s="193" t="s">
        <v>13</v>
      </c>
      <c r="H520" s="120" t="s">
        <v>688</v>
      </c>
      <c r="I520" s="199">
        <v>235226702228</v>
      </c>
      <c r="J520" s="193" t="s">
        <v>2017</v>
      </c>
      <c r="K520" s="193"/>
    </row>
    <row r="521" spans="1:11" x14ac:dyDescent="0.3">
      <c r="A521" s="193">
        <f t="shared" si="8"/>
        <v>521</v>
      </c>
      <c r="B521" s="193" t="s">
        <v>2596</v>
      </c>
      <c r="C521" s="193" t="s">
        <v>2604</v>
      </c>
      <c r="D521" s="193">
        <v>358</v>
      </c>
      <c r="E521" s="193"/>
      <c r="F521" s="193"/>
      <c r="G521" s="193" t="s">
        <v>13</v>
      </c>
      <c r="H521" s="120" t="s">
        <v>688</v>
      </c>
      <c r="I521" s="199">
        <v>235226702232</v>
      </c>
      <c r="J521" s="193" t="s">
        <v>2017</v>
      </c>
      <c r="K521" s="193"/>
    </row>
    <row r="522" spans="1:11" x14ac:dyDescent="0.3">
      <c r="A522" s="193">
        <f t="shared" si="8"/>
        <v>522</v>
      </c>
      <c r="B522" s="193" t="s">
        <v>2596</v>
      </c>
      <c r="C522" s="193" t="s">
        <v>2605</v>
      </c>
      <c r="D522" s="193">
        <v>422</v>
      </c>
      <c r="E522" s="193"/>
      <c r="F522" s="193"/>
      <c r="G522" s="193" t="s">
        <v>13</v>
      </c>
      <c r="H522" s="120" t="s">
        <v>688</v>
      </c>
      <c r="I522" s="199">
        <v>235226702236</v>
      </c>
      <c r="J522" s="193" t="s">
        <v>2017</v>
      </c>
      <c r="K522" s="193"/>
    </row>
    <row r="523" spans="1:11" x14ac:dyDescent="0.3">
      <c r="A523" s="193">
        <f t="shared" si="8"/>
        <v>523</v>
      </c>
      <c r="B523" s="193" t="s">
        <v>2596</v>
      </c>
      <c r="C523" s="193" t="s">
        <v>2606</v>
      </c>
      <c r="D523" s="193">
        <v>492</v>
      </c>
      <c r="E523" s="193"/>
      <c r="F523" s="193"/>
      <c r="G523" s="193" t="s">
        <v>13</v>
      </c>
      <c r="H523" s="120" t="s">
        <v>688</v>
      </c>
      <c r="I523" s="199">
        <v>235226702240</v>
      </c>
      <c r="J523" s="193" t="s">
        <v>2017</v>
      </c>
      <c r="K523" s="193"/>
    </row>
    <row r="524" spans="1:11" x14ac:dyDescent="0.3">
      <c r="A524" s="193">
        <f t="shared" si="8"/>
        <v>524</v>
      </c>
      <c r="B524" s="193" t="s">
        <v>2596</v>
      </c>
      <c r="C524" s="193" t="s">
        <v>2607</v>
      </c>
      <c r="D524" s="193">
        <v>563</v>
      </c>
      <c r="E524" s="193"/>
      <c r="F524" s="193"/>
      <c r="G524" s="193" t="s">
        <v>13</v>
      </c>
      <c r="H524" s="120" t="s">
        <v>688</v>
      </c>
      <c r="I524" s="199">
        <v>235226702244</v>
      </c>
      <c r="J524" s="193" t="s">
        <v>2017</v>
      </c>
      <c r="K524" s="193"/>
    </row>
    <row r="525" spans="1:11" x14ac:dyDescent="0.3">
      <c r="A525" s="193">
        <f t="shared" si="8"/>
        <v>525</v>
      </c>
      <c r="B525" s="193" t="s">
        <v>2596</v>
      </c>
      <c r="C525" s="193" t="s">
        <v>2608</v>
      </c>
      <c r="D525" s="193">
        <v>633</v>
      </c>
      <c r="E525" s="193"/>
      <c r="F525" s="193"/>
      <c r="G525" s="193" t="s">
        <v>13</v>
      </c>
      <c r="H525" s="120" t="s">
        <v>688</v>
      </c>
      <c r="I525" s="199">
        <v>235226702248</v>
      </c>
      <c r="J525" s="193" t="s">
        <v>2017</v>
      </c>
      <c r="K525" s="193"/>
    </row>
    <row r="526" spans="1:11" x14ac:dyDescent="0.3">
      <c r="A526" s="193">
        <f t="shared" si="8"/>
        <v>526</v>
      </c>
      <c r="B526" s="193" t="s">
        <v>2596</v>
      </c>
      <c r="C526" s="193" t="s">
        <v>2609</v>
      </c>
      <c r="D526" s="193">
        <v>704</v>
      </c>
      <c r="E526" s="193"/>
      <c r="F526" s="193"/>
      <c r="G526" s="193" t="s">
        <v>13</v>
      </c>
      <c r="H526" s="120" t="s">
        <v>688</v>
      </c>
      <c r="I526" s="199">
        <v>235226702252</v>
      </c>
      <c r="J526" s="193" t="s">
        <v>2017</v>
      </c>
      <c r="K526" s="193"/>
    </row>
    <row r="527" spans="1:11" x14ac:dyDescent="0.3">
      <c r="A527" s="193">
        <f t="shared" si="8"/>
        <v>527</v>
      </c>
      <c r="B527" s="193" t="s">
        <v>2610</v>
      </c>
      <c r="C527" s="193" t="s">
        <v>2611</v>
      </c>
      <c r="D527" s="193">
        <v>1.7</v>
      </c>
      <c r="E527" s="193"/>
      <c r="F527" s="193"/>
      <c r="G527" s="193" t="s">
        <v>13</v>
      </c>
      <c r="H527" s="120" t="s">
        <v>688</v>
      </c>
      <c r="I527" s="199">
        <v>235324100200</v>
      </c>
      <c r="J527" s="193" t="s">
        <v>2017</v>
      </c>
      <c r="K527" s="193"/>
    </row>
    <row r="528" spans="1:11" x14ac:dyDescent="0.3">
      <c r="A528" s="193">
        <f t="shared" si="8"/>
        <v>528</v>
      </c>
      <c r="B528" s="193" t="s">
        <v>2610</v>
      </c>
      <c r="C528" s="193" t="s">
        <v>2612</v>
      </c>
      <c r="D528" s="193">
        <v>12</v>
      </c>
      <c r="E528" s="193"/>
      <c r="F528" s="193"/>
      <c r="G528" s="193" t="s">
        <v>13</v>
      </c>
      <c r="H528" s="120" t="s">
        <v>688</v>
      </c>
      <c r="I528" s="199">
        <v>235324100230</v>
      </c>
      <c r="J528" s="193" t="s">
        <v>2017</v>
      </c>
      <c r="K528" s="193"/>
    </row>
    <row r="529" spans="1:11" x14ac:dyDescent="0.3">
      <c r="A529" s="193">
        <f t="shared" si="8"/>
        <v>529</v>
      </c>
      <c r="B529" s="193" t="s">
        <v>2613</v>
      </c>
      <c r="C529" s="193" t="s">
        <v>2614</v>
      </c>
      <c r="D529" s="193">
        <v>10</v>
      </c>
      <c r="E529" s="193" t="s">
        <v>1316</v>
      </c>
      <c r="F529" s="193"/>
      <c r="G529" s="193" t="s">
        <v>13</v>
      </c>
      <c r="H529" s="120" t="s">
        <v>688</v>
      </c>
      <c r="I529" s="199">
        <v>235413101100</v>
      </c>
      <c r="J529" s="193" t="s">
        <v>2017</v>
      </c>
      <c r="K529" s="193"/>
    </row>
    <row r="530" spans="1:11" x14ac:dyDescent="0.3">
      <c r="A530" s="193">
        <f t="shared" si="8"/>
        <v>530</v>
      </c>
      <c r="B530" s="193" t="s">
        <v>2613</v>
      </c>
      <c r="C530" s="193" t="s">
        <v>2615</v>
      </c>
      <c r="D530" s="193">
        <v>15</v>
      </c>
      <c r="E530" s="193" t="s">
        <v>1316</v>
      </c>
      <c r="F530" s="193"/>
      <c r="G530" s="193" t="s">
        <v>13</v>
      </c>
      <c r="H530" s="120" t="s">
        <v>688</v>
      </c>
      <c r="I530" s="199">
        <v>235413101120</v>
      </c>
      <c r="J530" s="193" t="s">
        <v>2017</v>
      </c>
      <c r="K530" s="193"/>
    </row>
    <row r="531" spans="1:11" x14ac:dyDescent="0.3">
      <c r="A531" s="193">
        <f t="shared" si="8"/>
        <v>531</v>
      </c>
      <c r="B531" s="193" t="s">
        <v>2613</v>
      </c>
      <c r="C531" s="193" t="s">
        <v>2616</v>
      </c>
      <c r="D531" s="193">
        <v>20</v>
      </c>
      <c r="E531" s="193" t="s">
        <v>1316</v>
      </c>
      <c r="F531" s="193"/>
      <c r="G531" s="193" t="s">
        <v>13</v>
      </c>
      <c r="H531" s="120" t="s">
        <v>688</v>
      </c>
      <c r="I531" s="199">
        <v>235413101140</v>
      </c>
      <c r="J531" s="193" t="s">
        <v>2017</v>
      </c>
      <c r="K531" s="193"/>
    </row>
    <row r="532" spans="1:11" x14ac:dyDescent="0.3">
      <c r="A532" s="193">
        <f t="shared" si="8"/>
        <v>532</v>
      </c>
      <c r="B532" s="193" t="s">
        <v>2613</v>
      </c>
      <c r="C532" s="193" t="s">
        <v>2617</v>
      </c>
      <c r="D532" s="193">
        <v>25</v>
      </c>
      <c r="E532" s="193" t="s">
        <v>1316</v>
      </c>
      <c r="F532" s="193"/>
      <c r="G532" s="193" t="s">
        <v>13</v>
      </c>
      <c r="H532" s="120" t="s">
        <v>688</v>
      </c>
      <c r="I532" s="199">
        <v>235413101160</v>
      </c>
      <c r="J532" s="193" t="s">
        <v>2017</v>
      </c>
      <c r="K532" s="193"/>
    </row>
    <row r="533" spans="1:11" x14ac:dyDescent="0.3">
      <c r="A533" s="193">
        <f t="shared" si="8"/>
        <v>533</v>
      </c>
      <c r="B533" s="193" t="s">
        <v>2618</v>
      </c>
      <c r="C533" s="193" t="s">
        <v>2619</v>
      </c>
      <c r="D533" s="193">
        <v>13</v>
      </c>
      <c r="E533" s="193" t="s">
        <v>1318</v>
      </c>
      <c r="F533" s="193"/>
      <c r="G533" s="193" t="s">
        <v>13</v>
      </c>
      <c r="H533" s="120" t="s">
        <v>688</v>
      </c>
      <c r="I533" s="199">
        <v>235416133020</v>
      </c>
      <c r="J533" s="193" t="s">
        <v>2017</v>
      </c>
      <c r="K533" s="193"/>
    </row>
    <row r="534" spans="1:11" x14ac:dyDescent="0.3">
      <c r="A534" s="193">
        <f t="shared" si="8"/>
        <v>534</v>
      </c>
      <c r="B534" s="193" t="s">
        <v>2618</v>
      </c>
      <c r="C534" s="193" t="s">
        <v>2620</v>
      </c>
      <c r="D534" s="193">
        <v>17.5</v>
      </c>
      <c r="E534" s="193" t="s">
        <v>1318</v>
      </c>
      <c r="F534" s="193"/>
      <c r="G534" s="193" t="s">
        <v>13</v>
      </c>
      <c r="H534" s="120" t="s">
        <v>688</v>
      </c>
      <c r="I534" s="199">
        <v>235416133040</v>
      </c>
      <c r="J534" s="193" t="s">
        <v>2017</v>
      </c>
      <c r="K534" s="193"/>
    </row>
    <row r="535" spans="1:11" x14ac:dyDescent="0.3">
      <c r="A535" s="193">
        <f t="shared" si="8"/>
        <v>535</v>
      </c>
      <c r="B535" s="193" t="s">
        <v>2618</v>
      </c>
      <c r="C535" s="193" t="s">
        <v>2621</v>
      </c>
      <c r="D535" s="193">
        <v>22</v>
      </c>
      <c r="E535" s="193" t="s">
        <v>1318</v>
      </c>
      <c r="F535" s="193"/>
      <c r="G535" s="193" t="s">
        <v>13</v>
      </c>
      <c r="H535" s="120" t="s">
        <v>688</v>
      </c>
      <c r="I535" s="199">
        <v>235416133060</v>
      </c>
      <c r="J535" s="193" t="s">
        <v>2017</v>
      </c>
      <c r="K535" s="193"/>
    </row>
    <row r="536" spans="1:11" x14ac:dyDescent="0.3">
      <c r="A536" s="193">
        <f t="shared" si="8"/>
        <v>536</v>
      </c>
      <c r="B536" s="193" t="s">
        <v>2618</v>
      </c>
      <c r="C536" s="193" t="s">
        <v>2622</v>
      </c>
      <c r="D536" s="193">
        <v>29</v>
      </c>
      <c r="E536" s="193" t="s">
        <v>1318</v>
      </c>
      <c r="F536" s="193"/>
      <c r="G536" s="193" t="s">
        <v>13</v>
      </c>
      <c r="H536" s="120" t="s">
        <v>688</v>
      </c>
      <c r="I536" s="199">
        <v>235416133100</v>
      </c>
      <c r="J536" s="193" t="s">
        <v>2017</v>
      </c>
      <c r="K536" s="193"/>
    </row>
    <row r="537" spans="1:11" x14ac:dyDescent="0.3">
      <c r="A537" s="193">
        <f t="shared" si="8"/>
        <v>537</v>
      </c>
      <c r="B537" s="193" t="s">
        <v>2618</v>
      </c>
      <c r="C537" s="193" t="s">
        <v>2623</v>
      </c>
      <c r="D537" s="193">
        <v>37</v>
      </c>
      <c r="E537" s="193" t="s">
        <v>1318</v>
      </c>
      <c r="F537" s="193"/>
      <c r="G537" s="193" t="s">
        <v>13</v>
      </c>
      <c r="H537" s="120" t="s">
        <v>688</v>
      </c>
      <c r="I537" s="199">
        <v>235416133120</v>
      </c>
      <c r="J537" s="193" t="s">
        <v>2017</v>
      </c>
      <c r="K537" s="193"/>
    </row>
    <row r="538" spans="1:11" x14ac:dyDescent="0.3">
      <c r="A538" s="193">
        <f t="shared" si="8"/>
        <v>538</v>
      </c>
      <c r="B538" s="193" t="s">
        <v>2618</v>
      </c>
      <c r="C538" s="193" t="s">
        <v>2624</v>
      </c>
      <c r="D538" s="193">
        <v>44</v>
      </c>
      <c r="E538" s="193" t="s">
        <v>1318</v>
      </c>
      <c r="F538" s="193"/>
      <c r="G538" s="193" t="s">
        <v>13</v>
      </c>
      <c r="H538" s="120" t="s">
        <v>688</v>
      </c>
      <c r="I538" s="199">
        <v>235416133130</v>
      </c>
      <c r="J538" s="193" t="s">
        <v>2017</v>
      </c>
      <c r="K538" s="193"/>
    </row>
    <row r="539" spans="1:11" x14ac:dyDescent="0.3">
      <c r="A539" s="193">
        <f t="shared" si="8"/>
        <v>539</v>
      </c>
      <c r="B539" s="193" t="s">
        <v>2618</v>
      </c>
      <c r="C539" s="193" t="s">
        <v>2625</v>
      </c>
      <c r="D539" s="193">
        <v>59</v>
      </c>
      <c r="E539" s="193" t="s">
        <v>1318</v>
      </c>
      <c r="F539" s="193"/>
      <c r="G539" s="193" t="s">
        <v>13</v>
      </c>
      <c r="H539" s="120" t="s">
        <v>688</v>
      </c>
      <c r="I539" s="199">
        <v>235416133140</v>
      </c>
      <c r="J539" s="193" t="s">
        <v>2017</v>
      </c>
      <c r="K539" s="193"/>
    </row>
    <row r="540" spans="1:11" x14ac:dyDescent="0.3">
      <c r="A540" s="193">
        <f t="shared" si="8"/>
        <v>540</v>
      </c>
      <c r="B540" s="193" t="s">
        <v>2618</v>
      </c>
      <c r="C540" s="193" t="s">
        <v>2626</v>
      </c>
      <c r="D540" s="193">
        <v>88</v>
      </c>
      <c r="E540" s="193" t="s">
        <v>1318</v>
      </c>
      <c r="F540" s="193"/>
      <c r="G540" s="193" t="s">
        <v>13</v>
      </c>
      <c r="H540" s="120" t="s">
        <v>688</v>
      </c>
      <c r="I540" s="199">
        <v>235416133160</v>
      </c>
      <c r="J540" s="193" t="s">
        <v>2017</v>
      </c>
      <c r="K540" s="193"/>
    </row>
    <row r="541" spans="1:11" x14ac:dyDescent="0.3">
      <c r="A541" s="193">
        <f t="shared" si="8"/>
        <v>541</v>
      </c>
      <c r="B541" s="193" t="s">
        <v>2618</v>
      </c>
      <c r="C541" s="193" t="s">
        <v>2627</v>
      </c>
      <c r="D541" s="193">
        <v>117</v>
      </c>
      <c r="E541" s="193" t="s">
        <v>1318</v>
      </c>
      <c r="F541" s="193"/>
      <c r="G541" s="193" t="s">
        <v>13</v>
      </c>
      <c r="H541" s="120" t="s">
        <v>688</v>
      </c>
      <c r="I541" s="199">
        <v>235416133180</v>
      </c>
      <c r="J541" s="193" t="s">
        <v>2017</v>
      </c>
      <c r="K541" s="193"/>
    </row>
    <row r="542" spans="1:11" x14ac:dyDescent="0.3">
      <c r="A542" s="193">
        <f t="shared" si="8"/>
        <v>542</v>
      </c>
      <c r="B542" s="193" t="s">
        <v>2628</v>
      </c>
      <c r="C542" s="193" t="s">
        <v>2629</v>
      </c>
      <c r="D542" s="193">
        <v>16.5</v>
      </c>
      <c r="E542" s="193" t="s">
        <v>2568</v>
      </c>
      <c r="F542" s="193"/>
      <c r="G542" s="193" t="s">
        <v>13</v>
      </c>
      <c r="H542" s="120" t="s">
        <v>688</v>
      </c>
      <c r="I542" s="199">
        <v>235416166020</v>
      </c>
      <c r="J542" s="193" t="s">
        <v>2017</v>
      </c>
      <c r="K542" s="193"/>
    </row>
    <row r="543" spans="1:11" x14ac:dyDescent="0.3">
      <c r="A543" s="193">
        <f t="shared" si="8"/>
        <v>543</v>
      </c>
      <c r="B543" s="193" t="s">
        <v>2628</v>
      </c>
      <c r="C543" s="193" t="s">
        <v>2630</v>
      </c>
      <c r="D543" s="193">
        <v>25</v>
      </c>
      <c r="E543" s="193" t="s">
        <v>2568</v>
      </c>
      <c r="F543" s="193"/>
      <c r="G543" s="193" t="s">
        <v>13</v>
      </c>
      <c r="H543" s="120" t="s">
        <v>688</v>
      </c>
      <c r="I543" s="199">
        <v>235416166030</v>
      </c>
      <c r="J543" s="193" t="s">
        <v>2017</v>
      </c>
      <c r="K543" s="193"/>
    </row>
    <row r="544" spans="1:11" x14ac:dyDescent="0.3">
      <c r="A544" s="193">
        <f t="shared" si="8"/>
        <v>544</v>
      </c>
      <c r="B544" s="193" t="s">
        <v>2628</v>
      </c>
      <c r="C544" s="193" t="s">
        <v>2631</v>
      </c>
      <c r="D544" s="193">
        <v>28</v>
      </c>
      <c r="E544" s="193" t="s">
        <v>2568</v>
      </c>
      <c r="F544" s="193"/>
      <c r="G544" s="193" t="s">
        <v>13</v>
      </c>
      <c r="H544" s="120" t="s">
        <v>688</v>
      </c>
      <c r="I544" s="199">
        <v>235416166040</v>
      </c>
      <c r="J544" s="193" t="s">
        <v>2017</v>
      </c>
      <c r="K544" s="193"/>
    </row>
    <row r="545" spans="1:11" x14ac:dyDescent="0.3">
      <c r="A545" s="193">
        <f t="shared" si="8"/>
        <v>545</v>
      </c>
      <c r="B545" s="193" t="s">
        <v>2628</v>
      </c>
      <c r="C545" s="193" t="s">
        <v>2632</v>
      </c>
      <c r="D545" s="193">
        <v>39</v>
      </c>
      <c r="E545" s="193" t="s">
        <v>2568</v>
      </c>
      <c r="F545" s="193"/>
      <c r="G545" s="193" t="s">
        <v>13</v>
      </c>
      <c r="H545" s="120" t="s">
        <v>688</v>
      </c>
      <c r="I545" s="199">
        <v>235416166060</v>
      </c>
      <c r="J545" s="193" t="s">
        <v>2017</v>
      </c>
      <c r="K545" s="193"/>
    </row>
    <row r="546" spans="1:11" x14ac:dyDescent="0.3">
      <c r="A546" s="193">
        <f t="shared" si="8"/>
        <v>546</v>
      </c>
      <c r="B546" s="193" t="s">
        <v>2628</v>
      </c>
      <c r="C546" s="193" t="s">
        <v>2633</v>
      </c>
      <c r="D546" s="193">
        <v>44</v>
      </c>
      <c r="E546" s="193" t="s">
        <v>2568</v>
      </c>
      <c r="F546" s="193"/>
      <c r="G546" s="193" t="s">
        <v>13</v>
      </c>
      <c r="H546" s="120" t="s">
        <v>688</v>
      </c>
      <c r="I546" s="199">
        <v>235416166080</v>
      </c>
      <c r="J546" s="193" t="s">
        <v>2017</v>
      </c>
      <c r="K546" s="193"/>
    </row>
    <row r="547" spans="1:11" x14ac:dyDescent="0.3">
      <c r="A547" s="193">
        <f t="shared" si="8"/>
        <v>547</v>
      </c>
      <c r="B547" s="193" t="s">
        <v>2628</v>
      </c>
      <c r="C547" s="193" t="s">
        <v>2634</v>
      </c>
      <c r="D547" s="193">
        <v>59</v>
      </c>
      <c r="E547" s="193" t="s">
        <v>2568</v>
      </c>
      <c r="F547" s="193"/>
      <c r="G547" s="193" t="s">
        <v>13</v>
      </c>
      <c r="H547" s="120" t="s">
        <v>688</v>
      </c>
      <c r="I547" s="199">
        <v>235416166100</v>
      </c>
      <c r="J547" s="193" t="s">
        <v>2017</v>
      </c>
      <c r="K547" s="193"/>
    </row>
    <row r="548" spans="1:11" x14ac:dyDescent="0.3">
      <c r="A548" s="193">
        <f t="shared" si="8"/>
        <v>548</v>
      </c>
      <c r="B548" s="193" t="s">
        <v>2628</v>
      </c>
      <c r="C548" s="193" t="s">
        <v>2635</v>
      </c>
      <c r="D548" s="193">
        <v>88</v>
      </c>
      <c r="E548" s="193" t="s">
        <v>2568</v>
      </c>
      <c r="F548" s="193"/>
      <c r="G548" s="193" t="s">
        <v>13</v>
      </c>
      <c r="H548" s="120" t="s">
        <v>688</v>
      </c>
      <c r="I548" s="199">
        <v>235416166120</v>
      </c>
      <c r="J548" s="193" t="s">
        <v>2017</v>
      </c>
      <c r="K548" s="193"/>
    </row>
    <row r="549" spans="1:11" x14ac:dyDescent="0.3">
      <c r="A549" s="193">
        <f t="shared" si="8"/>
        <v>549</v>
      </c>
      <c r="B549" s="193" t="s">
        <v>2628</v>
      </c>
      <c r="C549" s="193" t="s">
        <v>2636</v>
      </c>
      <c r="D549" s="193">
        <v>117</v>
      </c>
      <c r="E549" s="193" t="s">
        <v>2568</v>
      </c>
      <c r="F549" s="193"/>
      <c r="G549" s="193" t="s">
        <v>13</v>
      </c>
      <c r="H549" s="120" t="s">
        <v>688</v>
      </c>
      <c r="I549" s="199">
        <v>235416166140</v>
      </c>
      <c r="J549" s="193" t="s">
        <v>2017</v>
      </c>
      <c r="K549" s="193"/>
    </row>
    <row r="550" spans="1:11" x14ac:dyDescent="0.3">
      <c r="A550" s="193">
        <f t="shared" si="8"/>
        <v>550</v>
      </c>
      <c r="B550" s="193" t="s">
        <v>2637</v>
      </c>
      <c r="C550" s="193" t="s">
        <v>2638</v>
      </c>
      <c r="D550" s="193">
        <v>29</v>
      </c>
      <c r="E550" s="193" t="s">
        <v>1318</v>
      </c>
      <c r="F550" s="193"/>
      <c r="G550" s="193" t="s">
        <v>13</v>
      </c>
      <c r="H550" s="120" t="s">
        <v>688</v>
      </c>
      <c r="I550" s="199">
        <v>235513160080</v>
      </c>
      <c r="J550" s="193" t="s">
        <v>2017</v>
      </c>
      <c r="K550" s="193"/>
    </row>
    <row r="551" spans="1:11" x14ac:dyDescent="0.3">
      <c r="A551" s="193">
        <f t="shared" si="8"/>
        <v>551</v>
      </c>
      <c r="B551" s="193" t="s">
        <v>2637</v>
      </c>
      <c r="C551" s="193" t="s">
        <v>2639</v>
      </c>
      <c r="D551" s="193">
        <v>35</v>
      </c>
      <c r="E551" s="193" t="s">
        <v>1318</v>
      </c>
      <c r="F551" s="193"/>
      <c r="G551" s="193" t="s">
        <v>13</v>
      </c>
      <c r="H551" s="120" t="s">
        <v>688</v>
      </c>
      <c r="I551" s="199">
        <v>235513160100</v>
      </c>
      <c r="J551" s="193" t="s">
        <v>2017</v>
      </c>
      <c r="K551" s="193"/>
    </row>
    <row r="552" spans="1:11" x14ac:dyDescent="0.3">
      <c r="A552" s="193">
        <f t="shared" si="8"/>
        <v>552</v>
      </c>
      <c r="B552" s="193" t="s">
        <v>2637</v>
      </c>
      <c r="C552" s="193" t="s">
        <v>2640</v>
      </c>
      <c r="D552" s="193">
        <v>59</v>
      </c>
      <c r="E552" s="193" t="s">
        <v>1318</v>
      </c>
      <c r="F552" s="193"/>
      <c r="G552" s="193" t="s">
        <v>13</v>
      </c>
      <c r="H552" s="120" t="s">
        <v>688</v>
      </c>
      <c r="I552" s="199">
        <v>235513160130</v>
      </c>
      <c r="J552" s="193" t="s">
        <v>2017</v>
      </c>
      <c r="K552" s="193"/>
    </row>
    <row r="553" spans="1:11" x14ac:dyDescent="0.3">
      <c r="A553" s="193">
        <f t="shared" si="8"/>
        <v>553</v>
      </c>
      <c r="B553" s="193" t="s">
        <v>2637</v>
      </c>
      <c r="C553" s="193" t="s">
        <v>2641</v>
      </c>
      <c r="D553" s="193">
        <v>70</v>
      </c>
      <c r="E553" s="193" t="s">
        <v>1318</v>
      </c>
      <c r="F553" s="193"/>
      <c r="G553" s="193" t="s">
        <v>13</v>
      </c>
      <c r="H553" s="120" t="s">
        <v>688</v>
      </c>
      <c r="I553" s="199">
        <v>235513160140</v>
      </c>
      <c r="J553" s="193" t="s">
        <v>2017</v>
      </c>
      <c r="K553" s="193"/>
    </row>
    <row r="554" spans="1:11" x14ac:dyDescent="0.3">
      <c r="A554" s="193">
        <f t="shared" si="8"/>
        <v>554</v>
      </c>
      <c r="B554" s="193" t="s">
        <v>2637</v>
      </c>
      <c r="C554" s="193" t="s">
        <v>2642</v>
      </c>
      <c r="D554" s="193">
        <v>82</v>
      </c>
      <c r="E554" s="193" t="s">
        <v>1318</v>
      </c>
      <c r="F554" s="193"/>
      <c r="G554" s="193" t="s">
        <v>13</v>
      </c>
      <c r="H554" s="120" t="s">
        <v>688</v>
      </c>
      <c r="I554" s="199">
        <v>235513160160</v>
      </c>
      <c r="J554" s="193" t="s">
        <v>2017</v>
      </c>
      <c r="K554" s="193"/>
    </row>
    <row r="555" spans="1:11" x14ac:dyDescent="0.3">
      <c r="A555" s="193">
        <f t="shared" si="8"/>
        <v>555</v>
      </c>
      <c r="B555" s="193" t="s">
        <v>2637</v>
      </c>
      <c r="C555" s="193" t="s">
        <v>2643</v>
      </c>
      <c r="D555" s="193">
        <v>94</v>
      </c>
      <c r="E555" s="193" t="s">
        <v>1318</v>
      </c>
      <c r="F555" s="193"/>
      <c r="G555" s="193" t="s">
        <v>13</v>
      </c>
      <c r="H555" s="120" t="s">
        <v>688</v>
      </c>
      <c r="I555" s="199">
        <v>235513160180</v>
      </c>
      <c r="J555" s="193" t="s">
        <v>2017</v>
      </c>
      <c r="K555" s="193"/>
    </row>
    <row r="556" spans="1:11" x14ac:dyDescent="0.3">
      <c r="A556" s="193">
        <f t="shared" si="8"/>
        <v>556</v>
      </c>
      <c r="B556" s="193" t="s">
        <v>2644</v>
      </c>
      <c r="C556" s="193" t="s">
        <v>2645</v>
      </c>
      <c r="D556" s="193">
        <v>22</v>
      </c>
      <c r="E556" s="193" t="s">
        <v>1318</v>
      </c>
      <c r="F556" s="193"/>
      <c r="G556" s="193" t="s">
        <v>13</v>
      </c>
      <c r="H556" s="120" t="s">
        <v>688</v>
      </c>
      <c r="I556" s="199">
        <v>235513161020</v>
      </c>
      <c r="J556" s="193" t="s">
        <v>2017</v>
      </c>
      <c r="K556" s="193"/>
    </row>
    <row r="557" spans="1:11" x14ac:dyDescent="0.3">
      <c r="A557" s="193">
        <f t="shared" si="8"/>
        <v>557</v>
      </c>
      <c r="B557" s="193" t="s">
        <v>2644</v>
      </c>
      <c r="C557" s="193" t="s">
        <v>2646</v>
      </c>
      <c r="D557" s="193">
        <v>27.5</v>
      </c>
      <c r="E557" s="193" t="s">
        <v>1318</v>
      </c>
      <c r="F557" s="193"/>
      <c r="G557" s="193" t="s">
        <v>13</v>
      </c>
      <c r="H557" s="120" t="s">
        <v>688</v>
      </c>
      <c r="I557" s="199">
        <v>235513161040</v>
      </c>
      <c r="J557" s="193" t="s">
        <v>2017</v>
      </c>
      <c r="K557" s="193"/>
    </row>
    <row r="558" spans="1:11" x14ac:dyDescent="0.3">
      <c r="A558" s="193">
        <f t="shared" si="8"/>
        <v>558</v>
      </c>
      <c r="B558" s="193" t="s">
        <v>2644</v>
      </c>
      <c r="C558" s="193" t="s">
        <v>2647</v>
      </c>
      <c r="D558" s="193">
        <v>35</v>
      </c>
      <c r="E558" s="193" t="s">
        <v>1318</v>
      </c>
      <c r="F558" s="193"/>
      <c r="G558" s="193" t="s">
        <v>13</v>
      </c>
      <c r="H558" s="120" t="s">
        <v>688</v>
      </c>
      <c r="I558" s="199">
        <v>235513161060</v>
      </c>
      <c r="J558" s="193" t="s">
        <v>2017</v>
      </c>
      <c r="K558" s="193"/>
    </row>
    <row r="559" spans="1:11" x14ac:dyDescent="0.3">
      <c r="A559" s="193">
        <f t="shared" si="8"/>
        <v>559</v>
      </c>
      <c r="B559" s="193" t="s">
        <v>2644</v>
      </c>
      <c r="C559" s="193" t="s">
        <v>2648</v>
      </c>
      <c r="D559" s="193">
        <v>46</v>
      </c>
      <c r="E559" s="193" t="s">
        <v>1318</v>
      </c>
      <c r="F559" s="193"/>
      <c r="G559" s="193" t="s">
        <v>13</v>
      </c>
      <c r="H559" s="120" t="s">
        <v>688</v>
      </c>
      <c r="I559" s="199">
        <v>235513161080</v>
      </c>
      <c r="J559" s="193" t="s">
        <v>2017</v>
      </c>
      <c r="K559" s="193"/>
    </row>
    <row r="560" spans="1:11" x14ac:dyDescent="0.3">
      <c r="A560" s="193">
        <f t="shared" si="8"/>
        <v>560</v>
      </c>
      <c r="B560" s="193" t="s">
        <v>2644</v>
      </c>
      <c r="C560" s="193" t="s">
        <v>2649</v>
      </c>
      <c r="D560" s="193">
        <v>55</v>
      </c>
      <c r="E560" s="193" t="s">
        <v>1318</v>
      </c>
      <c r="F560" s="193"/>
      <c r="G560" s="193" t="s">
        <v>13</v>
      </c>
      <c r="H560" s="120" t="s">
        <v>688</v>
      </c>
      <c r="I560" s="199">
        <v>235513161100</v>
      </c>
      <c r="J560" s="193" t="s">
        <v>2017</v>
      </c>
      <c r="K560" s="193"/>
    </row>
    <row r="561" spans="1:11" x14ac:dyDescent="0.3">
      <c r="A561" s="193">
        <f t="shared" si="8"/>
        <v>561</v>
      </c>
      <c r="B561" s="193" t="s">
        <v>2644</v>
      </c>
      <c r="C561" s="193" t="s">
        <v>2650</v>
      </c>
      <c r="D561" s="193">
        <v>66</v>
      </c>
      <c r="E561" s="193" t="s">
        <v>1318</v>
      </c>
      <c r="F561" s="193"/>
      <c r="G561" s="193" t="s">
        <v>13</v>
      </c>
      <c r="H561" s="120" t="s">
        <v>688</v>
      </c>
      <c r="I561" s="199">
        <v>235513161120</v>
      </c>
      <c r="J561" s="193" t="s">
        <v>2017</v>
      </c>
      <c r="K561" s="193"/>
    </row>
    <row r="562" spans="1:11" x14ac:dyDescent="0.3">
      <c r="A562" s="193">
        <f t="shared" si="8"/>
        <v>562</v>
      </c>
      <c r="B562" s="193" t="s">
        <v>2644</v>
      </c>
      <c r="C562" s="193" t="s">
        <v>2651</v>
      </c>
      <c r="D562" s="193">
        <v>88</v>
      </c>
      <c r="E562" s="193" t="s">
        <v>1318</v>
      </c>
      <c r="F562" s="193"/>
      <c r="G562" s="193" t="s">
        <v>13</v>
      </c>
      <c r="H562" s="120" t="s">
        <v>688</v>
      </c>
      <c r="I562" s="199">
        <v>235513161140</v>
      </c>
      <c r="J562" s="193" t="s">
        <v>2017</v>
      </c>
      <c r="K562" s="193"/>
    </row>
    <row r="563" spans="1:11" x14ac:dyDescent="0.3">
      <c r="A563" s="193">
        <f t="shared" si="8"/>
        <v>563</v>
      </c>
      <c r="B563" s="193" t="s">
        <v>2644</v>
      </c>
      <c r="C563" s="193" t="s">
        <v>2652</v>
      </c>
      <c r="D563" s="193">
        <v>110</v>
      </c>
      <c r="E563" s="193" t="s">
        <v>1318</v>
      </c>
      <c r="F563" s="193"/>
      <c r="G563" s="193" t="s">
        <v>13</v>
      </c>
      <c r="H563" s="120" t="s">
        <v>688</v>
      </c>
      <c r="I563" s="199">
        <v>235513161160</v>
      </c>
      <c r="J563" s="193" t="s">
        <v>2017</v>
      </c>
      <c r="K563" s="193"/>
    </row>
    <row r="564" spans="1:11" x14ac:dyDescent="0.3">
      <c r="A564" s="193">
        <f t="shared" si="8"/>
        <v>564</v>
      </c>
      <c r="B564" s="193" t="s">
        <v>2644</v>
      </c>
      <c r="C564" s="193" t="s">
        <v>2653</v>
      </c>
      <c r="D564" s="193">
        <v>132</v>
      </c>
      <c r="E564" s="193" t="s">
        <v>1318</v>
      </c>
      <c r="F564" s="193"/>
      <c r="G564" s="193" t="s">
        <v>13</v>
      </c>
      <c r="H564" s="120" t="s">
        <v>688</v>
      </c>
      <c r="I564" s="199">
        <v>235513161180</v>
      </c>
      <c r="J564" s="193" t="s">
        <v>2017</v>
      </c>
      <c r="K564" s="193"/>
    </row>
    <row r="565" spans="1:11" x14ac:dyDescent="0.3">
      <c r="A565" s="193">
        <f t="shared" si="8"/>
        <v>565</v>
      </c>
      <c r="B565" s="193" t="s">
        <v>2644</v>
      </c>
      <c r="C565" s="193" t="s">
        <v>2654</v>
      </c>
      <c r="D565" s="193">
        <v>176</v>
      </c>
      <c r="E565" s="193" t="s">
        <v>1318</v>
      </c>
      <c r="F565" s="193"/>
      <c r="G565" s="193" t="s">
        <v>13</v>
      </c>
      <c r="H565" s="120" t="s">
        <v>688</v>
      </c>
      <c r="I565" s="199">
        <v>235513161200</v>
      </c>
      <c r="J565" s="193" t="s">
        <v>2017</v>
      </c>
      <c r="K565" s="193"/>
    </row>
    <row r="566" spans="1:11" x14ac:dyDescent="0.3">
      <c r="A566" s="193">
        <f t="shared" si="8"/>
        <v>566</v>
      </c>
      <c r="B566" s="193" t="s">
        <v>2655</v>
      </c>
      <c r="C566" s="193" t="s">
        <v>2656</v>
      </c>
      <c r="D566" s="193">
        <v>6</v>
      </c>
      <c r="E566" s="193" t="s">
        <v>1318</v>
      </c>
      <c r="F566" s="193"/>
      <c r="G566" s="193" t="s">
        <v>13</v>
      </c>
      <c r="H566" s="120" t="s">
        <v>688</v>
      </c>
      <c r="I566" s="199">
        <v>235533162000</v>
      </c>
      <c r="J566" s="193" t="s">
        <v>2017</v>
      </c>
      <c r="K566" s="193"/>
    </row>
    <row r="567" spans="1:11" x14ac:dyDescent="0.3">
      <c r="A567" s="193">
        <f t="shared" si="8"/>
        <v>567</v>
      </c>
      <c r="B567" s="193" t="s">
        <v>2655</v>
      </c>
      <c r="C567" s="193" t="s">
        <v>2657</v>
      </c>
      <c r="D567" s="193">
        <v>12</v>
      </c>
      <c r="E567" s="193" t="s">
        <v>1318</v>
      </c>
      <c r="F567" s="193"/>
      <c r="G567" s="193" t="s">
        <v>13</v>
      </c>
      <c r="H567" s="120" t="s">
        <v>688</v>
      </c>
      <c r="I567" s="199">
        <v>235533162020</v>
      </c>
      <c r="J567" s="193" t="s">
        <v>2017</v>
      </c>
      <c r="K567" s="193"/>
    </row>
    <row r="568" spans="1:11" x14ac:dyDescent="0.3">
      <c r="A568" s="193">
        <f t="shared" si="8"/>
        <v>568</v>
      </c>
      <c r="B568" s="193" t="s">
        <v>2655</v>
      </c>
      <c r="C568" s="193" t="s">
        <v>2658</v>
      </c>
      <c r="D568" s="193">
        <v>17.5</v>
      </c>
      <c r="E568" s="193" t="s">
        <v>1318</v>
      </c>
      <c r="F568" s="193"/>
      <c r="G568" s="193" t="s">
        <v>13</v>
      </c>
      <c r="H568" s="120" t="s">
        <v>688</v>
      </c>
      <c r="I568" s="199">
        <v>235533162040</v>
      </c>
      <c r="J568" s="193" t="s">
        <v>2017</v>
      </c>
      <c r="K568" s="193"/>
    </row>
    <row r="569" spans="1:11" x14ac:dyDescent="0.3">
      <c r="A569" s="193">
        <f t="shared" si="8"/>
        <v>569</v>
      </c>
      <c r="B569" s="193" t="s">
        <v>2655</v>
      </c>
      <c r="C569" s="193" t="s">
        <v>2659</v>
      </c>
      <c r="D569" s="193">
        <v>24</v>
      </c>
      <c r="E569" s="193" t="s">
        <v>1318</v>
      </c>
      <c r="F569" s="193"/>
      <c r="G569" s="193" t="s">
        <v>13</v>
      </c>
      <c r="H569" s="120" t="s">
        <v>688</v>
      </c>
      <c r="I569" s="199">
        <v>235533162060</v>
      </c>
      <c r="J569" s="193" t="s">
        <v>2017</v>
      </c>
      <c r="K569" s="193"/>
    </row>
    <row r="570" spans="1:11" x14ac:dyDescent="0.3">
      <c r="A570" s="193">
        <f t="shared" si="8"/>
        <v>570</v>
      </c>
      <c r="B570" s="193" t="s">
        <v>2655</v>
      </c>
      <c r="C570" s="193" t="s">
        <v>2660</v>
      </c>
      <c r="D570" s="193">
        <v>29</v>
      </c>
      <c r="E570" s="193" t="s">
        <v>1318</v>
      </c>
      <c r="F570" s="193"/>
      <c r="G570" s="193" t="s">
        <v>13</v>
      </c>
      <c r="H570" s="120" t="s">
        <v>688</v>
      </c>
      <c r="I570" s="199">
        <v>235533162080</v>
      </c>
      <c r="J570" s="193" t="s">
        <v>2017</v>
      </c>
      <c r="K570" s="193"/>
    </row>
    <row r="571" spans="1:11" x14ac:dyDescent="0.3">
      <c r="A571" s="193">
        <f t="shared" si="8"/>
        <v>571</v>
      </c>
      <c r="B571" s="193" t="s">
        <v>2655</v>
      </c>
      <c r="C571" s="193" t="s">
        <v>2661</v>
      </c>
      <c r="D571" s="193">
        <v>38</v>
      </c>
      <c r="E571" s="193" t="s">
        <v>1318</v>
      </c>
      <c r="F571" s="193"/>
      <c r="G571" s="193" t="s">
        <v>13</v>
      </c>
      <c r="H571" s="120" t="s">
        <v>688</v>
      </c>
      <c r="I571" s="199">
        <v>235533162100</v>
      </c>
      <c r="J571" s="193" t="s">
        <v>2017</v>
      </c>
      <c r="K571" s="193"/>
    </row>
    <row r="572" spans="1:11" x14ac:dyDescent="0.3">
      <c r="A572" s="193">
        <f t="shared" si="8"/>
        <v>572</v>
      </c>
      <c r="B572" s="193" t="s">
        <v>2655</v>
      </c>
      <c r="C572" s="193" t="s">
        <v>2662</v>
      </c>
      <c r="D572" s="193">
        <v>41</v>
      </c>
      <c r="E572" s="193" t="s">
        <v>1318</v>
      </c>
      <c r="F572" s="193"/>
      <c r="G572" s="193" t="s">
        <v>13</v>
      </c>
      <c r="H572" s="120" t="s">
        <v>688</v>
      </c>
      <c r="I572" s="199">
        <v>235533162120</v>
      </c>
      <c r="J572" s="193" t="s">
        <v>2017</v>
      </c>
      <c r="K572" s="193"/>
    </row>
    <row r="573" spans="1:11" x14ac:dyDescent="0.3">
      <c r="A573" s="193">
        <f t="shared" si="8"/>
        <v>573</v>
      </c>
      <c r="B573" s="193" t="s">
        <v>2655</v>
      </c>
      <c r="C573" s="193" t="s">
        <v>2663</v>
      </c>
      <c r="D573" s="193">
        <v>47</v>
      </c>
      <c r="E573" s="193" t="s">
        <v>1318</v>
      </c>
      <c r="F573" s="193"/>
      <c r="G573" s="193" t="s">
        <v>13</v>
      </c>
      <c r="H573" s="120" t="s">
        <v>688</v>
      </c>
      <c r="I573" s="199">
        <v>235533162140</v>
      </c>
      <c r="J573" s="193" t="s">
        <v>2017</v>
      </c>
      <c r="K573" s="193"/>
    </row>
    <row r="574" spans="1:11" x14ac:dyDescent="0.3">
      <c r="A574" s="193">
        <f t="shared" si="8"/>
        <v>574</v>
      </c>
      <c r="B574" s="193" t="s">
        <v>2655</v>
      </c>
      <c r="C574" s="193" t="s">
        <v>2664</v>
      </c>
      <c r="D574" s="193">
        <v>53</v>
      </c>
      <c r="E574" s="193" t="s">
        <v>1318</v>
      </c>
      <c r="F574" s="193"/>
      <c r="G574" s="193" t="s">
        <v>13</v>
      </c>
      <c r="H574" s="120" t="s">
        <v>688</v>
      </c>
      <c r="I574" s="199">
        <v>235533162160</v>
      </c>
      <c r="J574" s="193" t="s">
        <v>2017</v>
      </c>
      <c r="K574" s="193"/>
    </row>
    <row r="575" spans="1:11" x14ac:dyDescent="0.3">
      <c r="A575" s="193">
        <f t="shared" si="8"/>
        <v>575</v>
      </c>
      <c r="B575" s="193" t="s">
        <v>2655</v>
      </c>
      <c r="C575" s="193" t="s">
        <v>2665</v>
      </c>
      <c r="D575" s="193">
        <v>59</v>
      </c>
      <c r="E575" s="193" t="s">
        <v>1318</v>
      </c>
      <c r="F575" s="193"/>
      <c r="G575" s="193" t="s">
        <v>13</v>
      </c>
      <c r="H575" s="120" t="s">
        <v>688</v>
      </c>
      <c r="I575" s="199">
        <v>235533162180</v>
      </c>
      <c r="J575" s="193" t="s">
        <v>2017</v>
      </c>
      <c r="K575" s="193"/>
    </row>
    <row r="576" spans="1:11" x14ac:dyDescent="0.3">
      <c r="A576" s="193">
        <f t="shared" si="8"/>
        <v>576</v>
      </c>
      <c r="B576" s="193" t="s">
        <v>2655</v>
      </c>
      <c r="C576" s="193" t="s">
        <v>2666</v>
      </c>
      <c r="D576" s="193">
        <v>70</v>
      </c>
      <c r="E576" s="193" t="s">
        <v>1318</v>
      </c>
      <c r="F576" s="193"/>
      <c r="G576" s="193" t="s">
        <v>13</v>
      </c>
      <c r="H576" s="120" t="s">
        <v>688</v>
      </c>
      <c r="I576" s="199">
        <v>235533162200</v>
      </c>
      <c r="J576" s="193" t="s">
        <v>2017</v>
      </c>
      <c r="K576" s="193"/>
    </row>
    <row r="577" spans="1:11" x14ac:dyDescent="0.3">
      <c r="A577" s="193">
        <f t="shared" ref="A577:A640" si="9">A576+1</f>
        <v>577</v>
      </c>
      <c r="B577" s="193" t="s">
        <v>2655</v>
      </c>
      <c r="C577" s="193" t="s">
        <v>2667</v>
      </c>
      <c r="D577" s="193">
        <v>82</v>
      </c>
      <c r="E577" s="193" t="s">
        <v>1318</v>
      </c>
      <c r="F577" s="193"/>
      <c r="G577" s="193" t="s">
        <v>13</v>
      </c>
      <c r="H577" s="120" t="s">
        <v>688</v>
      </c>
      <c r="I577" s="199">
        <v>235533162220</v>
      </c>
      <c r="J577" s="193" t="s">
        <v>2017</v>
      </c>
      <c r="K577" s="193"/>
    </row>
    <row r="578" spans="1:11" x14ac:dyDescent="0.3">
      <c r="A578" s="193">
        <f t="shared" si="9"/>
        <v>578</v>
      </c>
      <c r="B578" s="193" t="s">
        <v>2655</v>
      </c>
      <c r="C578" s="193" t="s">
        <v>2668</v>
      </c>
      <c r="D578" s="193">
        <v>94</v>
      </c>
      <c r="E578" s="193" t="s">
        <v>1318</v>
      </c>
      <c r="F578" s="193"/>
      <c r="G578" s="193" t="s">
        <v>13</v>
      </c>
      <c r="H578" s="120" t="s">
        <v>688</v>
      </c>
      <c r="I578" s="199">
        <v>235533162240</v>
      </c>
      <c r="J578" s="193" t="s">
        <v>2017</v>
      </c>
      <c r="K578" s="193"/>
    </row>
    <row r="579" spans="1:11" x14ac:dyDescent="0.3">
      <c r="A579" s="193">
        <f t="shared" si="9"/>
        <v>579</v>
      </c>
      <c r="B579" s="193" t="s">
        <v>2669</v>
      </c>
      <c r="C579" s="193" t="s">
        <v>2670</v>
      </c>
      <c r="D579" s="193">
        <f>1.5*3.517</f>
        <v>5.2755000000000001</v>
      </c>
      <c r="E579" s="193"/>
      <c r="F579" s="193"/>
      <c r="G579" s="193" t="s">
        <v>13</v>
      </c>
      <c r="H579" s="120" t="s">
        <v>688</v>
      </c>
      <c r="I579" s="199">
        <v>236213100050</v>
      </c>
      <c r="J579" s="193" t="s">
        <v>2017</v>
      </c>
      <c r="K579" s="193"/>
    </row>
    <row r="580" spans="1:11" x14ac:dyDescent="0.3">
      <c r="A580" s="193">
        <f t="shared" si="9"/>
        <v>580</v>
      </c>
      <c r="B580" s="193" t="s">
        <v>2669</v>
      </c>
      <c r="C580" s="193" t="s">
        <v>2671</v>
      </c>
      <c r="D580" s="193">
        <f>2*3.517</f>
        <v>7.0339999999999998</v>
      </c>
      <c r="E580" s="193"/>
      <c r="F580" s="193"/>
      <c r="G580" s="193" t="s">
        <v>13</v>
      </c>
      <c r="H580" s="120" t="s">
        <v>688</v>
      </c>
      <c r="I580" s="199">
        <v>236213100100</v>
      </c>
      <c r="J580" s="193" t="s">
        <v>2017</v>
      </c>
      <c r="K580" s="193"/>
    </row>
    <row r="581" spans="1:11" x14ac:dyDescent="0.3">
      <c r="A581" s="193">
        <f t="shared" si="9"/>
        <v>581</v>
      </c>
      <c r="B581" s="193" t="s">
        <v>2669</v>
      </c>
      <c r="C581" s="193" t="s">
        <v>2672</v>
      </c>
      <c r="D581" s="193">
        <f>2.5*3.517</f>
        <v>8.7925000000000004</v>
      </c>
      <c r="E581" s="193"/>
      <c r="F581" s="193"/>
      <c r="G581" s="193" t="s">
        <v>13</v>
      </c>
      <c r="H581" s="120" t="s">
        <v>688</v>
      </c>
      <c r="I581" s="199">
        <v>236213100200</v>
      </c>
      <c r="J581" s="193" t="s">
        <v>2017</v>
      </c>
      <c r="K581" s="193"/>
    </row>
    <row r="582" spans="1:11" x14ac:dyDescent="0.3">
      <c r="A582" s="193">
        <f t="shared" si="9"/>
        <v>582</v>
      </c>
      <c r="B582" s="193" t="s">
        <v>2669</v>
      </c>
      <c r="C582" s="193" t="s">
        <v>2673</v>
      </c>
      <c r="D582" s="193">
        <f>3*3.517</f>
        <v>10.551</v>
      </c>
      <c r="E582" s="193"/>
      <c r="F582" s="193"/>
      <c r="G582" s="193" t="s">
        <v>13</v>
      </c>
      <c r="H582" s="120" t="s">
        <v>688</v>
      </c>
      <c r="I582" s="199">
        <v>236213100300</v>
      </c>
      <c r="J582" s="193" t="s">
        <v>2017</v>
      </c>
      <c r="K582" s="193"/>
    </row>
    <row r="583" spans="1:11" x14ac:dyDescent="0.3">
      <c r="A583" s="193">
        <f t="shared" si="9"/>
        <v>583</v>
      </c>
      <c r="B583" s="193" t="s">
        <v>2669</v>
      </c>
      <c r="C583" s="193" t="s">
        <v>2674</v>
      </c>
      <c r="D583" s="193">
        <f>3.5*3.517</f>
        <v>12.3095</v>
      </c>
      <c r="E583" s="193"/>
      <c r="F583" s="193"/>
      <c r="G583" s="193" t="s">
        <v>13</v>
      </c>
      <c r="H583" s="120" t="s">
        <v>688</v>
      </c>
      <c r="I583" s="199">
        <v>236213100350</v>
      </c>
      <c r="J583" s="193" t="s">
        <v>2017</v>
      </c>
      <c r="K583" s="193"/>
    </row>
    <row r="584" spans="1:11" x14ac:dyDescent="0.3">
      <c r="A584" s="193">
        <f t="shared" si="9"/>
        <v>584</v>
      </c>
      <c r="B584" s="193" t="s">
        <v>2669</v>
      </c>
      <c r="C584" s="193" t="s">
        <v>2675</v>
      </c>
      <c r="D584" s="193">
        <f>4*3.517</f>
        <v>14.068</v>
      </c>
      <c r="E584" s="193"/>
      <c r="F584" s="193"/>
      <c r="G584" s="193" t="s">
        <v>13</v>
      </c>
      <c r="H584" s="120" t="s">
        <v>688</v>
      </c>
      <c r="I584" s="199">
        <v>236213100400</v>
      </c>
      <c r="J584" s="193" t="s">
        <v>2017</v>
      </c>
      <c r="K584" s="193"/>
    </row>
    <row r="585" spans="1:11" x14ac:dyDescent="0.3">
      <c r="A585" s="193">
        <f t="shared" si="9"/>
        <v>585</v>
      </c>
      <c r="B585" s="193" t="s">
        <v>2669</v>
      </c>
      <c r="C585" s="193" t="s">
        <v>2676</v>
      </c>
      <c r="D585" s="193">
        <f>5*3.517</f>
        <v>17.585000000000001</v>
      </c>
      <c r="E585" s="193"/>
      <c r="F585" s="193"/>
      <c r="G585" s="193" t="s">
        <v>13</v>
      </c>
      <c r="H585" s="120" t="s">
        <v>688</v>
      </c>
      <c r="I585" s="199">
        <v>236213100500</v>
      </c>
      <c r="J585" s="193" t="s">
        <v>2017</v>
      </c>
      <c r="K585" s="193"/>
    </row>
    <row r="586" spans="1:11" x14ac:dyDescent="0.3">
      <c r="A586" s="193">
        <f t="shared" si="9"/>
        <v>586</v>
      </c>
      <c r="B586" s="193" t="s">
        <v>2669</v>
      </c>
      <c r="C586" s="193" t="s">
        <v>2677</v>
      </c>
      <c r="D586" s="193">
        <f>7.5*3.517</f>
        <v>26.377499999999998</v>
      </c>
      <c r="E586" s="193"/>
      <c r="F586" s="193"/>
      <c r="G586" s="193" t="s">
        <v>13</v>
      </c>
      <c r="H586" s="120" t="s">
        <v>688</v>
      </c>
      <c r="I586" s="199">
        <v>236213100550</v>
      </c>
      <c r="J586" s="193" t="s">
        <v>2017</v>
      </c>
      <c r="K586" s="193"/>
    </row>
    <row r="587" spans="1:11" x14ac:dyDescent="0.3">
      <c r="A587" s="193">
        <f t="shared" si="9"/>
        <v>587</v>
      </c>
      <c r="B587" s="193" t="s">
        <v>2669</v>
      </c>
      <c r="C587" s="193" t="s">
        <v>2678</v>
      </c>
      <c r="D587" s="193">
        <f>8.5*3.517</f>
        <v>29.894500000000001</v>
      </c>
      <c r="E587" s="193"/>
      <c r="F587" s="193"/>
      <c r="G587" s="193" t="s">
        <v>13</v>
      </c>
      <c r="H587" s="120" t="s">
        <v>688</v>
      </c>
      <c r="I587" s="199">
        <v>236213100560</v>
      </c>
      <c r="J587" s="193" t="s">
        <v>2017</v>
      </c>
      <c r="K587" s="193"/>
    </row>
    <row r="588" spans="1:11" x14ac:dyDescent="0.3">
      <c r="A588" s="193">
        <f t="shared" si="9"/>
        <v>588</v>
      </c>
      <c r="B588" s="193" t="s">
        <v>2669</v>
      </c>
      <c r="C588" s="193" t="s">
        <v>2679</v>
      </c>
      <c r="D588" s="193">
        <f>10*3.517</f>
        <v>35.17</v>
      </c>
      <c r="E588" s="193"/>
      <c r="F588" s="193"/>
      <c r="G588" s="193" t="s">
        <v>13</v>
      </c>
      <c r="H588" s="120" t="s">
        <v>688</v>
      </c>
      <c r="I588" s="199">
        <v>236213100600</v>
      </c>
      <c r="J588" s="193" t="s">
        <v>2017</v>
      </c>
      <c r="K588" s="193"/>
    </row>
    <row r="589" spans="1:11" x14ac:dyDescent="0.3">
      <c r="A589" s="193">
        <f t="shared" si="9"/>
        <v>589</v>
      </c>
      <c r="B589" s="193" t="s">
        <v>2669</v>
      </c>
      <c r="C589" s="193" t="s">
        <v>2680</v>
      </c>
      <c r="D589" s="193">
        <f>12.5*3.517</f>
        <v>43.962499999999999</v>
      </c>
      <c r="E589" s="193"/>
      <c r="F589" s="193"/>
      <c r="G589" s="193" t="s">
        <v>13</v>
      </c>
      <c r="H589" s="120" t="s">
        <v>688</v>
      </c>
      <c r="I589" s="199">
        <v>236213100620</v>
      </c>
      <c r="J589" s="193" t="s">
        <v>2017</v>
      </c>
      <c r="K589" s="193"/>
    </row>
    <row r="590" spans="1:11" x14ac:dyDescent="0.3">
      <c r="A590" s="193">
        <f t="shared" si="9"/>
        <v>590</v>
      </c>
      <c r="B590" s="193" t="s">
        <v>2669</v>
      </c>
      <c r="C590" s="193" t="s">
        <v>2681</v>
      </c>
      <c r="D590" s="193">
        <f>15*3.517</f>
        <v>52.754999999999995</v>
      </c>
      <c r="E590" s="193"/>
      <c r="F590" s="193"/>
      <c r="G590" s="193" t="s">
        <v>13</v>
      </c>
      <c r="H590" s="120" t="s">
        <v>688</v>
      </c>
      <c r="I590" s="199">
        <v>236213100650</v>
      </c>
      <c r="J590" s="193" t="s">
        <v>2017</v>
      </c>
      <c r="K590" s="193"/>
    </row>
    <row r="591" spans="1:11" x14ac:dyDescent="0.3">
      <c r="A591" s="193">
        <f t="shared" si="9"/>
        <v>591</v>
      </c>
      <c r="B591" s="193" t="s">
        <v>2669</v>
      </c>
      <c r="C591" s="193" t="s">
        <v>2682</v>
      </c>
      <c r="D591" s="193">
        <f>20*3.517</f>
        <v>70.34</v>
      </c>
      <c r="E591" s="193"/>
      <c r="F591" s="193"/>
      <c r="G591" s="193" t="s">
        <v>13</v>
      </c>
      <c r="H591" s="120" t="s">
        <v>688</v>
      </c>
      <c r="I591" s="199">
        <v>236213100700</v>
      </c>
      <c r="J591" s="193" t="s">
        <v>2017</v>
      </c>
      <c r="K591" s="193"/>
    </row>
    <row r="592" spans="1:11" x14ac:dyDescent="0.3">
      <c r="A592" s="193">
        <f t="shared" si="9"/>
        <v>592</v>
      </c>
      <c r="B592" s="193" t="s">
        <v>2669</v>
      </c>
      <c r="C592" s="193" t="s">
        <v>2683</v>
      </c>
      <c r="D592" s="193">
        <f>25*3.517</f>
        <v>87.924999999999997</v>
      </c>
      <c r="E592" s="193"/>
      <c r="F592" s="193"/>
      <c r="G592" s="193" t="s">
        <v>13</v>
      </c>
      <c r="H592" s="120" t="s">
        <v>688</v>
      </c>
      <c r="I592" s="199">
        <v>236213100720</v>
      </c>
      <c r="J592" s="193" t="s">
        <v>2017</v>
      </c>
      <c r="K592" s="193"/>
    </row>
    <row r="593" spans="1:11" x14ac:dyDescent="0.3">
      <c r="A593" s="193">
        <f t="shared" si="9"/>
        <v>593</v>
      </c>
      <c r="B593" s="193" t="s">
        <v>2669</v>
      </c>
      <c r="C593" s="193" t="s">
        <v>2684</v>
      </c>
      <c r="D593" s="193">
        <f>30*3.517</f>
        <v>105.50999999999999</v>
      </c>
      <c r="E593" s="193"/>
      <c r="F593" s="193"/>
      <c r="G593" s="193" t="s">
        <v>13</v>
      </c>
      <c r="H593" s="120" t="s">
        <v>688</v>
      </c>
      <c r="I593" s="199">
        <v>236213100750</v>
      </c>
      <c r="J593" s="193" t="s">
        <v>2017</v>
      </c>
      <c r="K593" s="193"/>
    </row>
    <row r="594" spans="1:11" x14ac:dyDescent="0.3">
      <c r="A594" s="193">
        <f t="shared" si="9"/>
        <v>594</v>
      </c>
      <c r="B594" s="193" t="s">
        <v>2669</v>
      </c>
      <c r="C594" s="193" t="s">
        <v>2685</v>
      </c>
      <c r="D594" s="193">
        <f>40*3.517</f>
        <v>140.68</v>
      </c>
      <c r="E594" s="193"/>
      <c r="F594" s="193"/>
      <c r="G594" s="193" t="s">
        <v>13</v>
      </c>
      <c r="H594" s="120" t="s">
        <v>688</v>
      </c>
      <c r="I594" s="199">
        <v>236213100800</v>
      </c>
      <c r="J594" s="193" t="s">
        <v>2017</v>
      </c>
      <c r="K594" s="193"/>
    </row>
    <row r="595" spans="1:11" x14ac:dyDescent="0.3">
      <c r="A595" s="193">
        <f t="shared" si="9"/>
        <v>595</v>
      </c>
      <c r="B595" s="193" t="s">
        <v>2669</v>
      </c>
      <c r="C595" s="193" t="s">
        <v>2686</v>
      </c>
      <c r="D595" s="193">
        <f>50*3.517</f>
        <v>175.85</v>
      </c>
      <c r="E595" s="193"/>
      <c r="F595" s="193"/>
      <c r="G595" s="193" t="s">
        <v>13</v>
      </c>
      <c r="H595" s="120" t="s">
        <v>688</v>
      </c>
      <c r="I595" s="199">
        <v>236213100840</v>
      </c>
      <c r="J595" s="193" t="s">
        <v>2017</v>
      </c>
      <c r="K595" s="193"/>
    </row>
    <row r="596" spans="1:11" x14ac:dyDescent="0.3">
      <c r="A596" s="193">
        <f t="shared" si="9"/>
        <v>596</v>
      </c>
      <c r="B596" s="193" t="s">
        <v>2669</v>
      </c>
      <c r="C596" s="193" t="s">
        <v>2687</v>
      </c>
      <c r="D596" s="193">
        <f>60*3.517</f>
        <v>211.01999999999998</v>
      </c>
      <c r="E596" s="193"/>
      <c r="F596" s="193"/>
      <c r="G596" s="193" t="s">
        <v>13</v>
      </c>
      <c r="H596" s="120" t="s">
        <v>688</v>
      </c>
      <c r="I596" s="199">
        <v>236213100860</v>
      </c>
      <c r="J596" s="193" t="s">
        <v>2017</v>
      </c>
      <c r="K596" s="193"/>
    </row>
    <row r="597" spans="1:11" x14ac:dyDescent="0.3">
      <c r="A597" s="193">
        <f t="shared" si="9"/>
        <v>597</v>
      </c>
      <c r="B597" s="193" t="s">
        <v>2669</v>
      </c>
      <c r="C597" s="193" t="s">
        <v>2688</v>
      </c>
      <c r="D597" s="193">
        <f>70*3.517</f>
        <v>246.19</v>
      </c>
      <c r="E597" s="193"/>
      <c r="F597" s="193"/>
      <c r="G597" s="193" t="s">
        <v>13</v>
      </c>
      <c r="H597" s="120" t="s">
        <v>688</v>
      </c>
      <c r="I597" s="199">
        <v>236213100900</v>
      </c>
      <c r="J597" s="193" t="s">
        <v>2017</v>
      </c>
      <c r="K597" s="193"/>
    </row>
    <row r="598" spans="1:11" x14ac:dyDescent="0.3">
      <c r="A598" s="193">
        <f t="shared" si="9"/>
        <v>598</v>
      </c>
      <c r="B598" s="193" t="s">
        <v>2669</v>
      </c>
      <c r="C598" s="193" t="s">
        <v>2689</v>
      </c>
      <c r="D598" s="193">
        <f>80*3.517</f>
        <v>281.36</v>
      </c>
      <c r="E598" s="193"/>
      <c r="F598" s="193"/>
      <c r="G598" s="193" t="s">
        <v>13</v>
      </c>
      <c r="H598" s="120" t="s">
        <v>688</v>
      </c>
      <c r="I598" s="199">
        <v>236213101000</v>
      </c>
      <c r="J598" s="193" t="s">
        <v>2017</v>
      </c>
      <c r="K598" s="193"/>
    </row>
    <row r="599" spans="1:11" x14ac:dyDescent="0.3">
      <c r="A599" s="193">
        <f t="shared" si="9"/>
        <v>599</v>
      </c>
      <c r="B599" s="193" t="s">
        <v>2669</v>
      </c>
      <c r="C599" s="193" t="s">
        <v>2690</v>
      </c>
      <c r="D599" s="193">
        <f>90*3.517</f>
        <v>316.52999999999997</v>
      </c>
      <c r="E599" s="193"/>
      <c r="F599" s="193"/>
      <c r="G599" s="193" t="s">
        <v>13</v>
      </c>
      <c r="H599" s="120" t="s">
        <v>688</v>
      </c>
      <c r="I599" s="199">
        <v>236213101010</v>
      </c>
      <c r="J599" s="193" t="s">
        <v>2017</v>
      </c>
      <c r="K599" s="193"/>
    </row>
    <row r="600" spans="1:11" x14ac:dyDescent="0.3">
      <c r="A600" s="193">
        <f t="shared" si="9"/>
        <v>600</v>
      </c>
      <c r="B600" s="193" t="s">
        <v>2669</v>
      </c>
      <c r="C600" s="193" t="s">
        <v>2691</v>
      </c>
      <c r="D600" s="193">
        <f>100*3.517</f>
        <v>351.7</v>
      </c>
      <c r="E600" s="193"/>
      <c r="F600" s="193"/>
      <c r="G600" s="193" t="s">
        <v>13</v>
      </c>
      <c r="H600" s="120" t="s">
        <v>688</v>
      </c>
      <c r="I600" s="199">
        <v>236213101100</v>
      </c>
      <c r="J600" s="193" t="s">
        <v>2017</v>
      </c>
      <c r="K600" s="193"/>
    </row>
    <row r="601" spans="1:11" x14ac:dyDescent="0.3">
      <c r="A601" s="193">
        <f t="shared" si="9"/>
        <v>601</v>
      </c>
      <c r="B601" s="193" t="s">
        <v>2692</v>
      </c>
      <c r="C601" s="193" t="s">
        <v>2693</v>
      </c>
      <c r="D601" s="193">
        <f>5*3.517</f>
        <v>17.585000000000001</v>
      </c>
      <c r="E601" s="193"/>
      <c r="F601" s="193"/>
      <c r="G601" s="193" t="s">
        <v>13</v>
      </c>
      <c r="H601" s="120" t="s">
        <v>688</v>
      </c>
      <c r="I601" s="199">
        <v>236223102100</v>
      </c>
      <c r="J601" s="193" t="s">
        <v>2017</v>
      </c>
      <c r="K601" s="193"/>
    </row>
    <row r="602" spans="1:11" x14ac:dyDescent="0.3">
      <c r="A602" s="193">
        <f t="shared" si="9"/>
        <v>602</v>
      </c>
      <c r="B602" s="193" t="s">
        <v>2692</v>
      </c>
      <c r="C602" s="193" t="s">
        <v>2694</v>
      </c>
      <c r="D602" s="193">
        <f>10*3.517</f>
        <v>35.17</v>
      </c>
      <c r="E602" s="193"/>
      <c r="F602" s="193"/>
      <c r="G602" s="193" t="s">
        <v>13</v>
      </c>
      <c r="H602" s="120" t="s">
        <v>688</v>
      </c>
      <c r="I602" s="199">
        <v>236223102110</v>
      </c>
      <c r="J602" s="193" t="s">
        <v>2017</v>
      </c>
      <c r="K602" s="193"/>
    </row>
    <row r="603" spans="1:11" x14ac:dyDescent="0.3">
      <c r="A603" s="193">
        <f t="shared" si="9"/>
        <v>603</v>
      </c>
      <c r="B603" s="193" t="s">
        <v>2692</v>
      </c>
      <c r="C603" s="193" t="s">
        <v>2695</v>
      </c>
      <c r="D603" s="193">
        <f>15*3.517</f>
        <v>52.754999999999995</v>
      </c>
      <c r="E603" s="193"/>
      <c r="F603" s="193"/>
      <c r="G603" s="193" t="s">
        <v>13</v>
      </c>
      <c r="H603" s="120" t="s">
        <v>688</v>
      </c>
      <c r="I603" s="199">
        <v>236223102200</v>
      </c>
      <c r="J603" s="193" t="s">
        <v>2017</v>
      </c>
      <c r="K603" s="193"/>
    </row>
    <row r="604" spans="1:11" x14ac:dyDescent="0.3">
      <c r="A604" s="193">
        <f t="shared" si="9"/>
        <v>604</v>
      </c>
      <c r="B604" s="193" t="s">
        <v>2692</v>
      </c>
      <c r="C604" s="193" t="s">
        <v>2696</v>
      </c>
      <c r="D604" s="193">
        <f>20*3.517</f>
        <v>70.34</v>
      </c>
      <c r="E604" s="193"/>
      <c r="F604" s="193"/>
      <c r="G604" s="193" t="s">
        <v>13</v>
      </c>
      <c r="H604" s="120" t="s">
        <v>688</v>
      </c>
      <c r="I604" s="199">
        <v>236223102300</v>
      </c>
      <c r="J604" s="193" t="s">
        <v>2017</v>
      </c>
      <c r="K604" s="193"/>
    </row>
    <row r="605" spans="1:11" x14ac:dyDescent="0.3">
      <c r="A605" s="193">
        <f t="shared" si="9"/>
        <v>605</v>
      </c>
      <c r="B605" s="193" t="s">
        <v>2692</v>
      </c>
      <c r="C605" s="193" t="s">
        <v>2697</v>
      </c>
      <c r="D605" s="193">
        <f>30*3.517</f>
        <v>105.50999999999999</v>
      </c>
      <c r="E605" s="193"/>
      <c r="F605" s="193"/>
      <c r="G605" s="193" t="s">
        <v>13</v>
      </c>
      <c r="H605" s="120" t="s">
        <v>688</v>
      </c>
      <c r="I605" s="199">
        <v>236223102310</v>
      </c>
      <c r="J605" s="193" t="s">
        <v>2017</v>
      </c>
      <c r="K605" s="193"/>
    </row>
    <row r="606" spans="1:11" x14ac:dyDescent="0.3">
      <c r="A606" s="193">
        <f t="shared" si="9"/>
        <v>606</v>
      </c>
      <c r="B606" s="193" t="s">
        <v>2692</v>
      </c>
      <c r="C606" s="193" t="s">
        <v>2698</v>
      </c>
      <c r="D606" s="193">
        <f>40*3.517</f>
        <v>140.68</v>
      </c>
      <c r="E606" s="193"/>
      <c r="F606" s="193"/>
      <c r="G606" s="193" t="s">
        <v>13</v>
      </c>
      <c r="H606" s="120" t="s">
        <v>688</v>
      </c>
      <c r="I606" s="199">
        <v>236223102400</v>
      </c>
      <c r="J606" s="193" t="s">
        <v>2017</v>
      </c>
      <c r="K606" s="193"/>
    </row>
    <row r="607" spans="1:11" x14ac:dyDescent="0.3">
      <c r="A607" s="193">
        <f t="shared" si="9"/>
        <v>607</v>
      </c>
      <c r="B607" s="193" t="s">
        <v>2669</v>
      </c>
      <c r="C607" s="193" t="s">
        <v>2699</v>
      </c>
      <c r="D607" s="193">
        <f>3*3.517</f>
        <v>10.551</v>
      </c>
      <c r="E607" s="193"/>
      <c r="F607" s="193"/>
      <c r="G607" s="193" t="s">
        <v>13</v>
      </c>
      <c r="H607" s="120" t="s">
        <v>688</v>
      </c>
      <c r="I607" s="199">
        <v>236313100240</v>
      </c>
      <c r="J607" s="193" t="s">
        <v>2017</v>
      </c>
      <c r="K607" s="193"/>
    </row>
    <row r="608" spans="1:11" x14ac:dyDescent="0.3">
      <c r="A608" s="193">
        <f t="shared" si="9"/>
        <v>608</v>
      </c>
      <c r="B608" s="193" t="s">
        <v>2669</v>
      </c>
      <c r="C608" s="193" t="s">
        <v>2700</v>
      </c>
      <c r="D608" s="193"/>
      <c r="E608" s="193"/>
      <c r="F608" s="193"/>
      <c r="G608" s="193" t="s">
        <v>13</v>
      </c>
      <c r="H608" s="120" t="s">
        <v>688</v>
      </c>
      <c r="I608" s="199">
        <v>236333103560</v>
      </c>
      <c r="J608" s="193" t="s">
        <v>2017</v>
      </c>
      <c r="K608" s="193"/>
    </row>
    <row r="609" spans="1:11" x14ac:dyDescent="0.3">
      <c r="A609" s="193">
        <f t="shared" si="9"/>
        <v>609</v>
      </c>
      <c r="B609" s="193" t="s">
        <v>2669</v>
      </c>
      <c r="C609" s="193" t="s">
        <v>2701</v>
      </c>
      <c r="D609" s="193"/>
      <c r="E609" s="193"/>
      <c r="F609" s="193"/>
      <c r="G609" s="193" t="s">
        <v>13</v>
      </c>
      <c r="H609" s="120" t="s">
        <v>688</v>
      </c>
      <c r="I609" s="199">
        <v>236333103860</v>
      </c>
      <c r="J609" s="193" t="s">
        <v>2017</v>
      </c>
      <c r="K609" s="193"/>
    </row>
    <row r="610" spans="1:11" x14ac:dyDescent="0.3">
      <c r="A610" s="193">
        <f t="shared" si="9"/>
        <v>610</v>
      </c>
      <c r="B610" s="193" t="s">
        <v>2702</v>
      </c>
      <c r="C610" s="193" t="s">
        <v>2703</v>
      </c>
      <c r="D610" s="193">
        <f>100*3.517</f>
        <v>351.7</v>
      </c>
      <c r="E610" s="193"/>
      <c r="F610" s="193"/>
      <c r="G610" s="193" t="s">
        <v>13</v>
      </c>
      <c r="H610" s="120" t="s">
        <v>688</v>
      </c>
      <c r="I610" s="199">
        <v>236413134130</v>
      </c>
      <c r="J610" s="193" t="s">
        <v>2017</v>
      </c>
      <c r="K610" s="193"/>
    </row>
    <row r="611" spans="1:11" x14ac:dyDescent="0.3">
      <c r="A611" s="193">
        <f t="shared" si="9"/>
        <v>611</v>
      </c>
      <c r="B611" s="193" t="s">
        <v>2702</v>
      </c>
      <c r="C611" s="193" t="s">
        <v>2704</v>
      </c>
      <c r="D611" s="193">
        <f>200*3.517</f>
        <v>703.4</v>
      </c>
      <c r="E611" s="193"/>
      <c r="F611" s="193"/>
      <c r="G611" s="193" t="s">
        <v>13</v>
      </c>
      <c r="H611" s="120" t="s">
        <v>688</v>
      </c>
      <c r="I611" s="199">
        <v>236413134140</v>
      </c>
      <c r="J611" s="193" t="s">
        <v>2017</v>
      </c>
      <c r="K611" s="193"/>
    </row>
    <row r="612" spans="1:11" x14ac:dyDescent="0.3">
      <c r="A612" s="193">
        <f t="shared" si="9"/>
        <v>612</v>
      </c>
      <c r="B612" s="193" t="s">
        <v>2702</v>
      </c>
      <c r="C612" s="193" t="s">
        <v>2705</v>
      </c>
      <c r="D612" s="193">
        <f>300*3.517</f>
        <v>1055.0999999999999</v>
      </c>
      <c r="E612" s="193"/>
      <c r="F612" s="193"/>
      <c r="G612" s="193" t="s">
        <v>13</v>
      </c>
      <c r="H612" s="120" t="s">
        <v>688</v>
      </c>
      <c r="I612" s="199">
        <v>236413134150</v>
      </c>
      <c r="J612" s="193" t="s">
        <v>2017</v>
      </c>
      <c r="K612" s="193"/>
    </row>
    <row r="613" spans="1:11" x14ac:dyDescent="0.3">
      <c r="A613" s="193">
        <f t="shared" si="9"/>
        <v>613</v>
      </c>
      <c r="B613" s="193" t="s">
        <v>2702</v>
      </c>
      <c r="C613" s="193" t="s">
        <v>2706</v>
      </c>
      <c r="D613" s="193">
        <f>400*3.517</f>
        <v>1406.8</v>
      </c>
      <c r="E613" s="193"/>
      <c r="F613" s="193"/>
      <c r="G613" s="193" t="s">
        <v>13</v>
      </c>
      <c r="H613" s="120" t="s">
        <v>688</v>
      </c>
      <c r="I613" s="199">
        <v>236413134160</v>
      </c>
      <c r="J613" s="193" t="s">
        <v>2017</v>
      </c>
      <c r="K613" s="193"/>
    </row>
    <row r="614" spans="1:11" x14ac:dyDescent="0.3">
      <c r="A614" s="193">
        <f t="shared" si="9"/>
        <v>614</v>
      </c>
      <c r="B614" s="193" t="s">
        <v>2702</v>
      </c>
      <c r="C614" s="193" t="s">
        <v>2707</v>
      </c>
      <c r="D614" s="193">
        <f>500*3.517</f>
        <v>1758.5</v>
      </c>
      <c r="E614" s="193"/>
      <c r="F614" s="193"/>
      <c r="G614" s="193" t="s">
        <v>13</v>
      </c>
      <c r="H614" s="120" t="s">
        <v>688</v>
      </c>
      <c r="I614" s="199">
        <v>236413134170</v>
      </c>
      <c r="J614" s="193" t="s">
        <v>2017</v>
      </c>
      <c r="K614" s="193"/>
    </row>
    <row r="615" spans="1:11" x14ac:dyDescent="0.3">
      <c r="A615" s="193">
        <f t="shared" si="9"/>
        <v>615</v>
      </c>
      <c r="B615" s="193" t="s">
        <v>2702</v>
      </c>
      <c r="C615" s="193" t="s">
        <v>2708</v>
      </c>
      <c r="D615" s="193">
        <f>600*3.517</f>
        <v>2110.1999999999998</v>
      </c>
      <c r="E615" s="193"/>
      <c r="F615" s="193"/>
      <c r="G615" s="193" t="s">
        <v>13</v>
      </c>
      <c r="H615" s="120" t="s">
        <v>688</v>
      </c>
      <c r="I615" s="199">
        <v>236413134180</v>
      </c>
      <c r="J615" s="193" t="s">
        <v>2017</v>
      </c>
      <c r="K615" s="193"/>
    </row>
    <row r="616" spans="1:11" x14ac:dyDescent="0.3">
      <c r="A616" s="193">
        <f t="shared" si="9"/>
        <v>616</v>
      </c>
      <c r="B616" s="193" t="s">
        <v>2702</v>
      </c>
      <c r="C616" s="193" t="s">
        <v>2709</v>
      </c>
      <c r="D616" s="193">
        <f>700*3.517</f>
        <v>2461.9</v>
      </c>
      <c r="E616" s="193"/>
      <c r="F616" s="193"/>
      <c r="G616" s="193" t="s">
        <v>13</v>
      </c>
      <c r="H616" s="120" t="s">
        <v>688</v>
      </c>
      <c r="I616" s="199">
        <v>236413134190</v>
      </c>
      <c r="J616" s="193" t="s">
        <v>2017</v>
      </c>
      <c r="K616" s="193"/>
    </row>
    <row r="617" spans="1:11" x14ac:dyDescent="0.3">
      <c r="A617" s="193">
        <f t="shared" si="9"/>
        <v>617</v>
      </c>
      <c r="B617" s="193" t="s">
        <v>2702</v>
      </c>
      <c r="C617" s="193" t="s">
        <v>2710</v>
      </c>
      <c r="D617" s="193">
        <f>800*3.517</f>
        <v>2813.6</v>
      </c>
      <c r="E617" s="193"/>
      <c r="F617" s="193"/>
      <c r="G617" s="193" t="s">
        <v>13</v>
      </c>
      <c r="H617" s="120" t="s">
        <v>688</v>
      </c>
      <c r="I617" s="199">
        <v>236413134200</v>
      </c>
      <c r="J617" s="193" t="s">
        <v>2017</v>
      </c>
      <c r="K617" s="193"/>
    </row>
    <row r="618" spans="1:11" x14ac:dyDescent="0.3">
      <c r="A618" s="193">
        <f t="shared" si="9"/>
        <v>618</v>
      </c>
      <c r="B618" s="193" t="s">
        <v>2702</v>
      </c>
      <c r="C618" s="193" t="s">
        <v>2711</v>
      </c>
      <c r="D618" s="193">
        <f>900*3.517</f>
        <v>3165.2999999999997</v>
      </c>
      <c r="E618" s="193"/>
      <c r="F618" s="193"/>
      <c r="G618" s="193" t="s">
        <v>13</v>
      </c>
      <c r="H618" s="120" t="s">
        <v>688</v>
      </c>
      <c r="I618" s="199">
        <v>236413134210</v>
      </c>
      <c r="J618" s="193" t="s">
        <v>2017</v>
      </c>
      <c r="K618" s="193"/>
    </row>
    <row r="619" spans="1:11" x14ac:dyDescent="0.3">
      <c r="A619" s="193">
        <f t="shared" si="9"/>
        <v>619</v>
      </c>
      <c r="B619" s="193" t="s">
        <v>2702</v>
      </c>
      <c r="C619" s="193" t="s">
        <v>2712</v>
      </c>
      <c r="D619" s="193">
        <f>1000*3.517</f>
        <v>3517</v>
      </c>
      <c r="E619" s="193"/>
      <c r="F619" s="193"/>
      <c r="G619" s="193" t="s">
        <v>13</v>
      </c>
      <c r="H619" s="120" t="s">
        <v>688</v>
      </c>
      <c r="I619" s="199">
        <v>236413134220</v>
      </c>
      <c r="J619" s="193" t="s">
        <v>2017</v>
      </c>
      <c r="K619" s="193"/>
    </row>
    <row r="620" spans="1:11" x14ac:dyDescent="0.3">
      <c r="A620" s="193">
        <f t="shared" si="9"/>
        <v>620</v>
      </c>
      <c r="B620" s="193" t="s">
        <v>2713</v>
      </c>
      <c r="C620" s="193" t="s">
        <v>2714</v>
      </c>
      <c r="D620" s="193">
        <f t="shared" ref="D620:D689" si="10">100*3.517</f>
        <v>351.7</v>
      </c>
      <c r="E620" s="193"/>
      <c r="F620" s="193"/>
      <c r="G620" s="193" t="s">
        <v>13</v>
      </c>
      <c r="H620" s="120" t="s">
        <v>688</v>
      </c>
      <c r="I620" s="199">
        <v>236413160050</v>
      </c>
      <c r="J620" s="193" t="s">
        <v>2017</v>
      </c>
      <c r="K620" s="193"/>
    </row>
    <row r="621" spans="1:11" x14ac:dyDescent="0.3">
      <c r="A621" s="193">
        <f t="shared" si="9"/>
        <v>621</v>
      </c>
      <c r="B621" s="193" t="s">
        <v>2713</v>
      </c>
      <c r="C621" s="193" t="s">
        <v>2715</v>
      </c>
      <c r="D621" s="193">
        <f>148*3.517</f>
        <v>520.51599999999996</v>
      </c>
      <c r="E621" s="193"/>
      <c r="F621" s="193"/>
      <c r="G621" s="193" t="s">
        <v>13</v>
      </c>
      <c r="H621" s="120" t="s">
        <v>688</v>
      </c>
      <c r="I621" s="199">
        <v>236413160100</v>
      </c>
      <c r="J621" s="193" t="s">
        <v>2017</v>
      </c>
      <c r="K621" s="193"/>
    </row>
    <row r="622" spans="1:11" x14ac:dyDescent="0.3">
      <c r="A622" s="193">
        <f t="shared" si="9"/>
        <v>622</v>
      </c>
      <c r="B622" s="193" t="s">
        <v>2713</v>
      </c>
      <c r="C622" s="193" t="s">
        <v>2716</v>
      </c>
      <c r="D622" s="193">
        <f>200*3.517</f>
        <v>703.4</v>
      </c>
      <c r="E622" s="193"/>
      <c r="F622" s="193"/>
      <c r="G622" s="193" t="s">
        <v>13</v>
      </c>
      <c r="H622" s="120" t="s">
        <v>688</v>
      </c>
      <c r="I622" s="199">
        <v>236413160200</v>
      </c>
      <c r="J622" s="193" t="s">
        <v>2017</v>
      </c>
      <c r="K622" s="193"/>
    </row>
    <row r="623" spans="1:11" x14ac:dyDescent="0.3">
      <c r="A623" s="193">
        <f t="shared" si="9"/>
        <v>623</v>
      </c>
      <c r="B623" s="193" t="s">
        <v>2713</v>
      </c>
      <c r="C623" s="193" t="s">
        <v>2717</v>
      </c>
      <c r="D623" s="193">
        <f>250*3.517</f>
        <v>879.25</v>
      </c>
      <c r="E623" s="193"/>
      <c r="F623" s="193"/>
      <c r="G623" s="193" t="s">
        <v>13</v>
      </c>
      <c r="H623" s="120" t="s">
        <v>688</v>
      </c>
      <c r="I623" s="199">
        <v>236413160240</v>
      </c>
      <c r="J623" s="193" t="s">
        <v>2017</v>
      </c>
      <c r="K623" s="193"/>
    </row>
    <row r="624" spans="1:11" x14ac:dyDescent="0.3">
      <c r="A624" s="193">
        <f t="shared" si="9"/>
        <v>624</v>
      </c>
      <c r="B624" s="193" t="s">
        <v>2713</v>
      </c>
      <c r="C624" s="193" t="s">
        <v>2718</v>
      </c>
      <c r="D624" s="193">
        <f>354*3.517</f>
        <v>1245.018</v>
      </c>
      <c r="E624" s="193"/>
      <c r="F624" s="193"/>
      <c r="G624" s="193" t="s">
        <v>13</v>
      </c>
      <c r="H624" s="120" t="s">
        <v>688</v>
      </c>
      <c r="I624" s="199">
        <v>236413160300</v>
      </c>
      <c r="J624" s="193" t="s">
        <v>2017</v>
      </c>
      <c r="K624" s="193"/>
    </row>
    <row r="625" spans="1:11" x14ac:dyDescent="0.3">
      <c r="A625" s="193">
        <f t="shared" si="9"/>
        <v>625</v>
      </c>
      <c r="B625" s="193" t="s">
        <v>2713</v>
      </c>
      <c r="C625" s="193" t="s">
        <v>2719</v>
      </c>
      <c r="D625" s="193">
        <f>420*3.517</f>
        <v>1477.1399999999999</v>
      </c>
      <c r="E625" s="193"/>
      <c r="F625" s="193"/>
      <c r="G625" s="193" t="s">
        <v>13</v>
      </c>
      <c r="H625" s="120" t="s">
        <v>688</v>
      </c>
      <c r="I625" s="199">
        <v>236413160400</v>
      </c>
      <c r="J625" s="193" t="s">
        <v>2017</v>
      </c>
      <c r="K625" s="193"/>
    </row>
    <row r="626" spans="1:11" x14ac:dyDescent="0.3">
      <c r="A626" s="193">
        <f t="shared" si="9"/>
        <v>626</v>
      </c>
      <c r="B626" s="193" t="s">
        <v>2713</v>
      </c>
      <c r="C626" s="193" t="s">
        <v>2720</v>
      </c>
      <c r="D626" s="193">
        <f>665*3.517</f>
        <v>2338.8049999999998</v>
      </c>
      <c r="E626" s="193"/>
      <c r="F626" s="193"/>
      <c r="G626" s="193" t="s">
        <v>13</v>
      </c>
      <c r="H626" s="120" t="s">
        <v>688</v>
      </c>
      <c r="I626" s="199">
        <v>236413160500</v>
      </c>
      <c r="J626" s="193" t="s">
        <v>2017</v>
      </c>
      <c r="K626" s="193"/>
    </row>
    <row r="627" spans="1:11" x14ac:dyDescent="0.3">
      <c r="A627" s="193">
        <f t="shared" si="9"/>
        <v>627</v>
      </c>
      <c r="B627" s="193" t="s">
        <v>2713</v>
      </c>
      <c r="C627" s="193" t="s">
        <v>2721</v>
      </c>
      <c r="D627" s="193">
        <f>750*3.517</f>
        <v>2637.75</v>
      </c>
      <c r="E627" s="193"/>
      <c r="F627" s="193"/>
      <c r="G627" s="193" t="s">
        <v>13</v>
      </c>
      <c r="H627" s="120" t="s">
        <v>688</v>
      </c>
      <c r="I627" s="199">
        <v>236413160600</v>
      </c>
      <c r="J627" s="193" t="s">
        <v>2017</v>
      </c>
      <c r="K627" s="193"/>
    </row>
    <row r="628" spans="1:11" x14ac:dyDescent="0.3">
      <c r="A628" s="193">
        <f t="shared" si="9"/>
        <v>628</v>
      </c>
      <c r="B628" s="193" t="s">
        <v>2713</v>
      </c>
      <c r="C628" s="193" t="s">
        <v>2722</v>
      </c>
      <c r="D628" s="193">
        <f>850*3.517</f>
        <v>2989.45</v>
      </c>
      <c r="E628" s="193"/>
      <c r="F628" s="193"/>
      <c r="G628" s="193" t="s">
        <v>13</v>
      </c>
      <c r="H628" s="120" t="s">
        <v>688</v>
      </c>
      <c r="I628" s="199">
        <v>236413160700</v>
      </c>
      <c r="J628" s="193" t="s">
        <v>2017</v>
      </c>
      <c r="K628" s="193"/>
    </row>
    <row r="629" spans="1:11" x14ac:dyDescent="0.3">
      <c r="A629" s="193">
        <f t="shared" si="9"/>
        <v>629</v>
      </c>
      <c r="B629" s="193" t="s">
        <v>2713</v>
      </c>
      <c r="C629" s="193" t="s">
        <v>2723</v>
      </c>
      <c r="D629" s="193">
        <f>955*3.517</f>
        <v>3358.7350000000001</v>
      </c>
      <c r="E629" s="193"/>
      <c r="F629" s="193"/>
      <c r="G629" s="193" t="s">
        <v>13</v>
      </c>
      <c r="H629" s="120" t="s">
        <v>688</v>
      </c>
      <c r="I629" s="199">
        <v>236413160800</v>
      </c>
      <c r="J629" s="193" t="s">
        <v>2017</v>
      </c>
      <c r="K629" s="193"/>
    </row>
    <row r="630" spans="1:11" x14ac:dyDescent="0.3">
      <c r="A630" s="193">
        <f t="shared" si="9"/>
        <v>630</v>
      </c>
      <c r="B630" s="193" t="s">
        <v>2713</v>
      </c>
      <c r="C630" s="193" t="s">
        <v>2724</v>
      </c>
      <c r="D630" s="193">
        <f>1125*3.517</f>
        <v>3956.625</v>
      </c>
      <c r="E630" s="193"/>
      <c r="F630" s="193"/>
      <c r="G630" s="193" t="s">
        <v>13</v>
      </c>
      <c r="H630" s="120" t="s">
        <v>688</v>
      </c>
      <c r="I630" s="199">
        <v>236413160900</v>
      </c>
      <c r="J630" s="193" t="s">
        <v>2017</v>
      </c>
      <c r="K630" s="193"/>
    </row>
    <row r="631" spans="1:11" x14ac:dyDescent="0.3">
      <c r="A631" s="193">
        <f t="shared" si="9"/>
        <v>631</v>
      </c>
      <c r="B631" s="193" t="s">
        <v>2713</v>
      </c>
      <c r="C631" s="193" t="s">
        <v>2725</v>
      </c>
      <c r="D631" s="193">
        <f>1250*3.517</f>
        <v>4396.25</v>
      </c>
      <c r="E631" s="193"/>
      <c r="F631" s="193"/>
      <c r="G631" s="193" t="s">
        <v>13</v>
      </c>
      <c r="H631" s="120" t="s">
        <v>688</v>
      </c>
      <c r="I631" s="199">
        <v>236413161000</v>
      </c>
      <c r="J631" s="193" t="s">
        <v>2017</v>
      </c>
      <c r="K631" s="193"/>
    </row>
    <row r="632" spans="1:11" x14ac:dyDescent="0.3">
      <c r="A632" s="193">
        <f t="shared" si="9"/>
        <v>632</v>
      </c>
      <c r="B632" s="193" t="s">
        <v>2713</v>
      </c>
      <c r="C632" s="193" t="s">
        <v>2726</v>
      </c>
      <c r="D632" s="193">
        <f>1465*3.517</f>
        <v>5152.4049999999997</v>
      </c>
      <c r="E632" s="193"/>
      <c r="F632" s="193"/>
      <c r="G632" s="193" t="s">
        <v>13</v>
      </c>
      <c r="H632" s="120" t="s">
        <v>688</v>
      </c>
      <c r="I632" s="199">
        <v>236413161100</v>
      </c>
      <c r="J632" s="193" t="s">
        <v>2017</v>
      </c>
      <c r="K632" s="193"/>
    </row>
    <row r="633" spans="1:11" x14ac:dyDescent="0.3">
      <c r="A633" s="193">
        <f t="shared" si="9"/>
        <v>633</v>
      </c>
      <c r="B633" s="193" t="s">
        <v>2713</v>
      </c>
      <c r="C633" s="193" t="s">
        <v>2727</v>
      </c>
      <c r="D633" s="193">
        <f>1660*3.517</f>
        <v>5838.22</v>
      </c>
      <c r="E633" s="193"/>
      <c r="F633" s="193"/>
      <c r="G633" s="193" t="s">
        <v>13</v>
      </c>
      <c r="H633" s="120" t="s">
        <v>688</v>
      </c>
      <c r="I633" s="199">
        <v>236413161200</v>
      </c>
      <c r="J633" s="193" t="s">
        <v>2017</v>
      </c>
      <c r="K633" s="193"/>
    </row>
    <row r="634" spans="1:11" x14ac:dyDescent="0.3">
      <c r="A634" s="193">
        <f t="shared" si="9"/>
        <v>634</v>
      </c>
      <c r="B634" s="193" t="s">
        <v>2728</v>
      </c>
      <c r="C634" s="193" t="s">
        <v>2729</v>
      </c>
      <c r="D634" s="193">
        <f>200*3.517</f>
        <v>703.4</v>
      </c>
      <c r="E634" s="193"/>
      <c r="F634" s="193"/>
      <c r="G634" s="193" t="s">
        <v>13</v>
      </c>
      <c r="H634" s="120" t="s">
        <v>688</v>
      </c>
      <c r="I634" s="199">
        <v>236416100278</v>
      </c>
      <c r="J634" s="193" t="s">
        <v>2017</v>
      </c>
      <c r="K634" s="193"/>
    </row>
    <row r="635" spans="1:11" x14ac:dyDescent="0.3">
      <c r="A635" s="193">
        <f t="shared" si="9"/>
        <v>635</v>
      </c>
      <c r="B635" s="193" t="s">
        <v>2728</v>
      </c>
      <c r="C635" s="193" t="s">
        <v>2730</v>
      </c>
      <c r="D635" s="193">
        <f>300*3.517</f>
        <v>1055.0999999999999</v>
      </c>
      <c r="E635" s="193"/>
      <c r="F635" s="193"/>
      <c r="G635" s="193" t="s">
        <v>13</v>
      </c>
      <c r="H635" s="120" t="s">
        <v>688</v>
      </c>
      <c r="I635" s="199">
        <v>236416100279</v>
      </c>
      <c r="J635" s="193" t="s">
        <v>2017</v>
      </c>
      <c r="K635" s="193"/>
    </row>
    <row r="636" spans="1:11" x14ac:dyDescent="0.3">
      <c r="A636" s="193">
        <f t="shared" si="9"/>
        <v>636</v>
      </c>
      <c r="B636" s="193" t="s">
        <v>2728</v>
      </c>
      <c r="C636" s="193" t="s">
        <v>2731</v>
      </c>
      <c r="D636" s="193">
        <f>400*3.517</f>
        <v>1406.8</v>
      </c>
      <c r="E636" s="193"/>
      <c r="F636" s="193"/>
      <c r="G636" s="193" t="s">
        <v>13</v>
      </c>
      <c r="H636" s="120" t="s">
        <v>688</v>
      </c>
      <c r="I636" s="199">
        <v>236416100280</v>
      </c>
      <c r="J636" s="193" t="s">
        <v>2017</v>
      </c>
      <c r="K636" s="193"/>
    </row>
    <row r="637" spans="1:11" x14ac:dyDescent="0.3">
      <c r="A637" s="193">
        <f t="shared" si="9"/>
        <v>637</v>
      </c>
      <c r="B637" s="193" t="s">
        <v>2728</v>
      </c>
      <c r="C637" s="193" t="s">
        <v>2732</v>
      </c>
      <c r="D637" s="193">
        <f>500*3.517</f>
        <v>1758.5</v>
      </c>
      <c r="E637" s="193"/>
      <c r="F637" s="193"/>
      <c r="G637" s="193" t="s">
        <v>13</v>
      </c>
      <c r="H637" s="120" t="s">
        <v>688</v>
      </c>
      <c r="I637" s="199">
        <v>236416100290</v>
      </c>
      <c r="J637" s="193" t="s">
        <v>2017</v>
      </c>
      <c r="K637" s="193"/>
    </row>
    <row r="638" spans="1:11" x14ac:dyDescent="0.3">
      <c r="A638" s="193">
        <f t="shared" si="9"/>
        <v>638</v>
      </c>
      <c r="B638" s="193" t="s">
        <v>2728</v>
      </c>
      <c r="C638" s="193" t="s">
        <v>2733</v>
      </c>
      <c r="D638" s="193">
        <f>600*3.517</f>
        <v>2110.1999999999998</v>
      </c>
      <c r="E638" s="193"/>
      <c r="F638" s="193"/>
      <c r="G638" s="193" t="s">
        <v>13</v>
      </c>
      <c r="H638" s="120" t="s">
        <v>688</v>
      </c>
      <c r="I638" s="199">
        <v>236416100300</v>
      </c>
      <c r="J638" s="193" t="s">
        <v>2017</v>
      </c>
      <c r="K638" s="193"/>
    </row>
    <row r="639" spans="1:11" x14ac:dyDescent="0.3">
      <c r="A639" s="193">
        <f t="shared" si="9"/>
        <v>639</v>
      </c>
      <c r="B639" s="193" t="s">
        <v>2728</v>
      </c>
      <c r="C639" s="193" t="s">
        <v>2734</v>
      </c>
      <c r="D639" s="193">
        <f>700*3.517</f>
        <v>2461.9</v>
      </c>
      <c r="E639" s="193"/>
      <c r="F639" s="193"/>
      <c r="G639" s="193" t="s">
        <v>13</v>
      </c>
      <c r="H639" s="120" t="s">
        <v>688</v>
      </c>
      <c r="I639" s="199">
        <v>236416100304</v>
      </c>
      <c r="J639" s="193" t="s">
        <v>2017</v>
      </c>
      <c r="K639" s="193"/>
    </row>
    <row r="640" spans="1:11" x14ac:dyDescent="0.3">
      <c r="A640" s="193">
        <f t="shared" si="9"/>
        <v>640</v>
      </c>
      <c r="B640" s="193" t="s">
        <v>2728</v>
      </c>
      <c r="C640" s="193" t="s">
        <v>2735</v>
      </c>
      <c r="D640" s="193">
        <f>800*3.517</f>
        <v>2813.6</v>
      </c>
      <c r="E640" s="193"/>
      <c r="F640" s="193"/>
      <c r="G640" s="193" t="s">
        <v>13</v>
      </c>
      <c r="H640" s="120" t="s">
        <v>688</v>
      </c>
      <c r="I640" s="199">
        <v>236416100310</v>
      </c>
      <c r="J640" s="193" t="s">
        <v>2017</v>
      </c>
      <c r="K640" s="193"/>
    </row>
    <row r="641" spans="1:11" x14ac:dyDescent="0.3">
      <c r="A641" s="193">
        <f t="shared" ref="A641:A704" si="11">A640+1</f>
        <v>641</v>
      </c>
      <c r="B641" s="193" t="s">
        <v>2728</v>
      </c>
      <c r="C641" s="193" t="s">
        <v>2736</v>
      </c>
      <c r="D641" s="193">
        <f>900*3.517</f>
        <v>3165.2999999999997</v>
      </c>
      <c r="E641" s="193"/>
      <c r="F641" s="193"/>
      <c r="G641" s="193" t="s">
        <v>13</v>
      </c>
      <c r="H641" s="120" t="s">
        <v>688</v>
      </c>
      <c r="I641" s="199">
        <v>236416100316</v>
      </c>
      <c r="J641" s="193" t="s">
        <v>2017</v>
      </c>
      <c r="K641" s="193"/>
    </row>
    <row r="642" spans="1:11" x14ac:dyDescent="0.3">
      <c r="A642" s="193">
        <f t="shared" si="11"/>
        <v>642</v>
      </c>
      <c r="B642" s="193" t="s">
        <v>2728</v>
      </c>
      <c r="C642" s="193" t="s">
        <v>2737</v>
      </c>
      <c r="D642" s="193">
        <f>1000*3.517</f>
        <v>3517</v>
      </c>
      <c r="E642" s="193"/>
      <c r="F642" s="193"/>
      <c r="G642" s="193" t="s">
        <v>13</v>
      </c>
      <c r="H642" s="120" t="s">
        <v>688</v>
      </c>
      <c r="I642" s="199">
        <v>236416100320</v>
      </c>
      <c r="J642" s="193" t="s">
        <v>2017</v>
      </c>
      <c r="K642" s="193"/>
    </row>
    <row r="643" spans="1:11" x14ac:dyDescent="0.3">
      <c r="A643" s="193">
        <f t="shared" si="11"/>
        <v>643</v>
      </c>
      <c r="B643" s="193" t="s">
        <v>2728</v>
      </c>
      <c r="C643" s="193" t="s">
        <v>2738</v>
      </c>
      <c r="D643" s="193">
        <f>1200*3.517</f>
        <v>4220.3999999999996</v>
      </c>
      <c r="E643" s="193"/>
      <c r="F643" s="193"/>
      <c r="G643" s="193" t="s">
        <v>13</v>
      </c>
      <c r="H643" s="120" t="s">
        <v>688</v>
      </c>
      <c r="I643" s="199">
        <v>236416100330</v>
      </c>
      <c r="J643" s="193" t="s">
        <v>2017</v>
      </c>
      <c r="K643" s="193"/>
    </row>
    <row r="644" spans="1:11" x14ac:dyDescent="0.3">
      <c r="A644" s="193">
        <f t="shared" si="11"/>
        <v>644</v>
      </c>
      <c r="B644" s="193" t="s">
        <v>2728</v>
      </c>
      <c r="C644" s="193" t="s">
        <v>2739</v>
      </c>
      <c r="D644" s="193">
        <f>1500*3.517</f>
        <v>5275.5</v>
      </c>
      <c r="E644" s="193"/>
      <c r="F644" s="193"/>
      <c r="G644" s="193" t="s">
        <v>13</v>
      </c>
      <c r="H644" s="120" t="s">
        <v>688</v>
      </c>
      <c r="I644" s="199">
        <v>236416100360</v>
      </c>
      <c r="J644" s="193" t="s">
        <v>2017</v>
      </c>
      <c r="K644" s="193"/>
    </row>
    <row r="645" spans="1:11" x14ac:dyDescent="0.3">
      <c r="A645" s="193">
        <f t="shared" si="11"/>
        <v>645</v>
      </c>
      <c r="B645" s="193" t="s">
        <v>2728</v>
      </c>
      <c r="C645" s="193" t="s">
        <v>2740</v>
      </c>
      <c r="D645" s="193">
        <f>1700*3.517</f>
        <v>5978.9</v>
      </c>
      <c r="E645" s="193"/>
      <c r="F645" s="193"/>
      <c r="G645" s="193" t="s">
        <v>13</v>
      </c>
      <c r="H645" s="120" t="s">
        <v>688</v>
      </c>
      <c r="I645" s="199">
        <v>236416100380</v>
      </c>
      <c r="J645" s="193" t="s">
        <v>2017</v>
      </c>
      <c r="K645" s="193"/>
    </row>
    <row r="646" spans="1:11" x14ac:dyDescent="0.3">
      <c r="A646" s="193">
        <f t="shared" si="11"/>
        <v>646</v>
      </c>
      <c r="B646" s="193" t="s">
        <v>2728</v>
      </c>
      <c r="C646" s="193" t="s">
        <v>2741</v>
      </c>
      <c r="D646" s="193">
        <f>2000*3.517</f>
        <v>7034</v>
      </c>
      <c r="E646" s="193"/>
      <c r="F646" s="193"/>
      <c r="G646" s="193" t="s">
        <v>13</v>
      </c>
      <c r="H646" s="120" t="s">
        <v>688</v>
      </c>
      <c r="I646" s="199">
        <v>236416100430</v>
      </c>
      <c r="J646" s="193" t="s">
        <v>2017</v>
      </c>
      <c r="K646" s="193"/>
    </row>
    <row r="647" spans="1:11" x14ac:dyDescent="0.3">
      <c r="A647" s="193">
        <f t="shared" si="11"/>
        <v>647</v>
      </c>
      <c r="B647" s="193" t="s">
        <v>2728</v>
      </c>
      <c r="C647" s="193" t="s">
        <v>2742</v>
      </c>
      <c r="D647" s="193">
        <f>2500*3.517</f>
        <v>8792.5</v>
      </c>
      <c r="E647" s="193"/>
      <c r="F647" s="193"/>
      <c r="G647" s="193" t="s">
        <v>13</v>
      </c>
      <c r="H647" s="120" t="s">
        <v>688</v>
      </c>
      <c r="I647" s="199">
        <v>236416100440</v>
      </c>
      <c r="J647" s="193" t="s">
        <v>2017</v>
      </c>
      <c r="K647" s="193"/>
    </row>
    <row r="648" spans="1:11" x14ac:dyDescent="0.3">
      <c r="A648" s="193">
        <f t="shared" si="11"/>
        <v>648</v>
      </c>
      <c r="B648" s="193" t="s">
        <v>2743</v>
      </c>
      <c r="C648" s="193" t="s">
        <v>2744</v>
      </c>
      <c r="D648" s="193">
        <f>15*3.517</f>
        <v>52.754999999999995</v>
      </c>
      <c r="E648" s="193"/>
      <c r="F648" s="193"/>
      <c r="G648" s="193" t="s">
        <v>13</v>
      </c>
      <c r="H648" s="120" t="s">
        <v>688</v>
      </c>
      <c r="I648" s="199">
        <v>236419101000</v>
      </c>
      <c r="J648" s="193" t="s">
        <v>2017</v>
      </c>
      <c r="K648" s="193"/>
    </row>
    <row r="649" spans="1:11" x14ac:dyDescent="0.3">
      <c r="A649" s="193">
        <f t="shared" si="11"/>
        <v>649</v>
      </c>
      <c r="B649" s="193" t="s">
        <v>2743</v>
      </c>
      <c r="C649" s="193" t="s">
        <v>2745</v>
      </c>
      <c r="D649" s="193">
        <f>25*3.517</f>
        <v>87.924999999999997</v>
      </c>
      <c r="E649" s="193"/>
      <c r="F649" s="193"/>
      <c r="G649" s="193" t="s">
        <v>13</v>
      </c>
      <c r="H649" s="120" t="s">
        <v>688</v>
      </c>
      <c r="I649" s="199">
        <v>236419101020</v>
      </c>
      <c r="J649" s="193" t="s">
        <v>2017</v>
      </c>
      <c r="K649" s="193"/>
    </row>
    <row r="650" spans="1:11" x14ac:dyDescent="0.3">
      <c r="A650" s="193">
        <f t="shared" si="11"/>
        <v>650</v>
      </c>
      <c r="B650" s="193" t="s">
        <v>2743</v>
      </c>
      <c r="C650" s="193" t="s">
        <v>2746</v>
      </c>
      <c r="D650" s="193">
        <f>30*3.517</f>
        <v>105.50999999999999</v>
      </c>
      <c r="E650" s="193"/>
      <c r="F650" s="193"/>
      <c r="G650" s="193" t="s">
        <v>13</v>
      </c>
      <c r="H650" s="120" t="s">
        <v>688</v>
      </c>
      <c r="I650" s="199">
        <v>236419101040</v>
      </c>
      <c r="J650" s="193" t="s">
        <v>2017</v>
      </c>
      <c r="K650" s="193"/>
    </row>
    <row r="651" spans="1:11" x14ac:dyDescent="0.3">
      <c r="A651" s="193">
        <f t="shared" si="11"/>
        <v>651</v>
      </c>
      <c r="B651" s="193" t="s">
        <v>2743</v>
      </c>
      <c r="C651" s="193" t="s">
        <v>2747</v>
      </c>
      <c r="D651" s="193">
        <f>35*3.517</f>
        <v>123.095</v>
      </c>
      <c r="E651" s="193"/>
      <c r="F651" s="193"/>
      <c r="G651" s="193" t="s">
        <v>13</v>
      </c>
      <c r="H651" s="120" t="s">
        <v>688</v>
      </c>
      <c r="I651" s="199">
        <v>236419101060</v>
      </c>
      <c r="J651" s="193" t="s">
        <v>2017</v>
      </c>
      <c r="K651" s="193"/>
    </row>
    <row r="652" spans="1:11" x14ac:dyDescent="0.3">
      <c r="A652" s="193">
        <f t="shared" si="11"/>
        <v>652</v>
      </c>
      <c r="B652" s="193" t="s">
        <v>2743</v>
      </c>
      <c r="C652" s="193" t="s">
        <v>2748</v>
      </c>
      <c r="D652" s="193">
        <f>40*3.517</f>
        <v>140.68</v>
      </c>
      <c r="E652" s="193"/>
      <c r="F652" s="193"/>
      <c r="G652" s="193" t="s">
        <v>13</v>
      </c>
      <c r="H652" s="120" t="s">
        <v>688</v>
      </c>
      <c r="I652" s="199">
        <v>236419101080</v>
      </c>
      <c r="J652" s="193" t="s">
        <v>2017</v>
      </c>
      <c r="K652" s="193"/>
    </row>
    <row r="653" spans="1:11" x14ac:dyDescent="0.3">
      <c r="A653" s="193">
        <f t="shared" si="11"/>
        <v>653</v>
      </c>
      <c r="B653" s="193" t="s">
        <v>2743</v>
      </c>
      <c r="C653" s="193" t="s">
        <v>2749</v>
      </c>
      <c r="D653" s="193">
        <f>50*3.517</f>
        <v>175.85</v>
      </c>
      <c r="E653" s="193"/>
      <c r="F653" s="193"/>
      <c r="G653" s="193" t="s">
        <v>13</v>
      </c>
      <c r="H653" s="120" t="s">
        <v>688</v>
      </c>
      <c r="I653" s="199">
        <v>236419101100</v>
      </c>
      <c r="J653" s="193" t="s">
        <v>2017</v>
      </c>
      <c r="K653" s="193"/>
    </row>
    <row r="654" spans="1:11" x14ac:dyDescent="0.3">
      <c r="A654" s="193">
        <f t="shared" si="11"/>
        <v>654</v>
      </c>
      <c r="B654" s="193" t="s">
        <v>2743</v>
      </c>
      <c r="C654" s="193" t="s">
        <v>2750</v>
      </c>
      <c r="D654" s="193">
        <f>60*3.517</f>
        <v>211.01999999999998</v>
      </c>
      <c r="E654" s="193"/>
      <c r="F654" s="193"/>
      <c r="G654" s="193" t="s">
        <v>13</v>
      </c>
      <c r="H654" s="120" t="s">
        <v>688</v>
      </c>
      <c r="I654" s="199">
        <v>236419101120</v>
      </c>
      <c r="J654" s="193" t="s">
        <v>2017</v>
      </c>
      <c r="K654" s="193"/>
    </row>
    <row r="655" spans="1:11" x14ac:dyDescent="0.3">
      <c r="A655" s="193">
        <f t="shared" si="11"/>
        <v>655</v>
      </c>
      <c r="B655" s="193" t="s">
        <v>2743</v>
      </c>
      <c r="C655" s="193" t="s">
        <v>2751</v>
      </c>
      <c r="D655" s="193">
        <f>75*3.517</f>
        <v>263.77499999999998</v>
      </c>
      <c r="E655" s="193"/>
      <c r="F655" s="193"/>
      <c r="G655" s="193" t="s">
        <v>13</v>
      </c>
      <c r="H655" s="120" t="s">
        <v>688</v>
      </c>
      <c r="I655" s="199">
        <v>236419101130</v>
      </c>
      <c r="J655" s="193" t="s">
        <v>2017</v>
      </c>
      <c r="K655" s="193"/>
    </row>
    <row r="656" spans="1:11" x14ac:dyDescent="0.3">
      <c r="A656" s="193">
        <f t="shared" si="11"/>
        <v>656</v>
      </c>
      <c r="B656" s="193" t="s">
        <v>2743</v>
      </c>
      <c r="C656" s="193" t="s">
        <v>2752</v>
      </c>
      <c r="D656" s="193">
        <f t="shared" si="10"/>
        <v>351.7</v>
      </c>
      <c r="E656" s="193"/>
      <c r="F656" s="193"/>
      <c r="G656" s="193" t="s">
        <v>13</v>
      </c>
      <c r="H656" s="120" t="s">
        <v>688</v>
      </c>
      <c r="I656" s="199">
        <v>236419101160</v>
      </c>
      <c r="J656" s="193" t="s">
        <v>2017</v>
      </c>
      <c r="K656" s="193"/>
    </row>
    <row r="657" spans="1:11" x14ac:dyDescent="0.3">
      <c r="A657" s="193">
        <f t="shared" si="11"/>
        <v>657</v>
      </c>
      <c r="B657" s="193" t="s">
        <v>2743</v>
      </c>
      <c r="C657" s="193" t="s">
        <v>2753</v>
      </c>
      <c r="D657" s="193">
        <f>115*3.517</f>
        <v>404.45499999999998</v>
      </c>
      <c r="E657" s="193"/>
      <c r="F657" s="193"/>
      <c r="G657" s="193" t="s">
        <v>13</v>
      </c>
      <c r="H657" s="120" t="s">
        <v>688</v>
      </c>
      <c r="I657" s="199">
        <v>236419101170</v>
      </c>
      <c r="J657" s="193" t="s">
        <v>2017</v>
      </c>
      <c r="K657" s="193"/>
    </row>
    <row r="658" spans="1:11" x14ac:dyDescent="0.3">
      <c r="A658" s="193">
        <f t="shared" si="11"/>
        <v>658</v>
      </c>
      <c r="B658" s="193" t="s">
        <v>2743</v>
      </c>
      <c r="C658" s="193" t="s">
        <v>2754</v>
      </c>
      <c r="D658" s="193">
        <f>125*3.517</f>
        <v>439.625</v>
      </c>
      <c r="E658" s="193"/>
      <c r="F658" s="193"/>
      <c r="G658" s="193" t="s">
        <v>13</v>
      </c>
      <c r="H658" s="120" t="s">
        <v>688</v>
      </c>
      <c r="I658" s="199">
        <v>236419101180</v>
      </c>
      <c r="J658" s="193" t="s">
        <v>2017</v>
      </c>
      <c r="K658" s="193"/>
    </row>
    <row r="659" spans="1:11" x14ac:dyDescent="0.3">
      <c r="A659" s="193">
        <f t="shared" si="11"/>
        <v>659</v>
      </c>
      <c r="B659" s="193" t="s">
        <v>2743</v>
      </c>
      <c r="C659" s="193" t="s">
        <v>2755</v>
      </c>
      <c r="D659" s="193">
        <f>145*3.517</f>
        <v>509.96499999999997</v>
      </c>
      <c r="E659" s="193"/>
      <c r="F659" s="193"/>
      <c r="G659" s="193" t="s">
        <v>13</v>
      </c>
      <c r="H659" s="120" t="s">
        <v>688</v>
      </c>
      <c r="I659" s="199">
        <v>236419101200</v>
      </c>
      <c r="J659" s="193" t="s">
        <v>2017</v>
      </c>
      <c r="K659" s="193"/>
    </row>
    <row r="660" spans="1:11" x14ac:dyDescent="0.3">
      <c r="A660" s="193">
        <f t="shared" si="11"/>
        <v>660</v>
      </c>
      <c r="B660" s="193" t="s">
        <v>2743</v>
      </c>
      <c r="C660" s="193" t="s">
        <v>2756</v>
      </c>
      <c r="D660" s="193">
        <f>155*3.517</f>
        <v>545.13499999999999</v>
      </c>
      <c r="E660" s="193"/>
      <c r="F660" s="193"/>
      <c r="G660" s="193" t="s">
        <v>13</v>
      </c>
      <c r="H660" s="120" t="s">
        <v>688</v>
      </c>
      <c r="I660" s="199">
        <v>236419101210</v>
      </c>
      <c r="J660" s="193" t="s">
        <v>2017</v>
      </c>
      <c r="K660" s="193"/>
    </row>
    <row r="661" spans="1:11" x14ac:dyDescent="0.3">
      <c r="A661" s="193">
        <f t="shared" si="11"/>
        <v>661</v>
      </c>
      <c r="B661" s="193" t="s">
        <v>2757</v>
      </c>
      <c r="C661" s="193" t="s">
        <v>2758</v>
      </c>
      <c r="D661" s="193">
        <f>15*3.517</f>
        <v>52.754999999999995</v>
      </c>
      <c r="E661" s="193"/>
      <c r="F661" s="193"/>
      <c r="G661" s="193" t="s">
        <v>13</v>
      </c>
      <c r="H661" s="120" t="s">
        <v>688</v>
      </c>
      <c r="I661" s="199">
        <v>236419104020</v>
      </c>
      <c r="J661" s="193" t="s">
        <v>2017</v>
      </c>
      <c r="K661" s="193"/>
    </row>
    <row r="662" spans="1:11" x14ac:dyDescent="0.3">
      <c r="A662" s="193">
        <f t="shared" si="11"/>
        <v>662</v>
      </c>
      <c r="B662" s="193" t="s">
        <v>2757</v>
      </c>
      <c r="C662" s="193" t="s">
        <v>2759</v>
      </c>
      <c r="D662" s="193">
        <f>25*3.517</f>
        <v>87.924999999999997</v>
      </c>
      <c r="E662" s="193"/>
      <c r="F662" s="193"/>
      <c r="G662" s="193" t="s">
        <v>13</v>
      </c>
      <c r="H662" s="120" t="s">
        <v>688</v>
      </c>
      <c r="I662" s="199">
        <v>236419104040</v>
      </c>
      <c r="J662" s="193" t="s">
        <v>2017</v>
      </c>
      <c r="K662" s="193"/>
    </row>
    <row r="663" spans="1:11" x14ac:dyDescent="0.3">
      <c r="A663" s="193">
        <f t="shared" si="11"/>
        <v>663</v>
      </c>
      <c r="B663" s="193" t="s">
        <v>2757</v>
      </c>
      <c r="C663" s="193" t="s">
        <v>2760</v>
      </c>
      <c r="D663" s="193">
        <f>40*3.517</f>
        <v>140.68</v>
      </c>
      <c r="E663" s="193"/>
      <c r="F663" s="193"/>
      <c r="G663" s="193" t="s">
        <v>13</v>
      </c>
      <c r="H663" s="120" t="s">
        <v>688</v>
      </c>
      <c r="I663" s="199">
        <v>236419104060</v>
      </c>
      <c r="J663" s="193" t="s">
        <v>2017</v>
      </c>
      <c r="K663" s="193"/>
    </row>
    <row r="664" spans="1:11" x14ac:dyDescent="0.3">
      <c r="A664" s="193">
        <f t="shared" si="11"/>
        <v>664</v>
      </c>
      <c r="B664" s="193" t="s">
        <v>2757</v>
      </c>
      <c r="C664" s="193" t="s">
        <v>2761</v>
      </c>
      <c r="D664" s="193">
        <f>50*3.517</f>
        <v>175.85</v>
      </c>
      <c r="E664" s="193"/>
      <c r="F664" s="193"/>
      <c r="G664" s="193" t="s">
        <v>13</v>
      </c>
      <c r="H664" s="120" t="s">
        <v>688</v>
      </c>
      <c r="I664" s="199">
        <v>236419104070</v>
      </c>
      <c r="J664" s="193" t="s">
        <v>2017</v>
      </c>
      <c r="K664" s="193"/>
    </row>
    <row r="665" spans="1:11" x14ac:dyDescent="0.3">
      <c r="A665" s="193">
        <f t="shared" si="11"/>
        <v>665</v>
      </c>
      <c r="B665" s="193" t="s">
        <v>2757</v>
      </c>
      <c r="C665" s="193" t="s">
        <v>2762</v>
      </c>
      <c r="D665" s="193">
        <f>60*3.517</f>
        <v>211.01999999999998</v>
      </c>
      <c r="E665" s="193"/>
      <c r="F665" s="193"/>
      <c r="G665" s="193" t="s">
        <v>13</v>
      </c>
      <c r="H665" s="120" t="s">
        <v>688</v>
      </c>
      <c r="I665" s="199">
        <v>236419104080</v>
      </c>
      <c r="J665" s="193" t="s">
        <v>2017</v>
      </c>
      <c r="K665" s="193"/>
    </row>
    <row r="666" spans="1:11" x14ac:dyDescent="0.3">
      <c r="A666" s="193">
        <f t="shared" si="11"/>
        <v>666</v>
      </c>
      <c r="B666" s="193" t="s">
        <v>2757</v>
      </c>
      <c r="C666" s="193" t="s">
        <v>2763</v>
      </c>
      <c r="D666" s="193">
        <f>75*3.517</f>
        <v>263.77499999999998</v>
      </c>
      <c r="E666" s="193"/>
      <c r="F666" s="193"/>
      <c r="G666" s="193" t="s">
        <v>13</v>
      </c>
      <c r="H666" s="120" t="s">
        <v>688</v>
      </c>
      <c r="I666" s="199">
        <v>236419104090</v>
      </c>
      <c r="J666" s="193" t="s">
        <v>2017</v>
      </c>
      <c r="K666" s="193"/>
    </row>
    <row r="667" spans="1:11" x14ac:dyDescent="0.3">
      <c r="A667" s="193">
        <f t="shared" si="11"/>
        <v>667</v>
      </c>
      <c r="B667" s="193" t="s">
        <v>2757</v>
      </c>
      <c r="C667" s="193" t="s">
        <v>2764</v>
      </c>
      <c r="D667" s="193">
        <f>105*3.517</f>
        <v>369.28499999999997</v>
      </c>
      <c r="E667" s="193"/>
      <c r="F667" s="193"/>
      <c r="G667" s="193" t="s">
        <v>13</v>
      </c>
      <c r="H667" s="120" t="s">
        <v>688</v>
      </c>
      <c r="I667" s="199">
        <v>236419104120</v>
      </c>
      <c r="J667" s="193" t="s">
        <v>2017</v>
      </c>
      <c r="K667" s="193"/>
    </row>
    <row r="668" spans="1:11" x14ac:dyDescent="0.3">
      <c r="A668" s="193">
        <f t="shared" si="11"/>
        <v>668</v>
      </c>
      <c r="B668" s="193" t="s">
        <v>2757</v>
      </c>
      <c r="C668" s="193" t="s">
        <v>2765</v>
      </c>
      <c r="D668" s="193">
        <f>115*3.517</f>
        <v>404.45499999999998</v>
      </c>
      <c r="E668" s="193"/>
      <c r="F668" s="193"/>
      <c r="G668" s="193" t="s">
        <v>13</v>
      </c>
      <c r="H668" s="120" t="s">
        <v>688</v>
      </c>
      <c r="I668" s="199">
        <v>236419104130</v>
      </c>
      <c r="J668" s="193" t="s">
        <v>2017</v>
      </c>
      <c r="K668" s="193"/>
    </row>
    <row r="669" spans="1:11" x14ac:dyDescent="0.3">
      <c r="A669" s="193">
        <f t="shared" si="11"/>
        <v>669</v>
      </c>
      <c r="B669" s="193" t="s">
        <v>2757</v>
      </c>
      <c r="C669" s="193" t="s">
        <v>2766</v>
      </c>
      <c r="D669" s="193">
        <f>125*3.517</f>
        <v>439.625</v>
      </c>
      <c r="E669" s="193"/>
      <c r="F669" s="193"/>
      <c r="G669" s="193" t="s">
        <v>13</v>
      </c>
      <c r="H669" s="120" t="s">
        <v>688</v>
      </c>
      <c r="I669" s="199">
        <v>236419104140</v>
      </c>
      <c r="J669" s="193" t="s">
        <v>2017</v>
      </c>
      <c r="K669" s="193"/>
    </row>
    <row r="670" spans="1:11" x14ac:dyDescent="0.3">
      <c r="A670" s="193">
        <f t="shared" si="11"/>
        <v>670</v>
      </c>
      <c r="B670" s="193" t="s">
        <v>2757</v>
      </c>
      <c r="C670" s="193" t="s">
        <v>2767</v>
      </c>
      <c r="D670" s="193">
        <f>145*3.517</f>
        <v>509.96499999999997</v>
      </c>
      <c r="E670" s="193"/>
      <c r="F670" s="193"/>
      <c r="G670" s="193" t="s">
        <v>13</v>
      </c>
      <c r="H670" s="120" t="s">
        <v>688</v>
      </c>
      <c r="I670" s="199">
        <v>236419104150</v>
      </c>
      <c r="J670" s="193" t="s">
        <v>2017</v>
      </c>
      <c r="K670" s="193"/>
    </row>
    <row r="671" spans="1:11" x14ac:dyDescent="0.3">
      <c r="A671" s="193">
        <f t="shared" si="11"/>
        <v>671</v>
      </c>
      <c r="B671" s="193" t="s">
        <v>2768</v>
      </c>
      <c r="C671" s="193" t="s">
        <v>2769</v>
      </c>
      <c r="D671" s="193">
        <f>15*3.517</f>
        <v>52.754999999999995</v>
      </c>
      <c r="E671" s="193"/>
      <c r="F671" s="193"/>
      <c r="G671" s="193" t="s">
        <v>13</v>
      </c>
      <c r="H671" s="120" t="s">
        <v>688</v>
      </c>
      <c r="I671" s="199">
        <v>236423100490</v>
      </c>
      <c r="J671" s="193" t="s">
        <v>2017</v>
      </c>
      <c r="K671" s="193"/>
    </row>
    <row r="672" spans="1:11" x14ac:dyDescent="0.3">
      <c r="A672" s="193">
        <f t="shared" si="11"/>
        <v>672</v>
      </c>
      <c r="B672" s="193" t="s">
        <v>2768</v>
      </c>
      <c r="C672" s="193" t="s">
        <v>2770</v>
      </c>
      <c r="D672" s="193">
        <f>20*3.517</f>
        <v>70.34</v>
      </c>
      <c r="E672" s="193"/>
      <c r="F672" s="193"/>
      <c r="G672" s="193" t="s">
        <v>13</v>
      </c>
      <c r="H672" s="120" t="s">
        <v>688</v>
      </c>
      <c r="I672" s="199">
        <v>236423100500</v>
      </c>
      <c r="J672" s="193" t="s">
        <v>2017</v>
      </c>
      <c r="K672" s="193"/>
    </row>
    <row r="673" spans="1:11" x14ac:dyDescent="0.3">
      <c r="A673" s="193">
        <f t="shared" si="11"/>
        <v>673</v>
      </c>
      <c r="B673" s="193" t="s">
        <v>2768</v>
      </c>
      <c r="C673" s="193" t="s">
        <v>2771</v>
      </c>
      <c r="D673" s="193">
        <f>25*3.517</f>
        <v>87.924999999999997</v>
      </c>
      <c r="E673" s="193"/>
      <c r="F673" s="193"/>
      <c r="G673" s="193" t="s">
        <v>13</v>
      </c>
      <c r="H673" s="120" t="s">
        <v>688</v>
      </c>
      <c r="I673" s="199">
        <v>236423100510</v>
      </c>
      <c r="J673" s="193" t="s">
        <v>2017</v>
      </c>
      <c r="K673" s="193"/>
    </row>
    <row r="674" spans="1:11" x14ac:dyDescent="0.3">
      <c r="A674" s="193">
        <f t="shared" si="11"/>
        <v>674</v>
      </c>
      <c r="B674" s="193" t="s">
        <v>2768</v>
      </c>
      <c r="C674" s="193" t="s">
        <v>2772</v>
      </c>
      <c r="D674" s="193">
        <f>30*3.517</f>
        <v>105.50999999999999</v>
      </c>
      <c r="E674" s="193"/>
      <c r="F674" s="193"/>
      <c r="G674" s="193" t="s">
        <v>13</v>
      </c>
      <c r="H674" s="120" t="s">
        <v>688</v>
      </c>
      <c r="I674" s="199">
        <v>236423100515</v>
      </c>
      <c r="J674" s="193" t="s">
        <v>2017</v>
      </c>
      <c r="K674" s="193"/>
    </row>
    <row r="675" spans="1:11" x14ac:dyDescent="0.3">
      <c r="A675" s="193">
        <f t="shared" si="11"/>
        <v>675</v>
      </c>
      <c r="B675" s="193" t="s">
        <v>2768</v>
      </c>
      <c r="C675" s="193" t="s">
        <v>2773</v>
      </c>
      <c r="D675" s="193">
        <f>40*3.517</f>
        <v>140.68</v>
      </c>
      <c r="E675" s="193"/>
      <c r="F675" s="193"/>
      <c r="G675" s="193" t="s">
        <v>13</v>
      </c>
      <c r="H675" s="120" t="s">
        <v>688</v>
      </c>
      <c r="I675" s="199">
        <v>236423100520</v>
      </c>
      <c r="J675" s="193" t="s">
        <v>2017</v>
      </c>
      <c r="K675" s="193"/>
    </row>
    <row r="676" spans="1:11" x14ac:dyDescent="0.3">
      <c r="A676" s="193">
        <f t="shared" si="11"/>
        <v>676</v>
      </c>
      <c r="B676" s="193" t="s">
        <v>2768</v>
      </c>
      <c r="C676" s="193" t="s">
        <v>2774</v>
      </c>
      <c r="D676" s="193">
        <f>50*3.517</f>
        <v>175.85</v>
      </c>
      <c r="E676" s="193"/>
      <c r="F676" s="193"/>
      <c r="G676" s="193" t="s">
        <v>13</v>
      </c>
      <c r="H676" s="120" t="s">
        <v>688</v>
      </c>
      <c r="I676" s="199">
        <v>236423100536</v>
      </c>
      <c r="J676" s="193" t="s">
        <v>2017</v>
      </c>
      <c r="K676" s="193"/>
    </row>
    <row r="677" spans="1:11" x14ac:dyDescent="0.3">
      <c r="A677" s="193">
        <f t="shared" si="11"/>
        <v>677</v>
      </c>
      <c r="B677" s="193" t="s">
        <v>2775</v>
      </c>
      <c r="C677" s="193" t="s">
        <v>2776</v>
      </c>
      <c r="D677" s="193">
        <f>2*3.517</f>
        <v>7.0339999999999998</v>
      </c>
      <c r="E677" s="193"/>
      <c r="F677" s="193"/>
      <c r="G677" s="193" t="s">
        <v>13</v>
      </c>
      <c r="H677" s="120" t="s">
        <v>688</v>
      </c>
      <c r="I677" s="199">
        <v>236423100700</v>
      </c>
      <c r="J677" s="193" t="s">
        <v>2017</v>
      </c>
      <c r="K677" s="193"/>
    </row>
    <row r="678" spans="1:11" x14ac:dyDescent="0.3">
      <c r="A678" s="193">
        <f t="shared" si="11"/>
        <v>678</v>
      </c>
      <c r="B678" s="193" t="s">
        <v>2775</v>
      </c>
      <c r="C678" s="193" t="s">
        <v>2777</v>
      </c>
      <c r="D678" s="193">
        <f>5*3.517</f>
        <v>17.585000000000001</v>
      </c>
      <c r="E678" s="193"/>
      <c r="F678" s="193"/>
      <c r="G678" s="193" t="s">
        <v>13</v>
      </c>
      <c r="H678" s="120" t="s">
        <v>688</v>
      </c>
      <c r="I678" s="199">
        <v>236423100710</v>
      </c>
      <c r="J678" s="193" t="s">
        <v>2017</v>
      </c>
      <c r="K678" s="193"/>
    </row>
    <row r="679" spans="1:11" x14ac:dyDescent="0.3">
      <c r="A679" s="193">
        <f t="shared" si="11"/>
        <v>679</v>
      </c>
      <c r="B679" s="193" t="s">
        <v>2775</v>
      </c>
      <c r="C679" s="193" t="s">
        <v>2778</v>
      </c>
      <c r="D679" s="193">
        <f>10*3.517</f>
        <v>35.17</v>
      </c>
      <c r="E679" s="193"/>
      <c r="F679" s="193"/>
      <c r="G679" s="193" t="s">
        <v>13</v>
      </c>
      <c r="H679" s="120" t="s">
        <v>688</v>
      </c>
      <c r="I679" s="199">
        <v>236423100760</v>
      </c>
      <c r="J679" s="193" t="s">
        <v>2017</v>
      </c>
      <c r="K679" s="193"/>
    </row>
    <row r="680" spans="1:11" x14ac:dyDescent="0.3">
      <c r="A680" s="193">
        <f t="shared" si="11"/>
        <v>680</v>
      </c>
      <c r="B680" s="193" t="s">
        <v>2775</v>
      </c>
      <c r="C680" s="193" t="s">
        <v>2779</v>
      </c>
      <c r="D680" s="193">
        <f>15*3.517</f>
        <v>52.754999999999995</v>
      </c>
      <c r="E680" s="193"/>
      <c r="F680" s="193"/>
      <c r="G680" s="193" t="s">
        <v>13</v>
      </c>
      <c r="H680" s="120" t="s">
        <v>688</v>
      </c>
      <c r="I680" s="199">
        <v>236423100780</v>
      </c>
      <c r="J680" s="193" t="s">
        <v>2017</v>
      </c>
      <c r="K680" s="193"/>
    </row>
    <row r="681" spans="1:11" x14ac:dyDescent="0.3">
      <c r="A681" s="193">
        <f t="shared" si="11"/>
        <v>681</v>
      </c>
      <c r="B681" s="193" t="s">
        <v>2775</v>
      </c>
      <c r="C681" s="193" t="s">
        <v>2780</v>
      </c>
      <c r="D681" s="193">
        <f>20*3.517</f>
        <v>70.34</v>
      </c>
      <c r="E681" s="193"/>
      <c r="F681" s="193"/>
      <c r="G681" s="193" t="s">
        <v>13</v>
      </c>
      <c r="H681" s="120" t="s">
        <v>688</v>
      </c>
      <c r="I681" s="199">
        <v>236423100800</v>
      </c>
      <c r="J681" s="193" t="s">
        <v>2017</v>
      </c>
      <c r="K681" s="193"/>
    </row>
    <row r="682" spans="1:11" x14ac:dyDescent="0.3">
      <c r="A682" s="193">
        <f t="shared" si="11"/>
        <v>682</v>
      </c>
      <c r="B682" s="193" t="s">
        <v>2775</v>
      </c>
      <c r="C682" s="193" t="s">
        <v>2781</v>
      </c>
      <c r="D682" s="193">
        <f>30*3.517</f>
        <v>105.50999999999999</v>
      </c>
      <c r="E682" s="193"/>
      <c r="F682" s="193"/>
      <c r="G682" s="193" t="s">
        <v>13</v>
      </c>
      <c r="H682" s="120" t="s">
        <v>688</v>
      </c>
      <c r="I682" s="199">
        <v>236423100820</v>
      </c>
      <c r="J682" s="193" t="s">
        <v>2017</v>
      </c>
      <c r="K682" s="193"/>
    </row>
    <row r="683" spans="1:11" x14ac:dyDescent="0.3">
      <c r="A683" s="193">
        <f t="shared" si="11"/>
        <v>683</v>
      </c>
      <c r="B683" s="193" t="s">
        <v>2782</v>
      </c>
      <c r="C683" s="193" t="s">
        <v>2783</v>
      </c>
      <c r="D683" s="193">
        <f>130*3.517</f>
        <v>457.21</v>
      </c>
      <c r="E683" s="193"/>
      <c r="F683" s="193"/>
      <c r="G683" s="193" t="s">
        <v>13</v>
      </c>
      <c r="H683" s="120" t="s">
        <v>688</v>
      </c>
      <c r="I683" s="199">
        <v>236426100120</v>
      </c>
      <c r="J683" s="193" t="s">
        <v>2017</v>
      </c>
      <c r="K683" s="193"/>
    </row>
    <row r="684" spans="1:11" x14ac:dyDescent="0.3">
      <c r="A684" s="193">
        <f t="shared" si="11"/>
        <v>684</v>
      </c>
      <c r="B684" s="193" t="s">
        <v>2782</v>
      </c>
      <c r="C684" s="193" t="s">
        <v>2784</v>
      </c>
      <c r="D684" s="193">
        <f>160*3.517</f>
        <v>562.72</v>
      </c>
      <c r="E684" s="193"/>
      <c r="F684" s="193"/>
      <c r="G684" s="193" t="s">
        <v>13</v>
      </c>
      <c r="H684" s="120" t="s">
        <v>688</v>
      </c>
      <c r="I684" s="199">
        <v>236426100124</v>
      </c>
      <c r="J684" s="193" t="s">
        <v>2017</v>
      </c>
      <c r="K684" s="193"/>
    </row>
    <row r="685" spans="1:11" x14ac:dyDescent="0.3">
      <c r="A685" s="193">
        <f t="shared" si="11"/>
        <v>685</v>
      </c>
      <c r="B685" s="193" t="s">
        <v>2782</v>
      </c>
      <c r="C685" s="193" t="s">
        <v>2785</v>
      </c>
      <c r="D685" s="193">
        <f>210*3.517</f>
        <v>738.56999999999994</v>
      </c>
      <c r="E685" s="193"/>
      <c r="F685" s="193"/>
      <c r="G685" s="193" t="s">
        <v>13</v>
      </c>
      <c r="H685" s="120" t="s">
        <v>688</v>
      </c>
      <c r="I685" s="199">
        <v>236426100132</v>
      </c>
      <c r="J685" s="193" t="s">
        <v>2017</v>
      </c>
      <c r="K685" s="193"/>
    </row>
    <row r="686" spans="1:11" x14ac:dyDescent="0.3">
      <c r="A686" s="193">
        <f t="shared" si="11"/>
        <v>686</v>
      </c>
      <c r="B686" s="193" t="s">
        <v>2782</v>
      </c>
      <c r="C686" s="193" t="s">
        <v>2786</v>
      </c>
      <c r="D686" s="193">
        <f>270*3.517</f>
        <v>949.58999999999992</v>
      </c>
      <c r="E686" s="193"/>
      <c r="F686" s="193"/>
      <c r="G686" s="193" t="s">
        <v>13</v>
      </c>
      <c r="H686" s="120" t="s">
        <v>688</v>
      </c>
      <c r="I686" s="199">
        <v>236426100136</v>
      </c>
      <c r="J686" s="193" t="s">
        <v>2017</v>
      </c>
      <c r="K686" s="193"/>
    </row>
    <row r="687" spans="1:11" x14ac:dyDescent="0.3">
      <c r="A687" s="193">
        <f t="shared" si="11"/>
        <v>687</v>
      </c>
      <c r="B687" s="193" t="s">
        <v>2782</v>
      </c>
      <c r="C687" s="193" t="s">
        <v>2787</v>
      </c>
      <c r="D687" s="193">
        <f>320*3.517</f>
        <v>1125.44</v>
      </c>
      <c r="E687" s="193"/>
      <c r="F687" s="193"/>
      <c r="G687" s="193" t="s">
        <v>13</v>
      </c>
      <c r="H687" s="120" t="s">
        <v>688</v>
      </c>
      <c r="I687" s="199">
        <v>236426100140</v>
      </c>
      <c r="J687" s="193" t="s">
        <v>2017</v>
      </c>
      <c r="K687" s="193"/>
    </row>
    <row r="688" spans="1:11" x14ac:dyDescent="0.3">
      <c r="A688" s="193">
        <f t="shared" si="11"/>
        <v>688</v>
      </c>
      <c r="B688" s="193" t="s">
        <v>2788</v>
      </c>
      <c r="C688" s="193" t="s">
        <v>2789</v>
      </c>
      <c r="D688" s="193">
        <f>80*3.517</f>
        <v>281.36</v>
      </c>
      <c r="E688" s="193"/>
      <c r="F688" s="193"/>
      <c r="G688" s="193" t="s">
        <v>13</v>
      </c>
      <c r="H688" s="120" t="s">
        <v>688</v>
      </c>
      <c r="I688" s="199">
        <v>236426100210</v>
      </c>
      <c r="J688" s="193" t="s">
        <v>2017</v>
      </c>
      <c r="K688" s="193"/>
    </row>
    <row r="689" spans="1:11" x14ac:dyDescent="0.3">
      <c r="A689" s="193">
        <f t="shared" si="11"/>
        <v>689</v>
      </c>
      <c r="B689" s="193" t="s">
        <v>2788</v>
      </c>
      <c r="C689" s="193" t="s">
        <v>2790</v>
      </c>
      <c r="D689" s="193">
        <f t="shared" si="10"/>
        <v>351.7</v>
      </c>
      <c r="E689" s="193"/>
      <c r="F689" s="193"/>
      <c r="G689" s="193" t="s">
        <v>13</v>
      </c>
      <c r="H689" s="120" t="s">
        <v>688</v>
      </c>
      <c r="I689" s="199">
        <v>236426100220</v>
      </c>
      <c r="J689" s="193" t="s">
        <v>2017</v>
      </c>
      <c r="K689" s="193"/>
    </row>
    <row r="690" spans="1:11" x14ac:dyDescent="0.3">
      <c r="A690" s="193">
        <f t="shared" si="11"/>
        <v>690</v>
      </c>
      <c r="B690" s="193" t="s">
        <v>2788</v>
      </c>
      <c r="C690" s="193" t="s">
        <v>2791</v>
      </c>
      <c r="D690" s="193">
        <f>150*3.517</f>
        <v>527.54999999999995</v>
      </c>
      <c r="E690" s="193"/>
      <c r="F690" s="193"/>
      <c r="G690" s="193" t="s">
        <v>13</v>
      </c>
      <c r="H690" s="120" t="s">
        <v>688</v>
      </c>
      <c r="I690" s="199">
        <v>236426100230</v>
      </c>
      <c r="J690" s="193" t="s">
        <v>2017</v>
      </c>
      <c r="K690" s="193"/>
    </row>
    <row r="691" spans="1:11" x14ac:dyDescent="0.3">
      <c r="A691" s="193">
        <f t="shared" si="11"/>
        <v>691</v>
      </c>
      <c r="B691" s="193" t="s">
        <v>2788</v>
      </c>
      <c r="C691" s="193" t="s">
        <v>2792</v>
      </c>
      <c r="D691" s="193">
        <f>200*3.517</f>
        <v>703.4</v>
      </c>
      <c r="E691" s="193"/>
      <c r="F691" s="193"/>
      <c r="G691" s="193" t="s">
        <v>13</v>
      </c>
      <c r="H691" s="120" t="s">
        <v>688</v>
      </c>
      <c r="I691" s="199">
        <v>236426100240</v>
      </c>
      <c r="J691" s="193" t="s">
        <v>2017</v>
      </c>
      <c r="K691" s="193"/>
    </row>
    <row r="692" spans="1:11" x14ac:dyDescent="0.3">
      <c r="A692" s="193">
        <f t="shared" si="11"/>
        <v>692</v>
      </c>
      <c r="B692" s="193" t="s">
        <v>2788</v>
      </c>
      <c r="C692" s="193" t="s">
        <v>2793</v>
      </c>
      <c r="D692" s="193">
        <f>250*3.517</f>
        <v>879.25</v>
      </c>
      <c r="E692" s="193"/>
      <c r="F692" s="193"/>
      <c r="G692" s="193" t="s">
        <v>13</v>
      </c>
      <c r="H692" s="120" t="s">
        <v>688</v>
      </c>
      <c r="I692" s="199">
        <v>236426100250</v>
      </c>
      <c r="J692" s="193" t="s">
        <v>2017</v>
      </c>
      <c r="K692" s="193"/>
    </row>
    <row r="693" spans="1:11" x14ac:dyDescent="0.3">
      <c r="A693" s="193">
        <f t="shared" si="11"/>
        <v>693</v>
      </c>
      <c r="B693" s="193" t="s">
        <v>2788</v>
      </c>
      <c r="C693" s="193" t="s">
        <v>2794</v>
      </c>
      <c r="D693" s="193">
        <f>300*3.517</f>
        <v>1055.0999999999999</v>
      </c>
      <c r="E693" s="193"/>
      <c r="F693" s="193"/>
      <c r="G693" s="193" t="s">
        <v>13</v>
      </c>
      <c r="H693" s="120" t="s">
        <v>688</v>
      </c>
      <c r="I693" s="199">
        <v>236426100260</v>
      </c>
      <c r="J693" s="193" t="s">
        <v>2017</v>
      </c>
      <c r="K693" s="193"/>
    </row>
    <row r="694" spans="1:11" x14ac:dyDescent="0.3">
      <c r="A694" s="193">
        <f t="shared" si="11"/>
        <v>694</v>
      </c>
      <c r="B694" s="193" t="s">
        <v>2788</v>
      </c>
      <c r="C694" s="193" t="s">
        <v>2795</v>
      </c>
      <c r="D694" s="193">
        <f>350*3.517</f>
        <v>1230.95</v>
      </c>
      <c r="E694" s="193"/>
      <c r="F694" s="193"/>
      <c r="G694" s="193" t="s">
        <v>13</v>
      </c>
      <c r="H694" s="120" t="s">
        <v>688</v>
      </c>
      <c r="I694" s="199">
        <v>236426100270</v>
      </c>
      <c r="J694" s="193" t="s">
        <v>2017</v>
      </c>
      <c r="K694" s="193"/>
    </row>
    <row r="695" spans="1:11" x14ac:dyDescent="0.3">
      <c r="A695" s="193">
        <f t="shared" si="11"/>
        <v>695</v>
      </c>
      <c r="B695" s="193" t="s">
        <v>2796</v>
      </c>
      <c r="C695" s="193" t="s">
        <v>2797</v>
      </c>
      <c r="D695" s="193">
        <f>1*3.517</f>
        <v>3.5169999999999999</v>
      </c>
      <c r="E695" s="193"/>
      <c r="F695" s="193"/>
      <c r="G695" s="193" t="s">
        <v>13</v>
      </c>
      <c r="H695" s="120" t="s">
        <v>688</v>
      </c>
      <c r="I695" s="199">
        <v>236433108020</v>
      </c>
      <c r="J695" s="193" t="s">
        <v>2017</v>
      </c>
      <c r="K695" s="193"/>
    </row>
    <row r="696" spans="1:11" x14ac:dyDescent="0.3">
      <c r="A696" s="193">
        <f t="shared" si="11"/>
        <v>696</v>
      </c>
      <c r="B696" s="193" t="s">
        <v>2796</v>
      </c>
      <c r="C696" s="193" t="s">
        <v>2798</v>
      </c>
      <c r="D696" s="193">
        <f>5*3.517</f>
        <v>17.585000000000001</v>
      </c>
      <c r="E696" s="193"/>
      <c r="F696" s="193"/>
      <c r="G696" s="193" t="s">
        <v>13</v>
      </c>
      <c r="H696" s="120" t="s">
        <v>688</v>
      </c>
      <c r="I696" s="199">
        <v>236433108030</v>
      </c>
      <c r="J696" s="193" t="s">
        <v>2017</v>
      </c>
      <c r="K696" s="193"/>
    </row>
    <row r="697" spans="1:11" x14ac:dyDescent="0.3">
      <c r="A697" s="193">
        <f t="shared" si="11"/>
        <v>697</v>
      </c>
      <c r="B697" s="193" t="s">
        <v>2796</v>
      </c>
      <c r="C697" s="193" t="s">
        <v>2799</v>
      </c>
      <c r="D697" s="193">
        <f>10*3.517</f>
        <v>35.17</v>
      </c>
      <c r="E697" s="193"/>
      <c r="F697" s="193"/>
      <c r="G697" s="193" t="s">
        <v>13</v>
      </c>
      <c r="H697" s="120" t="s">
        <v>688</v>
      </c>
      <c r="I697" s="199">
        <v>236433108040</v>
      </c>
      <c r="J697" s="193" t="s">
        <v>2017</v>
      </c>
      <c r="K697" s="193"/>
    </row>
    <row r="698" spans="1:11" x14ac:dyDescent="0.3">
      <c r="A698" s="193">
        <f t="shared" si="11"/>
        <v>698</v>
      </c>
      <c r="B698" s="193" t="s">
        <v>2796</v>
      </c>
      <c r="C698" s="193" t="s">
        <v>2800</v>
      </c>
      <c r="D698" s="193">
        <f>20*3.517</f>
        <v>70.34</v>
      </c>
      <c r="E698" s="193"/>
      <c r="F698" s="193"/>
      <c r="G698" s="193" t="s">
        <v>13</v>
      </c>
      <c r="H698" s="120" t="s">
        <v>688</v>
      </c>
      <c r="I698" s="199">
        <v>236433108050</v>
      </c>
      <c r="J698" s="193" t="s">
        <v>2017</v>
      </c>
      <c r="K698" s="193"/>
    </row>
    <row r="699" spans="1:11" x14ac:dyDescent="0.3">
      <c r="A699" s="193">
        <f t="shared" si="11"/>
        <v>699</v>
      </c>
      <c r="B699" s="193" t="s">
        <v>2796</v>
      </c>
      <c r="C699" s="193" t="s">
        <v>2801</v>
      </c>
      <c r="D699" s="193">
        <f>30*3.517</f>
        <v>105.50999999999999</v>
      </c>
      <c r="E699" s="193"/>
      <c r="F699" s="193"/>
      <c r="G699" s="193" t="s">
        <v>13</v>
      </c>
      <c r="H699" s="120" t="s">
        <v>688</v>
      </c>
      <c r="I699" s="199">
        <v>236433108060</v>
      </c>
      <c r="J699" s="193" t="s">
        <v>2017</v>
      </c>
      <c r="K699" s="193"/>
    </row>
    <row r="700" spans="1:11" x14ac:dyDescent="0.3">
      <c r="A700" s="193">
        <f t="shared" si="11"/>
        <v>700</v>
      </c>
      <c r="B700" s="193" t="s">
        <v>2796</v>
      </c>
      <c r="C700" s="193" t="s">
        <v>2802</v>
      </c>
      <c r="D700" s="193">
        <f>50*3.517</f>
        <v>175.85</v>
      </c>
      <c r="E700" s="193"/>
      <c r="F700" s="193"/>
      <c r="G700" s="193" t="s">
        <v>13</v>
      </c>
      <c r="H700" s="120" t="s">
        <v>688</v>
      </c>
      <c r="I700" s="199">
        <v>236433108070</v>
      </c>
      <c r="J700" s="193" t="s">
        <v>2017</v>
      </c>
      <c r="K700" s="193"/>
    </row>
    <row r="701" spans="1:11" x14ac:dyDescent="0.3">
      <c r="A701" s="193">
        <f t="shared" si="11"/>
        <v>701</v>
      </c>
      <c r="B701" s="193" t="s">
        <v>2796</v>
      </c>
      <c r="C701" s="193" t="s">
        <v>2803</v>
      </c>
      <c r="D701" s="193">
        <f t="shared" ref="D701:D705" si="12">100*3.517</f>
        <v>351.7</v>
      </c>
      <c r="E701" s="193"/>
      <c r="F701" s="193"/>
      <c r="G701" s="193" t="s">
        <v>13</v>
      </c>
      <c r="H701" s="120" t="s">
        <v>688</v>
      </c>
      <c r="I701" s="199">
        <v>236433108080</v>
      </c>
      <c r="J701" s="193" t="s">
        <v>2017</v>
      </c>
      <c r="K701" s="193"/>
    </row>
    <row r="702" spans="1:11" x14ac:dyDescent="0.3">
      <c r="A702" s="193">
        <f t="shared" si="11"/>
        <v>702</v>
      </c>
      <c r="B702" s="193" t="s">
        <v>2804</v>
      </c>
      <c r="C702" s="193" t="s">
        <v>2805</v>
      </c>
      <c r="D702" s="193">
        <f>61*3.517</f>
        <v>214.53700000000001</v>
      </c>
      <c r="E702" s="193"/>
      <c r="F702" s="193"/>
      <c r="G702" s="193" t="s">
        <v>13</v>
      </c>
      <c r="H702" s="120" t="s">
        <v>688</v>
      </c>
      <c r="I702" s="199">
        <v>236513100100</v>
      </c>
      <c r="J702" s="193" t="s">
        <v>2017</v>
      </c>
      <c r="K702" s="193"/>
    </row>
    <row r="703" spans="1:11" x14ac:dyDescent="0.3">
      <c r="A703" s="193">
        <f t="shared" si="11"/>
        <v>703</v>
      </c>
      <c r="B703" s="193" t="s">
        <v>2804</v>
      </c>
      <c r="C703" s="193" t="s">
        <v>2806</v>
      </c>
      <c r="D703" s="193">
        <f>50*3.517</f>
        <v>175.85</v>
      </c>
      <c r="E703" s="193"/>
      <c r="F703" s="193"/>
      <c r="G703" s="193" t="s">
        <v>13</v>
      </c>
      <c r="H703" s="120" t="s">
        <v>688</v>
      </c>
      <c r="I703" s="199">
        <v>236513102510</v>
      </c>
      <c r="J703" s="193" t="s">
        <v>2017</v>
      </c>
      <c r="K703" s="193"/>
    </row>
    <row r="704" spans="1:11" x14ac:dyDescent="0.3">
      <c r="A704" s="193">
        <f t="shared" si="11"/>
        <v>704</v>
      </c>
      <c r="B704" s="193" t="s">
        <v>2804</v>
      </c>
      <c r="C704" s="193" t="s">
        <v>2807</v>
      </c>
      <c r="D704" s="193">
        <f>75*3.517</f>
        <v>263.77499999999998</v>
      </c>
      <c r="E704" s="193"/>
      <c r="F704" s="193"/>
      <c r="G704" s="193" t="s">
        <v>13</v>
      </c>
      <c r="H704" s="120" t="s">
        <v>688</v>
      </c>
      <c r="I704" s="199">
        <v>236513102520</v>
      </c>
      <c r="J704" s="193" t="s">
        <v>2017</v>
      </c>
      <c r="K704" s="193"/>
    </row>
    <row r="705" spans="1:11" x14ac:dyDescent="0.3">
      <c r="A705" s="193">
        <f t="shared" ref="A705:A767" si="13">A704+1</f>
        <v>705</v>
      </c>
      <c r="B705" s="193" t="s">
        <v>2804</v>
      </c>
      <c r="C705" s="193" t="s">
        <v>2808</v>
      </c>
      <c r="D705" s="193">
        <f t="shared" si="12"/>
        <v>351.7</v>
      </c>
      <c r="E705" s="193"/>
      <c r="F705" s="193"/>
      <c r="G705" s="193" t="s">
        <v>13</v>
      </c>
      <c r="H705" s="120" t="s">
        <v>688</v>
      </c>
      <c r="I705" s="199">
        <v>236513102524</v>
      </c>
      <c r="J705" s="193" t="s">
        <v>2017</v>
      </c>
      <c r="K705" s="193"/>
    </row>
    <row r="706" spans="1:11" x14ac:dyDescent="0.3">
      <c r="A706" s="193">
        <f t="shared" si="13"/>
        <v>706</v>
      </c>
      <c r="B706" s="193" t="s">
        <v>2804</v>
      </c>
      <c r="C706" s="193" t="s">
        <v>2809</v>
      </c>
      <c r="D706" s="193">
        <f>125*3.517</f>
        <v>439.625</v>
      </c>
      <c r="E706" s="193"/>
      <c r="F706" s="193"/>
      <c r="G706" s="193" t="s">
        <v>13</v>
      </c>
      <c r="H706" s="120" t="s">
        <v>688</v>
      </c>
      <c r="I706" s="199">
        <v>236513102528</v>
      </c>
      <c r="J706" s="193" t="s">
        <v>2017</v>
      </c>
      <c r="K706" s="193"/>
    </row>
    <row r="707" spans="1:11" x14ac:dyDescent="0.3">
      <c r="A707" s="193">
        <f t="shared" si="13"/>
        <v>707</v>
      </c>
      <c r="B707" s="193" t="s">
        <v>2804</v>
      </c>
      <c r="C707" s="193" t="s">
        <v>2810</v>
      </c>
      <c r="D707" s="193">
        <f>200*3.517</f>
        <v>703.4</v>
      </c>
      <c r="E707" s="193"/>
      <c r="F707" s="193"/>
      <c r="G707" s="193" t="s">
        <v>13</v>
      </c>
      <c r="H707" s="120" t="s">
        <v>688</v>
      </c>
      <c r="I707" s="199">
        <v>236513102532</v>
      </c>
      <c r="J707" s="193" t="s">
        <v>2017</v>
      </c>
      <c r="K707" s="193"/>
    </row>
    <row r="708" spans="1:11" x14ac:dyDescent="0.3">
      <c r="A708" s="193">
        <f t="shared" si="13"/>
        <v>708</v>
      </c>
      <c r="B708" s="193" t="s">
        <v>2804</v>
      </c>
      <c r="C708" s="193" t="s">
        <v>2811</v>
      </c>
      <c r="D708" s="193">
        <f>250*3.517</f>
        <v>879.25</v>
      </c>
      <c r="E708" s="193"/>
      <c r="F708" s="193"/>
      <c r="G708" s="193" t="s">
        <v>13</v>
      </c>
      <c r="H708" s="120" t="s">
        <v>688</v>
      </c>
      <c r="I708" s="199">
        <v>236513102536</v>
      </c>
      <c r="J708" s="193" t="s">
        <v>2017</v>
      </c>
      <c r="K708" s="193"/>
    </row>
    <row r="709" spans="1:11" x14ac:dyDescent="0.3">
      <c r="A709" s="193">
        <f t="shared" si="13"/>
        <v>709</v>
      </c>
      <c r="B709" s="193" t="s">
        <v>2804</v>
      </c>
      <c r="C709" s="193" t="s">
        <v>2812</v>
      </c>
      <c r="D709" s="193">
        <f>300*3.517</f>
        <v>1055.0999999999999</v>
      </c>
      <c r="E709" s="193"/>
      <c r="F709" s="193"/>
      <c r="G709" s="193" t="s">
        <v>13</v>
      </c>
      <c r="H709" s="120" t="s">
        <v>688</v>
      </c>
      <c r="I709" s="199">
        <v>236513102540</v>
      </c>
      <c r="J709" s="193" t="s">
        <v>2017</v>
      </c>
      <c r="K709" s="193"/>
    </row>
    <row r="710" spans="1:11" x14ac:dyDescent="0.3">
      <c r="A710" s="193">
        <f t="shared" si="13"/>
        <v>710</v>
      </c>
      <c r="B710" s="193" t="s">
        <v>2804</v>
      </c>
      <c r="C710" s="193" t="s">
        <v>2813</v>
      </c>
      <c r="D710" s="193">
        <f>350*3.517</f>
        <v>1230.95</v>
      </c>
      <c r="E710" s="193"/>
      <c r="F710" s="193"/>
      <c r="G710" s="193" t="s">
        <v>13</v>
      </c>
      <c r="H710" s="120" t="s">
        <v>688</v>
      </c>
      <c r="I710" s="199">
        <v>236513102544</v>
      </c>
      <c r="J710" s="193" t="s">
        <v>2017</v>
      </c>
      <c r="K710" s="193"/>
    </row>
    <row r="711" spans="1:11" x14ac:dyDescent="0.3">
      <c r="A711" s="193">
        <f t="shared" si="13"/>
        <v>711</v>
      </c>
      <c r="B711" s="193" t="s">
        <v>2804</v>
      </c>
      <c r="C711" s="193" t="s">
        <v>2814</v>
      </c>
      <c r="D711" s="193">
        <f>400*3.517</f>
        <v>1406.8</v>
      </c>
      <c r="E711" s="193"/>
      <c r="F711" s="193"/>
      <c r="G711" s="193" t="s">
        <v>13</v>
      </c>
      <c r="H711" s="120" t="s">
        <v>688</v>
      </c>
      <c r="I711" s="199">
        <v>236513102548</v>
      </c>
      <c r="J711" s="193" t="s">
        <v>2017</v>
      </c>
      <c r="K711" s="193"/>
    </row>
    <row r="712" spans="1:11" x14ac:dyDescent="0.3">
      <c r="A712" s="193">
        <f t="shared" si="13"/>
        <v>712</v>
      </c>
      <c r="B712" s="193" t="s">
        <v>2804</v>
      </c>
      <c r="C712" s="193" t="s">
        <v>2815</v>
      </c>
      <c r="D712" s="193">
        <f>450*3.517</f>
        <v>1582.6499999999999</v>
      </c>
      <c r="E712" s="193"/>
      <c r="F712" s="193"/>
      <c r="G712" s="193" t="s">
        <v>13</v>
      </c>
      <c r="H712" s="120" t="s">
        <v>688</v>
      </c>
      <c r="I712" s="199">
        <v>236513102552</v>
      </c>
      <c r="J712" s="193" t="s">
        <v>2017</v>
      </c>
      <c r="K712" s="193"/>
    </row>
    <row r="713" spans="1:11" x14ac:dyDescent="0.3">
      <c r="A713" s="193">
        <f t="shared" si="13"/>
        <v>713</v>
      </c>
      <c r="B713" s="193" t="s">
        <v>2804</v>
      </c>
      <c r="C713" s="193" t="s">
        <v>2816</v>
      </c>
      <c r="D713" s="193">
        <f>500*3.517</f>
        <v>1758.5</v>
      </c>
      <c r="E713" s="193"/>
      <c r="F713" s="193"/>
      <c r="G713" s="193" t="s">
        <v>13</v>
      </c>
      <c r="H713" s="120" t="s">
        <v>688</v>
      </c>
      <c r="I713" s="199">
        <v>236513102556</v>
      </c>
      <c r="J713" s="193" t="s">
        <v>2017</v>
      </c>
      <c r="K713" s="193"/>
    </row>
    <row r="714" spans="1:11" x14ac:dyDescent="0.3">
      <c r="A714" s="193">
        <f t="shared" si="13"/>
        <v>714</v>
      </c>
      <c r="B714" s="193" t="s">
        <v>2804</v>
      </c>
      <c r="C714" s="193" t="s">
        <v>2817</v>
      </c>
      <c r="D714" s="193">
        <f>600*3.517</f>
        <v>2110.1999999999998</v>
      </c>
      <c r="E714" s="193"/>
      <c r="F714" s="193"/>
      <c r="G714" s="193" t="s">
        <v>13</v>
      </c>
      <c r="H714" s="120" t="s">
        <v>688</v>
      </c>
      <c r="I714" s="199">
        <v>236513102564</v>
      </c>
      <c r="J714" s="193" t="s">
        <v>2017</v>
      </c>
      <c r="K714" s="193"/>
    </row>
    <row r="715" spans="1:11" x14ac:dyDescent="0.3">
      <c r="A715" s="193">
        <f t="shared" si="13"/>
        <v>715</v>
      </c>
      <c r="B715" s="193" t="s">
        <v>2804</v>
      </c>
      <c r="C715" s="193" t="s">
        <v>2818</v>
      </c>
      <c r="D715" s="193">
        <f>700*3.517</f>
        <v>2461.9</v>
      </c>
      <c r="E715" s="193"/>
      <c r="F715" s="193"/>
      <c r="G715" s="193" t="s">
        <v>13</v>
      </c>
      <c r="H715" s="120" t="s">
        <v>688</v>
      </c>
      <c r="I715" s="199">
        <v>236513102572</v>
      </c>
      <c r="J715" s="193" t="s">
        <v>2017</v>
      </c>
      <c r="K715" s="193"/>
    </row>
    <row r="716" spans="1:11" x14ac:dyDescent="0.3">
      <c r="A716" s="193">
        <f t="shared" si="13"/>
        <v>716</v>
      </c>
      <c r="B716" s="193" t="s">
        <v>2804</v>
      </c>
      <c r="C716" s="193" t="s">
        <v>2819</v>
      </c>
      <c r="D716" s="193">
        <f>800*3.517</f>
        <v>2813.6</v>
      </c>
      <c r="E716" s="193"/>
      <c r="F716" s="193"/>
      <c r="G716" s="193" t="s">
        <v>13</v>
      </c>
      <c r="H716" s="120" t="s">
        <v>688</v>
      </c>
      <c r="I716" s="199">
        <v>236513102580</v>
      </c>
      <c r="J716" s="193" t="s">
        <v>2017</v>
      </c>
      <c r="K716" s="193"/>
    </row>
    <row r="717" spans="1:11" x14ac:dyDescent="0.3">
      <c r="A717" s="193">
        <f t="shared" si="13"/>
        <v>717</v>
      </c>
      <c r="B717" s="193" t="s">
        <v>2804</v>
      </c>
      <c r="C717" s="193" t="s">
        <v>2820</v>
      </c>
      <c r="D717" s="193">
        <f>900*3.517</f>
        <v>3165.2999999999997</v>
      </c>
      <c r="E717" s="193"/>
      <c r="F717" s="193"/>
      <c r="G717" s="193" t="s">
        <v>13</v>
      </c>
      <c r="H717" s="120" t="s">
        <v>688</v>
      </c>
      <c r="I717" s="199">
        <v>236513102588</v>
      </c>
      <c r="J717" s="193" t="s">
        <v>2017</v>
      </c>
      <c r="K717" s="193"/>
    </row>
    <row r="718" spans="1:11" x14ac:dyDescent="0.3">
      <c r="A718" s="193">
        <f t="shared" si="13"/>
        <v>718</v>
      </c>
      <c r="B718" s="193" t="s">
        <v>2804</v>
      </c>
      <c r="C718" s="193" t="s">
        <v>2821</v>
      </c>
      <c r="D718" s="193">
        <f>1000*3.517</f>
        <v>3517</v>
      </c>
      <c r="E718" s="193"/>
      <c r="F718" s="193"/>
      <c r="G718" s="193" t="s">
        <v>13</v>
      </c>
      <c r="H718" s="120" t="s">
        <v>688</v>
      </c>
      <c r="I718" s="199">
        <v>236513102596</v>
      </c>
      <c r="J718" s="193" t="s">
        <v>2017</v>
      </c>
      <c r="K718" s="193"/>
    </row>
    <row r="719" spans="1:11" x14ac:dyDescent="0.3">
      <c r="A719" s="193">
        <f t="shared" si="13"/>
        <v>719</v>
      </c>
      <c r="B719" s="193" t="s">
        <v>2822</v>
      </c>
      <c r="C719" s="193" t="s">
        <v>2823</v>
      </c>
      <c r="D719" s="193"/>
      <c r="E719" s="193"/>
      <c r="F719" s="193"/>
      <c r="G719" s="193" t="s">
        <v>13</v>
      </c>
      <c r="H719" s="120" t="s">
        <v>688</v>
      </c>
      <c r="I719" s="199">
        <v>236513103500</v>
      </c>
      <c r="J719" s="193" t="s">
        <v>2017</v>
      </c>
      <c r="K719" s="193"/>
    </row>
    <row r="720" spans="1:11" x14ac:dyDescent="0.3">
      <c r="A720" s="193">
        <f t="shared" si="13"/>
        <v>720</v>
      </c>
      <c r="B720" s="193" t="s">
        <v>2824</v>
      </c>
      <c r="C720" s="193" t="s">
        <v>2825</v>
      </c>
      <c r="D720" s="193"/>
      <c r="E720" s="193"/>
      <c r="F720" s="193"/>
      <c r="G720" s="193" t="s">
        <v>13</v>
      </c>
      <c r="H720" s="120" t="s">
        <v>688</v>
      </c>
      <c r="I720" s="199">
        <v>236513104100</v>
      </c>
      <c r="J720" s="193" t="s">
        <v>2017</v>
      </c>
      <c r="K720" s="193"/>
    </row>
    <row r="721" spans="1:11" x14ac:dyDescent="0.3">
      <c r="A721" s="193">
        <f t="shared" si="13"/>
        <v>721</v>
      </c>
      <c r="B721" s="193" t="s">
        <v>2826</v>
      </c>
      <c r="C721" s="193" t="s">
        <v>2827</v>
      </c>
      <c r="D721" s="193">
        <f>50*3.517</f>
        <v>175.85</v>
      </c>
      <c r="E721" s="193"/>
      <c r="F721" s="193"/>
      <c r="G721" s="193" t="s">
        <v>13</v>
      </c>
      <c r="H721" s="120" t="s">
        <v>688</v>
      </c>
      <c r="I721" s="199">
        <v>236533100100</v>
      </c>
      <c r="J721" s="193" t="s">
        <v>2017</v>
      </c>
      <c r="K721" s="193"/>
    </row>
    <row r="722" spans="1:11" x14ac:dyDescent="0.3">
      <c r="A722" s="193">
        <f t="shared" si="13"/>
        <v>722</v>
      </c>
      <c r="B722" s="193" t="s">
        <v>2826</v>
      </c>
      <c r="C722" s="193" t="s">
        <v>2828</v>
      </c>
      <c r="D722" s="193">
        <f>100*3.517</f>
        <v>351.7</v>
      </c>
      <c r="E722" s="193"/>
      <c r="F722" s="193"/>
      <c r="G722" s="193" t="s">
        <v>13</v>
      </c>
      <c r="H722" s="120" t="s">
        <v>688</v>
      </c>
      <c r="I722" s="199">
        <v>236533100150</v>
      </c>
      <c r="J722" s="193" t="s">
        <v>2017</v>
      </c>
      <c r="K722" s="193"/>
    </row>
    <row r="723" spans="1:11" x14ac:dyDescent="0.3">
      <c r="A723" s="193">
        <f t="shared" si="13"/>
        <v>723</v>
      </c>
      <c r="B723" s="193" t="s">
        <v>2826</v>
      </c>
      <c r="C723" s="193" t="s">
        <v>2829</v>
      </c>
      <c r="D723" s="193">
        <f>150*3.517</f>
        <v>527.54999999999995</v>
      </c>
      <c r="E723" s="193"/>
      <c r="F723" s="193"/>
      <c r="G723" s="193" t="s">
        <v>13</v>
      </c>
      <c r="H723" s="120" t="s">
        <v>688</v>
      </c>
      <c r="I723" s="199">
        <v>236533100200</v>
      </c>
      <c r="J723" s="193" t="s">
        <v>2017</v>
      </c>
      <c r="K723" s="193"/>
    </row>
    <row r="724" spans="1:11" x14ac:dyDescent="0.3">
      <c r="A724" s="193">
        <f t="shared" si="13"/>
        <v>724</v>
      </c>
      <c r="B724" s="193" t="s">
        <v>2826</v>
      </c>
      <c r="C724" s="193" t="s">
        <v>2830</v>
      </c>
      <c r="D724" s="193">
        <f>200*3.517</f>
        <v>703.4</v>
      </c>
      <c r="E724" s="193"/>
      <c r="F724" s="193"/>
      <c r="G724" s="193" t="s">
        <v>13</v>
      </c>
      <c r="H724" s="120" t="s">
        <v>688</v>
      </c>
      <c r="I724" s="199">
        <v>236533100250</v>
      </c>
      <c r="J724" s="193" t="s">
        <v>2017</v>
      </c>
      <c r="K724" s="193"/>
    </row>
    <row r="725" spans="1:11" x14ac:dyDescent="0.3">
      <c r="A725" s="193">
        <f t="shared" si="13"/>
        <v>725</v>
      </c>
      <c r="B725" s="193" t="s">
        <v>2826</v>
      </c>
      <c r="C725" s="193" t="s">
        <v>2831</v>
      </c>
      <c r="D725" s="193">
        <f>250*3.517</f>
        <v>879.25</v>
      </c>
      <c r="E725" s="193"/>
      <c r="F725" s="193"/>
      <c r="G725" s="193" t="s">
        <v>13</v>
      </c>
      <c r="H725" s="120" t="s">
        <v>688</v>
      </c>
      <c r="I725" s="199">
        <v>236533100300</v>
      </c>
      <c r="J725" s="193" t="s">
        <v>2017</v>
      </c>
      <c r="K725" s="193"/>
    </row>
    <row r="726" spans="1:11" x14ac:dyDescent="0.3">
      <c r="A726" s="193">
        <f t="shared" si="13"/>
        <v>726</v>
      </c>
      <c r="B726" s="193" t="s">
        <v>2832</v>
      </c>
      <c r="C726" s="193" t="s">
        <v>2833</v>
      </c>
      <c r="D726" s="193">
        <f>0.5*3.517</f>
        <v>1.7585</v>
      </c>
      <c r="E726" s="193"/>
      <c r="F726" s="193"/>
      <c r="G726" s="193" t="s">
        <v>13</v>
      </c>
      <c r="H726" s="120" t="s">
        <v>688</v>
      </c>
      <c r="I726" s="199">
        <v>238143101502</v>
      </c>
      <c r="J726" s="193" t="s">
        <v>2017</v>
      </c>
      <c r="K726" s="193"/>
    </row>
    <row r="727" spans="1:11" x14ac:dyDescent="0.3">
      <c r="A727" s="193">
        <f t="shared" si="13"/>
        <v>727</v>
      </c>
      <c r="B727" s="193" t="s">
        <v>2832</v>
      </c>
      <c r="C727" s="193" t="s">
        <v>2834</v>
      </c>
      <c r="D727" s="193">
        <f>0.75*3.517</f>
        <v>2.63775</v>
      </c>
      <c r="E727" s="193"/>
      <c r="F727" s="193"/>
      <c r="G727" s="193" t="s">
        <v>13</v>
      </c>
      <c r="H727" s="120" t="s">
        <v>688</v>
      </c>
      <c r="I727" s="199">
        <v>238143101504</v>
      </c>
      <c r="J727" s="193" t="s">
        <v>2017</v>
      </c>
      <c r="K727" s="193"/>
    </row>
    <row r="728" spans="1:11" x14ac:dyDescent="0.3">
      <c r="A728" s="193">
        <f t="shared" si="13"/>
        <v>728</v>
      </c>
      <c r="B728" s="193" t="s">
        <v>2832</v>
      </c>
      <c r="C728" s="193" t="s">
        <v>2835</v>
      </c>
      <c r="D728" s="193">
        <f>1*3.517</f>
        <v>3.5169999999999999</v>
      </c>
      <c r="E728" s="193"/>
      <c r="F728" s="193"/>
      <c r="G728" s="193" t="s">
        <v>13</v>
      </c>
      <c r="H728" s="120" t="s">
        <v>688</v>
      </c>
      <c r="I728" s="199">
        <v>238143101506</v>
      </c>
      <c r="J728" s="193" t="s">
        <v>2017</v>
      </c>
      <c r="K728" s="193"/>
    </row>
    <row r="729" spans="1:11" x14ac:dyDescent="0.3">
      <c r="A729" s="193">
        <f t="shared" si="13"/>
        <v>729</v>
      </c>
      <c r="B729" s="193" t="s">
        <v>2832</v>
      </c>
      <c r="C729" s="193" t="s">
        <v>2836</v>
      </c>
      <c r="D729" s="193">
        <f>1.5*3.517</f>
        <v>5.2755000000000001</v>
      </c>
      <c r="E729" s="193"/>
      <c r="F729" s="193"/>
      <c r="G729" s="193" t="s">
        <v>13</v>
      </c>
      <c r="H729" s="120" t="s">
        <v>688</v>
      </c>
      <c r="I729" s="199">
        <v>238143101510</v>
      </c>
      <c r="J729" s="193" t="s">
        <v>2017</v>
      </c>
      <c r="K729" s="193"/>
    </row>
    <row r="730" spans="1:11" x14ac:dyDescent="0.3">
      <c r="A730" s="193">
        <f t="shared" si="13"/>
        <v>730</v>
      </c>
      <c r="B730" s="193" t="s">
        <v>2832</v>
      </c>
      <c r="C730" s="193" t="s">
        <v>2837</v>
      </c>
      <c r="D730" s="193">
        <f>2*3.517</f>
        <v>7.0339999999999998</v>
      </c>
      <c r="E730" s="193"/>
      <c r="F730" s="193"/>
      <c r="G730" s="193" t="s">
        <v>13</v>
      </c>
      <c r="H730" s="120" t="s">
        <v>688</v>
      </c>
      <c r="I730" s="199">
        <v>238143101520</v>
      </c>
      <c r="J730" s="193" t="s">
        <v>2017</v>
      </c>
      <c r="K730" s="193"/>
    </row>
    <row r="731" spans="1:11" x14ac:dyDescent="0.3">
      <c r="A731" s="193">
        <f t="shared" si="13"/>
        <v>731</v>
      </c>
      <c r="B731" s="193" t="s">
        <v>2832</v>
      </c>
      <c r="C731" s="193" t="s">
        <v>2838</v>
      </c>
      <c r="D731" s="193">
        <f>2.5*3.517</f>
        <v>8.7925000000000004</v>
      </c>
      <c r="E731" s="193"/>
      <c r="F731" s="193"/>
      <c r="G731" s="193" t="s">
        <v>13</v>
      </c>
      <c r="H731" s="120" t="s">
        <v>688</v>
      </c>
      <c r="I731" s="199">
        <v>238143101540</v>
      </c>
      <c r="J731" s="193" t="s">
        <v>2017</v>
      </c>
      <c r="K731" s="193"/>
    </row>
    <row r="732" spans="1:11" x14ac:dyDescent="0.3">
      <c r="A732" s="193">
        <f t="shared" si="13"/>
        <v>732</v>
      </c>
      <c r="B732" s="193" t="s">
        <v>2832</v>
      </c>
      <c r="C732" s="193" t="s">
        <v>2839</v>
      </c>
      <c r="D732" s="193">
        <f>3*3.517</f>
        <v>10.551</v>
      </c>
      <c r="E732" s="193"/>
      <c r="F732" s="193"/>
      <c r="G732" s="193" t="s">
        <v>13</v>
      </c>
      <c r="H732" s="120" t="s">
        <v>688</v>
      </c>
      <c r="I732" s="199">
        <v>238143101560</v>
      </c>
      <c r="J732" s="193" t="s">
        <v>2017</v>
      </c>
      <c r="K732" s="193"/>
    </row>
    <row r="733" spans="1:11" x14ac:dyDescent="0.3">
      <c r="A733" s="193">
        <f t="shared" si="13"/>
        <v>733</v>
      </c>
      <c r="B733" s="193" t="s">
        <v>2832</v>
      </c>
      <c r="C733" s="193" t="s">
        <v>2840</v>
      </c>
      <c r="D733" s="193">
        <f>3.5*3.517</f>
        <v>12.3095</v>
      </c>
      <c r="E733" s="193"/>
      <c r="F733" s="193"/>
      <c r="G733" s="193" t="s">
        <v>13</v>
      </c>
      <c r="H733" s="120" t="s">
        <v>688</v>
      </c>
      <c r="I733" s="199">
        <v>238143101570</v>
      </c>
      <c r="J733" s="193" t="s">
        <v>2017</v>
      </c>
      <c r="K733" s="193"/>
    </row>
    <row r="734" spans="1:11" x14ac:dyDescent="0.3">
      <c r="A734" s="193">
        <f t="shared" si="13"/>
        <v>734</v>
      </c>
      <c r="B734" s="193" t="s">
        <v>2832</v>
      </c>
      <c r="C734" s="193" t="s">
        <v>2841</v>
      </c>
      <c r="D734" s="193">
        <f>4*3.517</f>
        <v>14.068</v>
      </c>
      <c r="E734" s="193"/>
      <c r="F734" s="193"/>
      <c r="G734" s="193" t="s">
        <v>13</v>
      </c>
      <c r="H734" s="120" t="s">
        <v>688</v>
      </c>
      <c r="I734" s="199">
        <v>238143101580</v>
      </c>
      <c r="J734" s="193" t="s">
        <v>2017</v>
      </c>
      <c r="K734" s="193"/>
    </row>
    <row r="735" spans="1:11" x14ac:dyDescent="0.3">
      <c r="A735" s="193">
        <f t="shared" si="13"/>
        <v>735</v>
      </c>
      <c r="B735" s="193" t="s">
        <v>2832</v>
      </c>
      <c r="C735" s="193" t="s">
        <v>2842</v>
      </c>
      <c r="D735" s="193">
        <f>5*3.517</f>
        <v>17.585000000000001</v>
      </c>
      <c r="E735" s="193"/>
      <c r="F735" s="193"/>
      <c r="G735" s="193" t="s">
        <v>13</v>
      </c>
      <c r="H735" s="120" t="s">
        <v>688</v>
      </c>
      <c r="I735" s="199">
        <v>238143101620</v>
      </c>
      <c r="J735" s="193" t="s">
        <v>2017</v>
      </c>
      <c r="K735" s="193"/>
    </row>
    <row r="736" spans="1:11" x14ac:dyDescent="0.3">
      <c r="A736" s="193">
        <f t="shared" si="13"/>
        <v>736</v>
      </c>
      <c r="B736" s="193" t="s">
        <v>2832</v>
      </c>
      <c r="C736" s="193" t="s">
        <v>2843</v>
      </c>
      <c r="D736" s="193">
        <f>7.5*3.517</f>
        <v>26.377499999999998</v>
      </c>
      <c r="E736" s="193"/>
      <c r="F736" s="193"/>
      <c r="G736" s="193" t="s">
        <v>13</v>
      </c>
      <c r="H736" s="120" t="s">
        <v>688</v>
      </c>
      <c r="I736" s="199">
        <v>238143101640</v>
      </c>
      <c r="J736" s="193" t="s">
        <v>2017</v>
      </c>
      <c r="K736" s="193"/>
    </row>
    <row r="737" spans="1:11" x14ac:dyDescent="0.3">
      <c r="A737" s="193">
        <f t="shared" si="13"/>
        <v>737</v>
      </c>
      <c r="B737" s="193" t="s">
        <v>2832</v>
      </c>
      <c r="C737" s="193" t="s">
        <v>2844</v>
      </c>
      <c r="D737" s="193">
        <f>10*3.517</f>
        <v>35.17</v>
      </c>
      <c r="E737" s="193"/>
      <c r="F737" s="193"/>
      <c r="G737" s="193" t="s">
        <v>13</v>
      </c>
      <c r="H737" s="120" t="s">
        <v>688</v>
      </c>
      <c r="I737" s="199">
        <v>238143101648</v>
      </c>
      <c r="J737" s="193" t="s">
        <v>2017</v>
      </c>
      <c r="K737" s="193"/>
    </row>
    <row r="738" spans="1:11" x14ac:dyDescent="0.3">
      <c r="A738" s="193">
        <f t="shared" si="13"/>
        <v>738</v>
      </c>
      <c r="B738" s="193" t="s">
        <v>2832</v>
      </c>
      <c r="C738" s="193" t="s">
        <v>2845</v>
      </c>
      <c r="D738" s="193">
        <f>12*3.517</f>
        <v>42.204000000000001</v>
      </c>
      <c r="E738" s="193"/>
      <c r="F738" s="193"/>
      <c r="G738" s="193" t="s">
        <v>13</v>
      </c>
      <c r="H738" s="120" t="s">
        <v>688</v>
      </c>
      <c r="I738" s="199">
        <v>238143101652</v>
      </c>
      <c r="J738" s="193" t="s">
        <v>2017</v>
      </c>
      <c r="K738" s="193"/>
    </row>
    <row r="739" spans="1:11" x14ac:dyDescent="0.3">
      <c r="A739" s="193">
        <v>727</v>
      </c>
      <c r="B739" s="193" t="s">
        <v>2846</v>
      </c>
      <c r="C739" s="193" t="s">
        <v>2847</v>
      </c>
      <c r="D739" s="193"/>
      <c r="E739" s="193"/>
      <c r="F739" s="193"/>
      <c r="G739" s="193" t="s">
        <v>13</v>
      </c>
      <c r="H739" s="120" t="s">
        <v>688</v>
      </c>
      <c r="I739" s="199">
        <v>238146102100</v>
      </c>
      <c r="J739" s="193" t="s">
        <v>2017</v>
      </c>
      <c r="K739" s="193"/>
    </row>
    <row r="740" spans="1:11" x14ac:dyDescent="0.3">
      <c r="A740" s="193">
        <f t="shared" si="13"/>
        <v>728</v>
      </c>
      <c r="B740" s="193" t="s">
        <v>2846</v>
      </c>
      <c r="C740" s="193" t="s">
        <v>2847</v>
      </c>
      <c r="D740" s="193"/>
      <c r="E740" s="193"/>
      <c r="F740" s="193"/>
      <c r="G740" s="193" t="s">
        <v>13</v>
      </c>
      <c r="H740" s="120" t="s">
        <v>688</v>
      </c>
      <c r="I740" s="199">
        <v>238146102100</v>
      </c>
      <c r="J740" s="193" t="s">
        <v>2017</v>
      </c>
      <c r="K740" s="193"/>
    </row>
    <row r="741" spans="1:11" x14ac:dyDescent="0.3">
      <c r="A741" s="193">
        <f t="shared" si="13"/>
        <v>729</v>
      </c>
      <c r="B741" s="193" t="s">
        <v>2846</v>
      </c>
      <c r="C741" s="193" t="s">
        <v>2848</v>
      </c>
      <c r="D741" s="193"/>
      <c r="E741" s="193"/>
      <c r="F741" s="193"/>
      <c r="G741" s="193" t="s">
        <v>13</v>
      </c>
      <c r="H741" s="120" t="s">
        <v>688</v>
      </c>
      <c r="I741" s="199">
        <v>238146102120</v>
      </c>
      <c r="J741" s="193" t="s">
        <v>2017</v>
      </c>
      <c r="K741" s="193"/>
    </row>
    <row r="742" spans="1:11" x14ac:dyDescent="0.3">
      <c r="A742" s="193">
        <f t="shared" si="13"/>
        <v>730</v>
      </c>
      <c r="B742" s="193" t="s">
        <v>2846</v>
      </c>
      <c r="C742" s="193" t="s">
        <v>2849</v>
      </c>
      <c r="D742" s="193"/>
      <c r="E742" s="193"/>
      <c r="F742" s="193"/>
      <c r="G742" s="193" t="s">
        <v>13</v>
      </c>
      <c r="H742" s="120" t="s">
        <v>688</v>
      </c>
      <c r="I742" s="199">
        <v>238146102140</v>
      </c>
      <c r="J742" s="193" t="s">
        <v>2017</v>
      </c>
      <c r="K742" s="193"/>
    </row>
    <row r="743" spans="1:11" x14ac:dyDescent="0.3">
      <c r="A743" s="193">
        <f t="shared" si="13"/>
        <v>731</v>
      </c>
      <c r="B743" s="193" t="s">
        <v>2846</v>
      </c>
      <c r="C743" s="193" t="s">
        <v>2850</v>
      </c>
      <c r="D743" s="193"/>
      <c r="E743" s="193"/>
      <c r="F743" s="193"/>
      <c r="G743" s="193" t="s">
        <v>13</v>
      </c>
      <c r="H743" s="120" t="s">
        <v>688</v>
      </c>
      <c r="I743" s="199">
        <v>238146102160</v>
      </c>
      <c r="J743" s="193" t="s">
        <v>2017</v>
      </c>
      <c r="K743" s="193"/>
    </row>
    <row r="744" spans="1:11" x14ac:dyDescent="0.3">
      <c r="A744" s="193">
        <f t="shared" si="13"/>
        <v>732</v>
      </c>
      <c r="B744" s="193" t="s">
        <v>2846</v>
      </c>
      <c r="C744" s="193" t="s">
        <v>2851</v>
      </c>
      <c r="D744" s="193"/>
      <c r="E744" s="193"/>
      <c r="F744" s="193"/>
      <c r="G744" s="193" t="s">
        <v>13</v>
      </c>
      <c r="H744" s="120" t="s">
        <v>688</v>
      </c>
      <c r="I744" s="199">
        <v>238146102180</v>
      </c>
      <c r="J744" s="193" t="s">
        <v>2017</v>
      </c>
      <c r="K744" s="193"/>
    </row>
    <row r="745" spans="1:11" x14ac:dyDescent="0.3">
      <c r="A745" s="193">
        <f t="shared" si="13"/>
        <v>733</v>
      </c>
      <c r="B745" s="193" t="s">
        <v>2846</v>
      </c>
      <c r="C745" s="193" t="s">
        <v>2852</v>
      </c>
      <c r="D745" s="193"/>
      <c r="E745" s="193"/>
      <c r="F745" s="193"/>
      <c r="G745" s="193" t="s">
        <v>13</v>
      </c>
      <c r="H745" s="120" t="s">
        <v>688</v>
      </c>
      <c r="I745" s="199">
        <v>238146102190</v>
      </c>
      <c r="J745" s="193" t="s">
        <v>2017</v>
      </c>
      <c r="K745" s="193"/>
    </row>
    <row r="746" spans="1:11" x14ac:dyDescent="0.3">
      <c r="A746" s="193">
        <f t="shared" si="13"/>
        <v>734</v>
      </c>
      <c r="B746" s="193" t="s">
        <v>2846</v>
      </c>
      <c r="C746" s="193" t="s">
        <v>2853</v>
      </c>
      <c r="D746" s="193"/>
      <c r="E746" s="193"/>
      <c r="F746" s="193"/>
      <c r="G746" s="193" t="s">
        <v>13</v>
      </c>
      <c r="H746" s="120" t="s">
        <v>688</v>
      </c>
      <c r="I746" s="199">
        <v>238146102200</v>
      </c>
      <c r="J746" s="193" t="s">
        <v>2017</v>
      </c>
      <c r="K746" s="193"/>
    </row>
    <row r="747" spans="1:11" x14ac:dyDescent="0.3">
      <c r="A747" s="193">
        <f t="shared" si="13"/>
        <v>735</v>
      </c>
      <c r="B747" s="193" t="s">
        <v>2846</v>
      </c>
      <c r="C747" s="193" t="s">
        <v>2854</v>
      </c>
      <c r="D747" s="193"/>
      <c r="E747" s="193"/>
      <c r="F747" s="193"/>
      <c r="G747" s="193" t="s">
        <v>13</v>
      </c>
      <c r="H747" s="120" t="s">
        <v>688</v>
      </c>
      <c r="I747" s="199">
        <v>238146102220</v>
      </c>
      <c r="J747" s="193" t="s">
        <v>2017</v>
      </c>
      <c r="K747" s="193"/>
    </row>
    <row r="748" spans="1:11" x14ac:dyDescent="0.3">
      <c r="A748" s="193">
        <f t="shared" si="13"/>
        <v>736</v>
      </c>
      <c r="B748" s="193" t="s">
        <v>2846</v>
      </c>
      <c r="C748" s="193" t="s">
        <v>2855</v>
      </c>
      <c r="D748" s="193"/>
      <c r="E748" s="193"/>
      <c r="F748" s="193"/>
      <c r="G748" s="193" t="s">
        <v>13</v>
      </c>
      <c r="H748" s="120" t="s">
        <v>688</v>
      </c>
      <c r="I748" s="199">
        <v>238146102240</v>
      </c>
      <c r="J748" s="193" t="s">
        <v>2017</v>
      </c>
      <c r="K748" s="193"/>
    </row>
    <row r="749" spans="1:11" x14ac:dyDescent="0.3">
      <c r="A749" s="193">
        <f t="shared" si="13"/>
        <v>737</v>
      </c>
      <c r="B749" s="193" t="s">
        <v>2846</v>
      </c>
      <c r="C749" s="193" t="s">
        <v>2856</v>
      </c>
      <c r="D749" s="193"/>
      <c r="E749" s="193"/>
      <c r="F749" s="193"/>
      <c r="G749" s="193" t="s">
        <v>13</v>
      </c>
      <c r="H749" s="120" t="s">
        <v>688</v>
      </c>
      <c r="I749" s="199">
        <v>238146102250</v>
      </c>
      <c r="J749" s="193" t="s">
        <v>2017</v>
      </c>
      <c r="K749" s="193"/>
    </row>
    <row r="750" spans="1:11" x14ac:dyDescent="0.3">
      <c r="A750" s="193">
        <f t="shared" si="13"/>
        <v>738</v>
      </c>
      <c r="B750" s="193" t="s">
        <v>2846</v>
      </c>
      <c r="C750" s="193" t="s">
        <v>2857</v>
      </c>
      <c r="D750" s="193"/>
      <c r="E750" s="193"/>
      <c r="F750" s="193"/>
      <c r="G750" s="193" t="s">
        <v>13</v>
      </c>
      <c r="H750" s="120" t="s">
        <v>688</v>
      </c>
      <c r="I750" s="199">
        <v>238146102260</v>
      </c>
      <c r="J750" s="193" t="s">
        <v>2017</v>
      </c>
      <c r="K750" s="193"/>
    </row>
    <row r="751" spans="1:11" x14ac:dyDescent="0.3">
      <c r="A751" s="193">
        <f t="shared" si="13"/>
        <v>739</v>
      </c>
      <c r="B751" s="193" t="s">
        <v>2846</v>
      </c>
      <c r="C751" s="193" t="s">
        <v>2858</v>
      </c>
      <c r="D751" s="193"/>
      <c r="E751" s="193"/>
      <c r="F751" s="193"/>
      <c r="G751" s="193" t="s">
        <v>13</v>
      </c>
      <c r="H751" s="120" t="s">
        <v>688</v>
      </c>
      <c r="I751" s="199">
        <v>238146102280</v>
      </c>
      <c r="J751" s="193" t="s">
        <v>2017</v>
      </c>
      <c r="K751" s="193"/>
    </row>
    <row r="752" spans="1:11" x14ac:dyDescent="0.3">
      <c r="A752" s="193">
        <f t="shared" si="13"/>
        <v>740</v>
      </c>
      <c r="B752" s="193" t="s">
        <v>2846</v>
      </c>
      <c r="C752" s="193" t="s">
        <v>2859</v>
      </c>
      <c r="D752" s="193"/>
      <c r="E752" s="193"/>
      <c r="F752" s="193"/>
      <c r="G752" s="193" t="s">
        <v>13</v>
      </c>
      <c r="H752" s="120" t="s">
        <v>688</v>
      </c>
      <c r="I752" s="199">
        <v>238146102300</v>
      </c>
      <c r="J752" s="193" t="s">
        <v>2017</v>
      </c>
      <c r="K752" s="193"/>
    </row>
    <row r="753" spans="1:11" x14ac:dyDescent="0.3">
      <c r="A753" s="193">
        <f t="shared" si="13"/>
        <v>741</v>
      </c>
      <c r="B753" s="193" t="s">
        <v>2846</v>
      </c>
      <c r="C753" s="193" t="s">
        <v>2860</v>
      </c>
      <c r="D753" s="193"/>
      <c r="E753" s="193"/>
      <c r="F753" s="193"/>
      <c r="G753" s="193" t="s">
        <v>13</v>
      </c>
      <c r="H753" s="120" t="s">
        <v>688</v>
      </c>
      <c r="I753" s="199">
        <v>238146102310</v>
      </c>
      <c r="J753" s="193" t="s">
        <v>2017</v>
      </c>
      <c r="K753" s="193"/>
    </row>
    <row r="754" spans="1:11" x14ac:dyDescent="0.3">
      <c r="A754" s="193">
        <f t="shared" si="13"/>
        <v>742</v>
      </c>
      <c r="B754" s="193" t="s">
        <v>2846</v>
      </c>
      <c r="C754" s="193" t="s">
        <v>2861</v>
      </c>
      <c r="D754" s="193"/>
      <c r="E754" s="193"/>
      <c r="F754" s="193"/>
      <c r="G754" s="193" t="s">
        <v>13</v>
      </c>
      <c r="H754" s="120" t="s">
        <v>688</v>
      </c>
      <c r="I754" s="199">
        <v>238146102320</v>
      </c>
      <c r="J754" s="193" t="s">
        <v>2017</v>
      </c>
      <c r="K754" s="193"/>
    </row>
    <row r="755" spans="1:11" x14ac:dyDescent="0.3">
      <c r="A755" s="193">
        <f t="shared" si="13"/>
        <v>743</v>
      </c>
      <c r="B755" s="193" t="s">
        <v>2846</v>
      </c>
      <c r="C755" s="193" t="s">
        <v>2862</v>
      </c>
      <c r="D755" s="193"/>
      <c r="E755" s="193"/>
      <c r="F755" s="193"/>
      <c r="G755" s="193" t="s">
        <v>13</v>
      </c>
      <c r="H755" s="120" t="s">
        <v>688</v>
      </c>
      <c r="I755" s="199">
        <v>238146102340</v>
      </c>
      <c r="J755" s="193" t="s">
        <v>2017</v>
      </c>
      <c r="K755" s="193"/>
    </row>
    <row r="756" spans="1:11" x14ac:dyDescent="0.3">
      <c r="A756" s="193">
        <f t="shared" si="13"/>
        <v>744</v>
      </c>
      <c r="B756" s="193" t="s">
        <v>2846</v>
      </c>
      <c r="C756" s="193" t="s">
        <v>2863</v>
      </c>
      <c r="D756" s="193"/>
      <c r="E756" s="193"/>
      <c r="F756" s="193"/>
      <c r="G756" s="193" t="s">
        <v>13</v>
      </c>
      <c r="H756" s="120" t="s">
        <v>688</v>
      </c>
      <c r="I756" s="199">
        <v>238146102360</v>
      </c>
      <c r="J756" s="193" t="s">
        <v>2017</v>
      </c>
      <c r="K756" s="193"/>
    </row>
    <row r="757" spans="1:11" x14ac:dyDescent="0.3">
      <c r="A757" s="193">
        <f t="shared" si="13"/>
        <v>745</v>
      </c>
      <c r="B757" s="193" t="s">
        <v>2864</v>
      </c>
      <c r="C757" s="193" t="s">
        <v>2865</v>
      </c>
      <c r="D757" s="193">
        <f>0.5*3.517</f>
        <v>1.7585</v>
      </c>
      <c r="E757" s="193"/>
      <c r="F757" s="193"/>
      <c r="G757" s="193" t="s">
        <v>13</v>
      </c>
      <c r="H757" s="120" t="s">
        <v>688</v>
      </c>
      <c r="I757" s="199">
        <v>238219100100</v>
      </c>
      <c r="J757" s="193"/>
      <c r="K757" s="193"/>
    </row>
    <row r="758" spans="1:11" x14ac:dyDescent="0.3">
      <c r="A758" s="193">
        <f t="shared" si="13"/>
        <v>746</v>
      </c>
      <c r="B758" s="193" t="s">
        <v>2866</v>
      </c>
      <c r="C758" s="193" t="s">
        <v>2867</v>
      </c>
      <c r="D758" s="193">
        <f>0.75*3.517</f>
        <v>2.63775</v>
      </c>
      <c r="E758" s="193"/>
      <c r="F758" s="193"/>
      <c r="G758" s="193" t="s">
        <v>13</v>
      </c>
      <c r="H758" s="120" t="s">
        <v>688</v>
      </c>
      <c r="I758" s="199">
        <v>238219100100</v>
      </c>
      <c r="J758" s="193"/>
      <c r="K758" s="193"/>
    </row>
    <row r="759" spans="1:11" x14ac:dyDescent="0.3">
      <c r="A759" s="193">
        <f t="shared" si="13"/>
        <v>747</v>
      </c>
      <c r="B759" s="193" t="s">
        <v>2864</v>
      </c>
      <c r="C759" s="193" t="s">
        <v>2868</v>
      </c>
      <c r="D759" s="193">
        <f>1*3.517</f>
        <v>3.5169999999999999</v>
      </c>
      <c r="E759" s="193"/>
      <c r="F759" s="193"/>
      <c r="G759" s="193" t="s">
        <v>13</v>
      </c>
      <c r="H759" s="120" t="s">
        <v>688</v>
      </c>
      <c r="I759" s="199">
        <v>238219100100</v>
      </c>
      <c r="J759" s="193"/>
      <c r="K759" s="193"/>
    </row>
    <row r="760" spans="1:11" x14ac:dyDescent="0.3">
      <c r="A760" s="193">
        <f t="shared" si="13"/>
        <v>748</v>
      </c>
      <c r="B760" s="193" t="s">
        <v>2864</v>
      </c>
      <c r="C760" s="193" t="s">
        <v>2869</v>
      </c>
      <c r="D760" s="193">
        <f>1.5*3.517</f>
        <v>5.2755000000000001</v>
      </c>
      <c r="E760" s="193"/>
      <c r="F760" s="193"/>
      <c r="G760" s="193" t="s">
        <v>13</v>
      </c>
      <c r="H760" s="120" t="s">
        <v>688</v>
      </c>
      <c r="I760" s="199">
        <v>238219100100</v>
      </c>
      <c r="J760" s="193"/>
      <c r="K760" s="193"/>
    </row>
    <row r="761" spans="1:11" x14ac:dyDescent="0.3">
      <c r="A761" s="193">
        <f t="shared" si="13"/>
        <v>749</v>
      </c>
      <c r="B761" s="193" t="s">
        <v>2864</v>
      </c>
      <c r="C761" s="193" t="s">
        <v>2870</v>
      </c>
      <c r="D761" s="193">
        <f>2*3.517</f>
        <v>7.0339999999999998</v>
      </c>
      <c r="E761" s="193"/>
      <c r="F761" s="193"/>
      <c r="G761" s="193" t="s">
        <v>13</v>
      </c>
      <c r="H761" s="120" t="s">
        <v>688</v>
      </c>
      <c r="I761" s="199">
        <v>238219100100</v>
      </c>
      <c r="J761" s="193"/>
      <c r="K761" s="193"/>
    </row>
    <row r="762" spans="1:11" x14ac:dyDescent="0.3">
      <c r="A762" s="193">
        <f t="shared" si="13"/>
        <v>750</v>
      </c>
      <c r="B762" s="193" t="s">
        <v>2864</v>
      </c>
      <c r="C762" s="193" t="s">
        <v>2871</v>
      </c>
      <c r="D762" s="193">
        <f>2.5*3.517</f>
        <v>8.7925000000000004</v>
      </c>
      <c r="E762" s="193"/>
      <c r="F762" s="193"/>
      <c r="G762" s="193" t="s">
        <v>13</v>
      </c>
      <c r="H762" s="120" t="s">
        <v>688</v>
      </c>
      <c r="I762" s="199">
        <v>238219100100</v>
      </c>
      <c r="J762" s="193"/>
      <c r="K762" s="193"/>
    </row>
    <row r="763" spans="1:11" x14ac:dyDescent="0.3">
      <c r="A763" s="193">
        <f t="shared" si="13"/>
        <v>751</v>
      </c>
      <c r="B763" s="193" t="s">
        <v>2864</v>
      </c>
      <c r="C763" s="193" t="s">
        <v>2872</v>
      </c>
      <c r="D763" s="193">
        <f>3*3.517</f>
        <v>10.551</v>
      </c>
      <c r="E763" s="193"/>
      <c r="F763" s="193"/>
      <c r="G763" s="193" t="s">
        <v>13</v>
      </c>
      <c r="H763" s="120" t="s">
        <v>688</v>
      </c>
      <c r="I763" s="199">
        <v>238219100100</v>
      </c>
      <c r="J763" s="193"/>
      <c r="K763" s="193"/>
    </row>
    <row r="764" spans="1:11" x14ac:dyDescent="0.3">
      <c r="A764" s="193">
        <f t="shared" si="13"/>
        <v>752</v>
      </c>
      <c r="B764" s="193" t="s">
        <v>2873</v>
      </c>
      <c r="C764" s="193" t="s">
        <v>2874</v>
      </c>
      <c r="D764" s="193">
        <f>1.5*3.515</f>
        <v>5.2725</v>
      </c>
      <c r="E764" s="193"/>
      <c r="F764" s="193"/>
      <c r="G764" s="193" t="s">
        <v>13</v>
      </c>
      <c r="H764" s="120" t="s">
        <v>688</v>
      </c>
      <c r="I764" s="199">
        <v>238219100940</v>
      </c>
      <c r="J764" s="193"/>
      <c r="K764" s="193"/>
    </row>
    <row r="765" spans="1:11" x14ac:dyDescent="0.3">
      <c r="A765" s="193">
        <f t="shared" si="13"/>
        <v>753</v>
      </c>
      <c r="B765" s="193" t="s">
        <v>2873</v>
      </c>
      <c r="C765" s="193" t="s">
        <v>2875</v>
      </c>
      <c r="D765" s="193">
        <f>2*3.515</f>
        <v>7.03</v>
      </c>
      <c r="E765" s="193"/>
      <c r="F765" s="193"/>
      <c r="G765" s="193" t="s">
        <v>13</v>
      </c>
      <c r="H765" s="120" t="s">
        <v>688</v>
      </c>
      <c r="I765" s="199">
        <v>238219100950</v>
      </c>
      <c r="J765" s="193"/>
      <c r="K765" s="193"/>
    </row>
    <row r="766" spans="1:11" x14ac:dyDescent="0.3">
      <c r="A766" s="193">
        <f t="shared" si="13"/>
        <v>754</v>
      </c>
      <c r="B766" s="193" t="s">
        <v>2873</v>
      </c>
      <c r="C766" s="193" t="s">
        <v>2876</v>
      </c>
      <c r="D766" s="193">
        <f>2.5*3.515</f>
        <v>8.7874999999999996</v>
      </c>
      <c r="E766" s="193"/>
      <c r="F766" s="193"/>
      <c r="G766" s="193" t="s">
        <v>13</v>
      </c>
      <c r="H766" s="120" t="s">
        <v>688</v>
      </c>
      <c r="I766" s="199">
        <v>238219100960</v>
      </c>
      <c r="J766" s="193"/>
      <c r="K766" s="193"/>
    </row>
    <row r="767" spans="1:11" x14ac:dyDescent="0.3">
      <c r="A767" s="193">
        <f t="shared" si="13"/>
        <v>755</v>
      </c>
      <c r="B767" s="193" t="s">
        <v>2873</v>
      </c>
      <c r="C767" s="193" t="s">
        <v>2877</v>
      </c>
      <c r="D767" s="193">
        <f>3*3.515</f>
        <v>10.545</v>
      </c>
      <c r="E767" s="193"/>
      <c r="F767" s="193"/>
      <c r="G767" s="193" t="s">
        <v>13</v>
      </c>
      <c r="H767" s="120" t="s">
        <v>688</v>
      </c>
      <c r="I767" s="199">
        <v>238219100970</v>
      </c>
      <c r="J767" s="193"/>
      <c r="K767" s="193"/>
    </row>
    <row r="768" spans="1:11" x14ac:dyDescent="0.3">
      <c r="A768" s="193">
        <f t="shared" ref="A768:A830" si="14">A767+1</f>
        <v>756</v>
      </c>
      <c r="B768" s="193" t="s">
        <v>2873</v>
      </c>
      <c r="C768" s="193" t="s">
        <v>2878</v>
      </c>
      <c r="D768" s="193">
        <f>3.5*3.515</f>
        <v>12.3025</v>
      </c>
      <c r="E768" s="193"/>
      <c r="F768" s="193"/>
      <c r="G768" s="193" t="s">
        <v>13</v>
      </c>
      <c r="H768" s="120" t="s">
        <v>688</v>
      </c>
      <c r="I768" s="199">
        <v>238219100980</v>
      </c>
      <c r="J768" s="193"/>
      <c r="K768" s="193"/>
    </row>
    <row r="769" spans="1:11" x14ac:dyDescent="0.3">
      <c r="A769" s="193">
        <f t="shared" si="14"/>
        <v>757</v>
      </c>
      <c r="B769" s="193" t="s">
        <v>2873</v>
      </c>
      <c r="C769" s="193" t="s">
        <v>2879</v>
      </c>
      <c r="D769" s="193">
        <f>4*3.515</f>
        <v>14.06</v>
      </c>
      <c r="E769" s="193"/>
      <c r="F769" s="193"/>
      <c r="G769" s="193" t="s">
        <v>13</v>
      </c>
      <c r="H769" s="120" t="s">
        <v>688</v>
      </c>
      <c r="I769" s="199">
        <v>238219100990</v>
      </c>
      <c r="J769" s="193"/>
      <c r="K769" s="193"/>
    </row>
    <row r="770" spans="1:11" x14ac:dyDescent="0.3">
      <c r="A770" s="193">
        <f t="shared" si="14"/>
        <v>758</v>
      </c>
      <c r="B770" s="193" t="s">
        <v>2873</v>
      </c>
      <c r="C770" s="193" t="s">
        <v>2880</v>
      </c>
      <c r="D770" s="193">
        <f>5*3.515</f>
        <v>17.574999999999999</v>
      </c>
      <c r="E770" s="193"/>
      <c r="F770" s="193"/>
      <c r="G770" s="193" t="s">
        <v>13</v>
      </c>
      <c r="H770" s="120" t="s">
        <v>688</v>
      </c>
      <c r="I770" s="199">
        <v>238219101000</v>
      </c>
      <c r="J770" s="193"/>
      <c r="K770" s="193"/>
    </row>
    <row r="771" spans="1:11" x14ac:dyDescent="0.3">
      <c r="A771" s="193">
        <f t="shared" si="14"/>
        <v>759</v>
      </c>
      <c r="B771" s="193" t="s">
        <v>2873</v>
      </c>
      <c r="C771" s="193" t="s">
        <v>2881</v>
      </c>
      <c r="D771" s="193">
        <f>7.5*3.515</f>
        <v>26.362500000000001</v>
      </c>
      <c r="E771" s="193"/>
      <c r="F771" s="193"/>
      <c r="G771" s="193" t="s">
        <v>13</v>
      </c>
      <c r="H771" s="120" t="s">
        <v>688</v>
      </c>
      <c r="I771" s="199">
        <v>238219101020</v>
      </c>
      <c r="J771" s="193"/>
      <c r="K771" s="193"/>
    </row>
    <row r="772" spans="1:11" x14ac:dyDescent="0.3">
      <c r="A772" s="193">
        <f t="shared" si="14"/>
        <v>760</v>
      </c>
      <c r="B772" s="193" t="s">
        <v>2873</v>
      </c>
      <c r="C772" s="193" t="s">
        <v>2882</v>
      </c>
      <c r="D772" s="193">
        <f>10*3.515</f>
        <v>35.15</v>
      </c>
      <c r="E772" s="193"/>
      <c r="F772" s="193"/>
      <c r="G772" s="193" t="s">
        <v>13</v>
      </c>
      <c r="H772" s="120" t="s">
        <v>688</v>
      </c>
      <c r="I772" s="199">
        <v>238219101040</v>
      </c>
      <c r="J772" s="193"/>
      <c r="K772" s="193"/>
    </row>
    <row r="773" spans="1:11" x14ac:dyDescent="0.3">
      <c r="A773" s="193">
        <f t="shared" si="14"/>
        <v>761</v>
      </c>
      <c r="B773" s="193" t="s">
        <v>2873</v>
      </c>
      <c r="C773" s="193" t="s">
        <v>2883</v>
      </c>
      <c r="D773" s="193">
        <f>12.5*3.515</f>
        <v>43.9375</v>
      </c>
      <c r="E773" s="193"/>
      <c r="F773" s="193"/>
      <c r="G773" s="193" t="s">
        <v>13</v>
      </c>
      <c r="H773" s="120" t="s">
        <v>688</v>
      </c>
      <c r="I773" s="199">
        <v>238219101042</v>
      </c>
      <c r="J773" s="193"/>
      <c r="K773" s="193"/>
    </row>
    <row r="774" spans="1:11" x14ac:dyDescent="0.3">
      <c r="A774" s="193">
        <f t="shared" si="14"/>
        <v>762</v>
      </c>
      <c r="B774" s="193" t="s">
        <v>2873</v>
      </c>
      <c r="C774" s="193" t="s">
        <v>2884</v>
      </c>
      <c r="D774" s="193">
        <f>15*3.515</f>
        <v>52.725000000000001</v>
      </c>
      <c r="E774" s="193"/>
      <c r="F774" s="193"/>
      <c r="G774" s="193" t="s">
        <v>13</v>
      </c>
      <c r="H774" s="120" t="s">
        <v>688</v>
      </c>
      <c r="I774" s="199">
        <v>238219101050</v>
      </c>
      <c r="J774" s="193"/>
      <c r="K774" s="193"/>
    </row>
    <row r="775" spans="1:11" x14ac:dyDescent="0.3">
      <c r="A775" s="193">
        <f t="shared" si="14"/>
        <v>763</v>
      </c>
      <c r="B775" s="193" t="s">
        <v>2873</v>
      </c>
      <c r="C775" s="193" t="s">
        <v>2885</v>
      </c>
      <c r="D775" s="193">
        <f>20*3.515</f>
        <v>70.3</v>
      </c>
      <c r="E775" s="193"/>
      <c r="F775" s="193"/>
      <c r="G775" s="193" t="s">
        <v>13</v>
      </c>
      <c r="H775" s="120" t="s">
        <v>688</v>
      </c>
      <c r="I775" s="199">
        <v>238219101060</v>
      </c>
      <c r="J775" s="193"/>
      <c r="K775" s="193"/>
    </row>
    <row r="776" spans="1:11" x14ac:dyDescent="0.3">
      <c r="A776" s="193">
        <f t="shared" si="14"/>
        <v>764</v>
      </c>
      <c r="B776" s="193" t="s">
        <v>2873</v>
      </c>
      <c r="C776" s="193" t="s">
        <v>2886</v>
      </c>
      <c r="D776" s="193">
        <f>25*3.515</f>
        <v>87.875</v>
      </c>
      <c r="E776" s="193"/>
      <c r="F776" s="193"/>
      <c r="G776" s="193" t="s">
        <v>13</v>
      </c>
      <c r="H776" s="120" t="s">
        <v>688</v>
      </c>
      <c r="I776" s="199">
        <v>238219101070</v>
      </c>
      <c r="J776" s="193"/>
      <c r="K776" s="193"/>
    </row>
    <row r="777" spans="1:11" x14ac:dyDescent="0.3">
      <c r="A777" s="193">
        <f t="shared" si="14"/>
        <v>765</v>
      </c>
      <c r="B777" s="193" t="s">
        <v>2873</v>
      </c>
      <c r="C777" s="193" t="s">
        <v>2887</v>
      </c>
      <c r="D777" s="193">
        <f>30*3.515</f>
        <v>105.45</v>
      </c>
      <c r="E777" s="193"/>
      <c r="F777" s="193"/>
      <c r="G777" s="193" t="s">
        <v>13</v>
      </c>
      <c r="H777" s="120" t="s">
        <v>688</v>
      </c>
      <c r="I777" s="199">
        <v>238219101080</v>
      </c>
      <c r="J777" s="193"/>
      <c r="K777" s="193"/>
    </row>
    <row r="778" spans="1:11" x14ac:dyDescent="0.3">
      <c r="A778" s="193">
        <f t="shared" si="14"/>
        <v>766</v>
      </c>
      <c r="B778" s="193" t="s">
        <v>2888</v>
      </c>
      <c r="C778" s="193" t="s">
        <v>2889</v>
      </c>
      <c r="D778" s="193">
        <f>0.5*3.517</f>
        <v>1.7585</v>
      </c>
      <c r="E778" s="193"/>
      <c r="F778" s="193"/>
      <c r="G778" s="193" t="s">
        <v>13</v>
      </c>
      <c r="H778" s="120" t="s">
        <v>688</v>
      </c>
      <c r="I778" s="199">
        <v>238219103100</v>
      </c>
      <c r="J778" s="193"/>
      <c r="K778" s="193"/>
    </row>
    <row r="779" spans="1:11" x14ac:dyDescent="0.3">
      <c r="A779" s="193">
        <f t="shared" si="14"/>
        <v>767</v>
      </c>
      <c r="B779" s="193" t="s">
        <v>2888</v>
      </c>
      <c r="C779" s="193" t="s">
        <v>2890</v>
      </c>
      <c r="D779" s="193">
        <f>1*3.517</f>
        <v>3.5169999999999999</v>
      </c>
      <c r="E779" s="193"/>
      <c r="F779" s="193"/>
      <c r="G779" s="193" t="s">
        <v>13</v>
      </c>
      <c r="H779" s="120" t="s">
        <v>688</v>
      </c>
      <c r="I779" s="199">
        <v>238219103100</v>
      </c>
      <c r="J779" s="193"/>
      <c r="K779" s="193"/>
    </row>
    <row r="780" spans="1:11" x14ac:dyDescent="0.3">
      <c r="A780" s="193">
        <f t="shared" si="14"/>
        <v>768</v>
      </c>
      <c r="B780" s="193" t="s">
        <v>2888</v>
      </c>
      <c r="C780" s="193" t="s">
        <v>2891</v>
      </c>
      <c r="D780" s="193">
        <f>1.5*3.517</f>
        <v>5.2755000000000001</v>
      </c>
      <c r="E780" s="193"/>
      <c r="F780" s="193"/>
      <c r="G780" s="193" t="s">
        <v>13</v>
      </c>
      <c r="H780" s="120" t="s">
        <v>688</v>
      </c>
      <c r="I780" s="199">
        <v>238219103120</v>
      </c>
      <c r="J780" s="193"/>
      <c r="K780" s="193"/>
    </row>
    <row r="781" spans="1:11" x14ac:dyDescent="0.3">
      <c r="A781" s="193">
        <f t="shared" si="14"/>
        <v>769</v>
      </c>
      <c r="B781" s="193" t="s">
        <v>2888</v>
      </c>
      <c r="C781" s="193" t="s">
        <v>2892</v>
      </c>
      <c r="D781" s="193">
        <f>2*3.517</f>
        <v>7.0339999999999998</v>
      </c>
      <c r="E781" s="193"/>
      <c r="F781" s="193"/>
      <c r="G781" s="193" t="s">
        <v>13</v>
      </c>
      <c r="H781" s="120" t="s">
        <v>688</v>
      </c>
      <c r="I781" s="199">
        <v>238219103130</v>
      </c>
      <c r="J781" s="193"/>
      <c r="K781" s="193"/>
    </row>
    <row r="782" spans="1:11" x14ac:dyDescent="0.3">
      <c r="A782" s="193">
        <f t="shared" si="14"/>
        <v>770</v>
      </c>
      <c r="B782" s="193" t="s">
        <v>2888</v>
      </c>
      <c r="C782" s="193" t="s">
        <v>2893</v>
      </c>
      <c r="D782" s="193">
        <f>3*3.517</f>
        <v>10.551</v>
      </c>
      <c r="E782" s="193"/>
      <c r="F782" s="193"/>
      <c r="G782" s="193" t="s">
        <v>13</v>
      </c>
      <c r="H782" s="120" t="s">
        <v>688</v>
      </c>
      <c r="I782" s="199">
        <v>238219103140</v>
      </c>
      <c r="J782" s="193"/>
      <c r="K782" s="193"/>
    </row>
    <row r="783" spans="1:11" x14ac:dyDescent="0.3">
      <c r="A783" s="193">
        <f t="shared" si="14"/>
        <v>771</v>
      </c>
      <c r="B783" s="193" t="s">
        <v>2888</v>
      </c>
      <c r="C783" s="193" t="s">
        <v>2894</v>
      </c>
      <c r="D783" s="193">
        <f>3.5*3.517</f>
        <v>12.3095</v>
      </c>
      <c r="E783" s="193"/>
      <c r="F783" s="193"/>
      <c r="G783" s="193" t="s">
        <v>13</v>
      </c>
      <c r="H783" s="120" t="s">
        <v>688</v>
      </c>
      <c r="I783" s="199">
        <v>238219103150</v>
      </c>
      <c r="J783" s="193"/>
      <c r="K783" s="193"/>
    </row>
    <row r="784" spans="1:11" x14ac:dyDescent="0.3">
      <c r="A784" s="193">
        <f t="shared" si="14"/>
        <v>772</v>
      </c>
      <c r="B784" s="193" t="s">
        <v>2888</v>
      </c>
      <c r="C784" s="193" t="s">
        <v>2895</v>
      </c>
      <c r="D784" s="193">
        <f>4*3.517</f>
        <v>14.068</v>
      </c>
      <c r="E784" s="193"/>
      <c r="F784" s="193"/>
      <c r="G784" s="193" t="s">
        <v>13</v>
      </c>
      <c r="H784" s="120" t="s">
        <v>688</v>
      </c>
      <c r="I784" s="199">
        <v>238219103160</v>
      </c>
      <c r="J784" s="193"/>
      <c r="K784" s="193"/>
    </row>
    <row r="785" spans="1:11" x14ac:dyDescent="0.3">
      <c r="A785" s="193">
        <f t="shared" si="14"/>
        <v>773</v>
      </c>
      <c r="B785" s="193" t="s">
        <v>2888</v>
      </c>
      <c r="C785" s="193" t="s">
        <v>2896</v>
      </c>
      <c r="D785" s="193">
        <f>5*3.517</f>
        <v>17.585000000000001</v>
      </c>
      <c r="E785" s="193"/>
      <c r="F785" s="193"/>
      <c r="G785" s="193" t="s">
        <v>13</v>
      </c>
      <c r="H785" s="120" t="s">
        <v>688</v>
      </c>
      <c r="I785" s="199">
        <v>238219103170</v>
      </c>
      <c r="J785" s="193"/>
      <c r="K785" s="193"/>
    </row>
    <row r="786" spans="1:11" x14ac:dyDescent="0.3">
      <c r="A786" s="193">
        <f t="shared" si="14"/>
        <v>774</v>
      </c>
      <c r="B786" s="193" t="s">
        <v>2888</v>
      </c>
      <c r="C786" s="193" t="s">
        <v>2897</v>
      </c>
      <c r="D786" s="193">
        <f>6*3.517</f>
        <v>21.102</v>
      </c>
      <c r="E786" s="193"/>
      <c r="F786" s="193"/>
      <c r="G786" s="193" t="s">
        <v>13</v>
      </c>
      <c r="H786" s="120" t="s">
        <v>688</v>
      </c>
      <c r="I786" s="199">
        <v>238219103180</v>
      </c>
      <c r="J786" s="193"/>
      <c r="K786" s="193"/>
    </row>
    <row r="787" spans="1:11" x14ac:dyDescent="0.3">
      <c r="A787" s="193">
        <f t="shared" si="14"/>
        <v>775</v>
      </c>
      <c r="B787" s="193" t="s">
        <v>2888</v>
      </c>
      <c r="C787" s="193" t="s">
        <v>2898</v>
      </c>
      <c r="D787" s="193">
        <f>7*3.517</f>
        <v>24.619</v>
      </c>
      <c r="E787" s="193"/>
      <c r="F787" s="193"/>
      <c r="G787" s="193" t="s">
        <v>13</v>
      </c>
      <c r="H787" s="120" t="s">
        <v>688</v>
      </c>
      <c r="I787" s="199">
        <v>238219103190</v>
      </c>
      <c r="J787" s="193"/>
      <c r="K787" s="193"/>
    </row>
    <row r="788" spans="1:11" x14ac:dyDescent="0.3">
      <c r="A788" s="193">
        <f t="shared" si="14"/>
        <v>776</v>
      </c>
      <c r="B788" s="193" t="s">
        <v>2888</v>
      </c>
      <c r="C788" s="193" t="s">
        <v>2899</v>
      </c>
      <c r="D788" s="193">
        <f>8*3.517</f>
        <v>28.135999999999999</v>
      </c>
      <c r="E788" s="193"/>
      <c r="F788" s="193"/>
      <c r="G788" s="193" t="s">
        <v>13</v>
      </c>
      <c r="H788" s="120" t="s">
        <v>688</v>
      </c>
      <c r="I788" s="199">
        <v>238219103200</v>
      </c>
      <c r="J788" s="193"/>
      <c r="K788" s="193"/>
    </row>
    <row r="789" spans="1:11" x14ac:dyDescent="0.3">
      <c r="A789" s="193">
        <f t="shared" si="14"/>
        <v>777</v>
      </c>
      <c r="B789" s="193" t="s">
        <v>2888</v>
      </c>
      <c r="C789" s="193" t="s">
        <v>2900</v>
      </c>
      <c r="D789" s="193">
        <f>10*3.517</f>
        <v>35.17</v>
      </c>
      <c r="E789" s="193"/>
      <c r="F789" s="193"/>
      <c r="G789" s="193" t="s">
        <v>13</v>
      </c>
      <c r="H789" s="120" t="s">
        <v>688</v>
      </c>
      <c r="I789" s="199">
        <v>238219103210</v>
      </c>
      <c r="J789" s="193"/>
      <c r="K789" s="193"/>
    </row>
    <row r="790" spans="1:11" x14ac:dyDescent="0.3">
      <c r="A790" s="193">
        <f t="shared" si="14"/>
        <v>778</v>
      </c>
      <c r="B790" s="193" t="s">
        <v>2888</v>
      </c>
      <c r="C790" s="193" t="s">
        <v>2901</v>
      </c>
      <c r="D790" s="193">
        <f>12.5*3.517</f>
        <v>43.962499999999999</v>
      </c>
      <c r="E790" s="193"/>
      <c r="F790" s="193"/>
      <c r="G790" s="193" t="s">
        <v>13</v>
      </c>
      <c r="H790" s="120" t="s">
        <v>688</v>
      </c>
      <c r="I790" s="199">
        <v>238219103212</v>
      </c>
      <c r="J790" s="193"/>
      <c r="K790" s="193"/>
    </row>
    <row r="791" spans="1:11" x14ac:dyDescent="0.3">
      <c r="A791" s="193">
        <f t="shared" si="14"/>
        <v>779</v>
      </c>
      <c r="B791" s="193" t="s">
        <v>2888</v>
      </c>
      <c r="C791" s="193" t="s">
        <v>2902</v>
      </c>
      <c r="D791" s="193">
        <f>15*3.517</f>
        <v>52.754999999999995</v>
      </c>
      <c r="E791" s="193"/>
      <c r="F791" s="193"/>
      <c r="G791" s="193" t="s">
        <v>13</v>
      </c>
      <c r="H791" s="120" t="s">
        <v>688</v>
      </c>
      <c r="I791" s="199">
        <v>238219103214</v>
      </c>
      <c r="J791" s="193"/>
      <c r="K791" s="193"/>
    </row>
    <row r="792" spans="1:11" x14ac:dyDescent="0.3">
      <c r="A792" s="193">
        <f t="shared" si="14"/>
        <v>780</v>
      </c>
      <c r="B792" s="193" t="s">
        <v>2888</v>
      </c>
      <c r="C792" s="193" t="s">
        <v>2903</v>
      </c>
      <c r="D792" s="193">
        <f>20*3.517</f>
        <v>70.34</v>
      </c>
      <c r="E792" s="193"/>
      <c r="F792" s="193"/>
      <c r="G792" s="193" t="s">
        <v>13</v>
      </c>
      <c r="H792" s="120" t="s">
        <v>688</v>
      </c>
      <c r="I792" s="199">
        <v>238219103216</v>
      </c>
      <c r="J792" s="193"/>
      <c r="K792" s="193"/>
    </row>
    <row r="793" spans="1:11" x14ac:dyDescent="0.3">
      <c r="A793" s="193">
        <f t="shared" si="14"/>
        <v>781</v>
      </c>
      <c r="B793" s="193" t="s">
        <v>2888</v>
      </c>
      <c r="C793" s="193" t="s">
        <v>2904</v>
      </c>
      <c r="D793" s="193">
        <f>25*3.517</f>
        <v>87.924999999999997</v>
      </c>
      <c r="E793" s="193"/>
      <c r="F793" s="193"/>
      <c r="G793" s="193" t="s">
        <v>13</v>
      </c>
      <c r="H793" s="120" t="s">
        <v>688</v>
      </c>
      <c r="I793" s="199">
        <v>238219103218</v>
      </c>
      <c r="J793" s="193"/>
      <c r="K793" s="193"/>
    </row>
    <row r="794" spans="1:11" x14ac:dyDescent="0.3">
      <c r="A794" s="193">
        <f t="shared" si="14"/>
        <v>782</v>
      </c>
      <c r="B794" s="193" t="s">
        <v>2905</v>
      </c>
      <c r="C794" s="193" t="s">
        <v>2906</v>
      </c>
      <c r="D794" s="193">
        <f>2*3.517</f>
        <v>7.0339999999999998</v>
      </c>
      <c r="E794" s="193"/>
      <c r="F794" s="193"/>
      <c r="G794" s="193" t="s">
        <v>13</v>
      </c>
      <c r="H794" s="120" t="s">
        <v>688</v>
      </c>
      <c r="I794" s="199">
        <v>238219200080</v>
      </c>
      <c r="J794" s="193"/>
      <c r="K794" s="193"/>
    </row>
    <row r="795" spans="1:11" x14ac:dyDescent="0.3">
      <c r="A795" s="193">
        <f t="shared" si="14"/>
        <v>783</v>
      </c>
      <c r="B795" s="193" t="s">
        <v>2905</v>
      </c>
      <c r="C795" s="193" t="s">
        <v>2907</v>
      </c>
      <c r="D795" s="193">
        <f>2.5*3.517</f>
        <v>8.7925000000000004</v>
      </c>
      <c r="E795" s="193"/>
      <c r="F795" s="193"/>
      <c r="G795" s="193" t="s">
        <v>13</v>
      </c>
      <c r="H795" s="120" t="s">
        <v>688</v>
      </c>
      <c r="I795" s="199">
        <v>238219200100</v>
      </c>
      <c r="J795" s="193"/>
      <c r="K795" s="193"/>
    </row>
    <row r="796" spans="1:11" x14ac:dyDescent="0.3">
      <c r="A796" s="193">
        <f t="shared" si="14"/>
        <v>784</v>
      </c>
      <c r="B796" s="193" t="s">
        <v>2905</v>
      </c>
      <c r="C796" s="193" t="s">
        <v>2908</v>
      </c>
      <c r="D796" s="193">
        <f>3*3.517</f>
        <v>10.551</v>
      </c>
      <c r="E796" s="193"/>
      <c r="F796" s="193"/>
      <c r="G796" s="193" t="s">
        <v>13</v>
      </c>
      <c r="H796" s="120" t="s">
        <v>688</v>
      </c>
      <c r="I796" s="199">
        <v>238219200120</v>
      </c>
      <c r="J796" s="193"/>
      <c r="K796" s="193"/>
    </row>
    <row r="797" spans="1:11" x14ac:dyDescent="0.3">
      <c r="A797" s="193">
        <f t="shared" si="14"/>
        <v>785</v>
      </c>
      <c r="B797" s="193" t="s">
        <v>2905</v>
      </c>
      <c r="C797" s="193" t="s">
        <v>2909</v>
      </c>
      <c r="D797" s="193">
        <f>4*3.517</f>
        <v>14.068</v>
      </c>
      <c r="E797" s="193"/>
      <c r="F797" s="193"/>
      <c r="G797" s="193" t="s">
        <v>13</v>
      </c>
      <c r="H797" s="120" t="s">
        <v>688</v>
      </c>
      <c r="I797" s="199">
        <v>238219200140</v>
      </c>
      <c r="J797" s="193"/>
      <c r="K797" s="193"/>
    </row>
    <row r="798" spans="1:11" x14ac:dyDescent="0.3">
      <c r="A798" s="193">
        <f t="shared" si="14"/>
        <v>786</v>
      </c>
      <c r="B798" s="193" t="s">
        <v>2905</v>
      </c>
      <c r="C798" s="193" t="s">
        <v>2910</v>
      </c>
      <c r="D798" s="193">
        <f>5*3.517</f>
        <v>17.585000000000001</v>
      </c>
      <c r="E798" s="193"/>
      <c r="F798" s="193"/>
      <c r="G798" s="193" t="s">
        <v>13</v>
      </c>
      <c r="H798" s="120" t="s">
        <v>688</v>
      </c>
      <c r="I798" s="199">
        <v>238219200160</v>
      </c>
      <c r="J798" s="193"/>
      <c r="K798" s="193"/>
    </row>
    <row r="799" spans="1:11" x14ac:dyDescent="0.3">
      <c r="A799" s="193">
        <f t="shared" si="14"/>
        <v>787</v>
      </c>
      <c r="B799" s="193" t="s">
        <v>2911</v>
      </c>
      <c r="C799" s="193" t="s">
        <v>2912</v>
      </c>
      <c r="D799" s="193">
        <f>0.5*3.515</f>
        <v>1.7575000000000001</v>
      </c>
      <c r="E799" s="193"/>
      <c r="F799" s="193"/>
      <c r="G799" s="193" t="s">
        <v>13</v>
      </c>
      <c r="H799" s="120" t="s">
        <v>688</v>
      </c>
      <c r="I799" s="199">
        <v>238219104100</v>
      </c>
      <c r="J799" s="193"/>
      <c r="K799" s="193"/>
    </row>
    <row r="800" spans="1:11" x14ac:dyDescent="0.3">
      <c r="A800" s="193">
        <f t="shared" si="14"/>
        <v>788</v>
      </c>
      <c r="B800" s="193" t="s">
        <v>2911</v>
      </c>
      <c r="C800" s="193" t="s">
        <v>2913</v>
      </c>
      <c r="D800" s="193">
        <f>0.75*3.515</f>
        <v>2.63625</v>
      </c>
      <c r="E800" s="193"/>
      <c r="F800" s="193"/>
      <c r="G800" s="193" t="s">
        <v>13</v>
      </c>
      <c r="H800" s="120" t="s">
        <v>688</v>
      </c>
      <c r="I800" s="199">
        <v>238219104105</v>
      </c>
      <c r="J800" s="193"/>
      <c r="K800" s="193"/>
    </row>
    <row r="801" spans="1:11" x14ac:dyDescent="0.3">
      <c r="A801" s="193">
        <f t="shared" si="14"/>
        <v>789</v>
      </c>
      <c r="B801" s="193" t="s">
        <v>2911</v>
      </c>
      <c r="C801" s="193" t="s">
        <v>2914</v>
      </c>
      <c r="D801" s="193">
        <f>1*3.515</f>
        <v>3.5150000000000001</v>
      </c>
      <c r="E801" s="193"/>
      <c r="F801" s="193"/>
      <c r="G801" s="193" t="s">
        <v>13</v>
      </c>
      <c r="H801" s="120" t="s">
        <v>688</v>
      </c>
      <c r="I801" s="199">
        <v>238219104110</v>
      </c>
      <c r="J801" s="193"/>
      <c r="K801" s="193"/>
    </row>
    <row r="802" spans="1:11" x14ac:dyDescent="0.3">
      <c r="A802" s="193">
        <f t="shared" si="14"/>
        <v>790</v>
      </c>
      <c r="B802" s="193" t="s">
        <v>2911</v>
      </c>
      <c r="C802" s="193" t="s">
        <v>2915</v>
      </c>
      <c r="D802" s="193">
        <f>1.5*3.515</f>
        <v>5.2725</v>
      </c>
      <c r="E802" s="193"/>
      <c r="F802" s="193"/>
      <c r="G802" s="193" t="s">
        <v>13</v>
      </c>
      <c r="H802" s="120" t="s">
        <v>688</v>
      </c>
      <c r="I802" s="199">
        <v>238219104120</v>
      </c>
      <c r="J802" s="193"/>
      <c r="K802" s="193"/>
    </row>
    <row r="803" spans="1:11" x14ac:dyDescent="0.3">
      <c r="A803" s="193">
        <f t="shared" si="14"/>
        <v>791</v>
      </c>
      <c r="B803" s="193" t="s">
        <v>2911</v>
      </c>
      <c r="C803" s="193" t="s">
        <v>2916</v>
      </c>
      <c r="D803" s="193">
        <f>2*3.515</f>
        <v>7.03</v>
      </c>
      <c r="E803" s="193"/>
      <c r="F803" s="193"/>
      <c r="G803" s="193" t="s">
        <v>13</v>
      </c>
      <c r="H803" s="120" t="s">
        <v>688</v>
      </c>
      <c r="I803" s="199">
        <v>238219104130</v>
      </c>
      <c r="J803" s="193"/>
      <c r="K803" s="193"/>
    </row>
    <row r="804" spans="1:11" x14ac:dyDescent="0.3">
      <c r="A804" s="193">
        <f t="shared" si="14"/>
        <v>792</v>
      </c>
      <c r="B804" s="193" t="s">
        <v>2911</v>
      </c>
      <c r="C804" s="193" t="s">
        <v>2917</v>
      </c>
      <c r="D804" s="193">
        <f>2.5*3.515</f>
        <v>8.7874999999999996</v>
      </c>
      <c r="E804" s="193"/>
      <c r="F804" s="193"/>
      <c r="G804" s="193" t="s">
        <v>13</v>
      </c>
      <c r="H804" s="120" t="s">
        <v>688</v>
      </c>
      <c r="I804" s="199">
        <v>238219104135</v>
      </c>
      <c r="J804" s="193"/>
      <c r="K804" s="193"/>
    </row>
    <row r="805" spans="1:11" x14ac:dyDescent="0.3">
      <c r="A805" s="193">
        <f t="shared" si="14"/>
        <v>793</v>
      </c>
      <c r="B805" s="193" t="s">
        <v>2911</v>
      </c>
      <c r="C805" s="193" t="s">
        <v>2918</v>
      </c>
      <c r="D805" s="193">
        <f>3*3.515</f>
        <v>10.545</v>
      </c>
      <c r="E805" s="193"/>
      <c r="F805" s="193"/>
      <c r="G805" s="193" t="s">
        <v>13</v>
      </c>
      <c r="H805" s="120" t="s">
        <v>688</v>
      </c>
      <c r="I805" s="199">
        <v>238219104140</v>
      </c>
      <c r="J805" s="193"/>
      <c r="K805" s="193"/>
    </row>
    <row r="806" spans="1:11" x14ac:dyDescent="0.3">
      <c r="A806" s="193">
        <f t="shared" si="14"/>
        <v>794</v>
      </c>
      <c r="B806" s="193" t="s">
        <v>2911</v>
      </c>
      <c r="C806" s="193" t="s">
        <v>2919</v>
      </c>
      <c r="D806" s="193">
        <f>3.5*3.515</f>
        <v>12.3025</v>
      </c>
      <c r="E806" s="193"/>
      <c r="F806" s="193"/>
      <c r="G806" s="193" t="s">
        <v>13</v>
      </c>
      <c r="H806" s="120" t="s">
        <v>688</v>
      </c>
      <c r="I806" s="199">
        <v>238219104150</v>
      </c>
      <c r="J806" s="193"/>
      <c r="K806" s="193"/>
    </row>
    <row r="807" spans="1:11" x14ac:dyDescent="0.3">
      <c r="A807" s="193">
        <f t="shared" si="14"/>
        <v>795</v>
      </c>
      <c r="B807" s="193" t="s">
        <v>2911</v>
      </c>
      <c r="C807" s="193" t="s">
        <v>2920</v>
      </c>
      <c r="D807" s="193">
        <f>4*3.515</f>
        <v>14.06</v>
      </c>
      <c r="E807" s="193"/>
      <c r="F807" s="193"/>
      <c r="G807" s="193" t="s">
        <v>13</v>
      </c>
      <c r="H807" s="120" t="s">
        <v>688</v>
      </c>
      <c r="I807" s="199">
        <v>238219104160</v>
      </c>
      <c r="J807" s="193"/>
      <c r="K807" s="193"/>
    </row>
    <row r="808" spans="1:11" x14ac:dyDescent="0.3">
      <c r="A808" s="193">
        <f t="shared" si="14"/>
        <v>796</v>
      </c>
      <c r="B808" s="193" t="s">
        <v>2911</v>
      </c>
      <c r="C808" s="193" t="s">
        <v>2921</v>
      </c>
      <c r="D808" s="193">
        <f>5*3.515</f>
        <v>17.574999999999999</v>
      </c>
      <c r="E808" s="193"/>
      <c r="F808" s="193"/>
      <c r="G808" s="193" t="s">
        <v>13</v>
      </c>
      <c r="H808" s="120" t="s">
        <v>688</v>
      </c>
      <c r="I808" s="199">
        <v>238219104170</v>
      </c>
      <c r="J808" s="193"/>
      <c r="K808" s="193"/>
    </row>
    <row r="809" spans="1:11" x14ac:dyDescent="0.3">
      <c r="A809" s="193">
        <f t="shared" si="14"/>
        <v>797</v>
      </c>
      <c r="B809" s="193" t="s">
        <v>2911</v>
      </c>
      <c r="C809" s="193" t="s">
        <v>2922</v>
      </c>
      <c r="D809" s="193">
        <f>6*3.515</f>
        <v>21.09</v>
      </c>
      <c r="E809" s="193"/>
      <c r="F809" s="193"/>
      <c r="G809" s="193" t="s">
        <v>13</v>
      </c>
      <c r="H809" s="120" t="s">
        <v>688</v>
      </c>
      <c r="I809" s="199">
        <v>238219104180</v>
      </c>
      <c r="J809" s="193"/>
      <c r="K809" s="193"/>
    </row>
    <row r="810" spans="1:11" x14ac:dyDescent="0.3">
      <c r="A810" s="193">
        <f t="shared" si="14"/>
        <v>798</v>
      </c>
      <c r="B810" s="193" t="s">
        <v>2911</v>
      </c>
      <c r="C810" s="193" t="s">
        <v>2923</v>
      </c>
      <c r="D810" s="193">
        <f>7*3.515</f>
        <v>24.605</v>
      </c>
      <c r="E810" s="193"/>
      <c r="F810" s="193"/>
      <c r="G810" s="193" t="s">
        <v>13</v>
      </c>
      <c r="H810" s="120" t="s">
        <v>688</v>
      </c>
      <c r="I810" s="199">
        <v>238219104190</v>
      </c>
      <c r="J810" s="193"/>
      <c r="K810" s="193"/>
    </row>
    <row r="811" spans="1:11" x14ac:dyDescent="0.3">
      <c r="A811" s="193">
        <f t="shared" si="14"/>
        <v>799</v>
      </c>
      <c r="B811" s="193" t="s">
        <v>2911</v>
      </c>
      <c r="C811" s="193" t="s">
        <v>2924</v>
      </c>
      <c r="D811" s="193">
        <f>8*3.515</f>
        <v>28.12</v>
      </c>
      <c r="E811" s="193"/>
      <c r="F811" s="193"/>
      <c r="G811" s="193" t="s">
        <v>13</v>
      </c>
      <c r="H811" s="120" t="s">
        <v>688</v>
      </c>
      <c r="I811" s="199">
        <v>238219104200</v>
      </c>
      <c r="J811" s="193"/>
      <c r="K811" s="193"/>
    </row>
    <row r="812" spans="1:11" x14ac:dyDescent="0.3">
      <c r="A812" s="193">
        <f t="shared" si="14"/>
        <v>800</v>
      </c>
      <c r="B812" s="193" t="s">
        <v>2911</v>
      </c>
      <c r="C812" s="193" t="s">
        <v>2925</v>
      </c>
      <c r="D812" s="193">
        <f>10*3.515</f>
        <v>35.15</v>
      </c>
      <c r="E812" s="193"/>
      <c r="F812" s="193"/>
      <c r="G812" s="193" t="s">
        <v>13</v>
      </c>
      <c r="H812" s="120" t="s">
        <v>688</v>
      </c>
      <c r="I812" s="199">
        <v>238219104210</v>
      </c>
      <c r="J812" s="193"/>
      <c r="K812" s="193"/>
    </row>
    <row r="813" spans="1:11" x14ac:dyDescent="0.3">
      <c r="A813" s="193">
        <f t="shared" si="14"/>
        <v>801</v>
      </c>
      <c r="B813" s="193" t="s">
        <v>2926</v>
      </c>
      <c r="C813" s="193" t="s">
        <v>2927</v>
      </c>
      <c r="D813" s="193">
        <v>6.7</v>
      </c>
      <c r="E813" s="193"/>
      <c r="F813" s="193"/>
      <c r="G813" s="193" t="s">
        <v>13</v>
      </c>
      <c r="H813" s="120" t="s">
        <v>688</v>
      </c>
      <c r="I813" s="199">
        <v>238216200300</v>
      </c>
      <c r="J813" s="193"/>
      <c r="K813" s="193"/>
    </row>
    <row r="814" spans="1:11" x14ac:dyDescent="0.3">
      <c r="A814" s="193">
        <f t="shared" si="14"/>
        <v>802</v>
      </c>
      <c r="B814" s="193" t="s">
        <v>2926</v>
      </c>
      <c r="C814" s="193" t="s">
        <v>2928</v>
      </c>
      <c r="D814" s="193">
        <v>13.3</v>
      </c>
      <c r="E814" s="193"/>
      <c r="F814" s="193"/>
      <c r="G814" s="193" t="s">
        <v>13</v>
      </c>
      <c r="H814" s="120" t="s">
        <v>688</v>
      </c>
      <c r="I814" s="199">
        <v>238216200320</v>
      </c>
      <c r="J814" s="193"/>
      <c r="K814" s="193"/>
    </row>
    <row r="815" spans="1:11" x14ac:dyDescent="0.3">
      <c r="A815" s="193">
        <f t="shared" si="14"/>
        <v>803</v>
      </c>
      <c r="B815" s="193" t="s">
        <v>2926</v>
      </c>
      <c r="C815" s="193" t="s">
        <v>2929</v>
      </c>
      <c r="D815" s="193">
        <v>20</v>
      </c>
      <c r="E815" s="193"/>
      <c r="F815" s="193"/>
      <c r="G815" s="193" t="s">
        <v>13</v>
      </c>
      <c r="H815" s="120" t="s">
        <v>688</v>
      </c>
      <c r="I815" s="199">
        <v>238216200340</v>
      </c>
      <c r="J815" s="193"/>
      <c r="K815" s="193"/>
    </row>
    <row r="816" spans="1:11" x14ac:dyDescent="0.3">
      <c r="A816" s="193">
        <f t="shared" si="14"/>
        <v>804</v>
      </c>
      <c r="B816" s="193" t="s">
        <v>2926</v>
      </c>
      <c r="C816" s="193" t="s">
        <v>2930</v>
      </c>
      <c r="D816" s="193">
        <v>26.7</v>
      </c>
      <c r="E816" s="193"/>
      <c r="F816" s="193"/>
      <c r="G816" s="193" t="s">
        <v>13</v>
      </c>
      <c r="H816" s="120" t="s">
        <v>688</v>
      </c>
      <c r="I816" s="199">
        <v>238216200360</v>
      </c>
      <c r="J816" s="193"/>
      <c r="K816" s="193"/>
    </row>
    <row r="817" spans="1:11" x14ac:dyDescent="0.3">
      <c r="A817" s="193">
        <f t="shared" si="14"/>
        <v>805</v>
      </c>
      <c r="B817" s="193" t="s">
        <v>2926</v>
      </c>
      <c r="C817" s="193" t="s">
        <v>2931</v>
      </c>
      <c r="D817" s="193">
        <v>33.299999999999997</v>
      </c>
      <c r="E817" s="193"/>
      <c r="F817" s="193"/>
      <c r="G817" s="193" t="s">
        <v>13</v>
      </c>
      <c r="H817" s="120" t="s">
        <v>688</v>
      </c>
      <c r="I817" s="199">
        <v>238216200380</v>
      </c>
      <c r="J817" s="193"/>
      <c r="K817" s="193"/>
    </row>
    <row r="818" spans="1:11" x14ac:dyDescent="0.3">
      <c r="A818" s="193">
        <v>807</v>
      </c>
      <c r="B818" s="193"/>
      <c r="C818" s="193" t="s">
        <v>2932</v>
      </c>
      <c r="D818" s="193"/>
      <c r="E818" s="193"/>
      <c r="F818" s="193"/>
      <c r="G818" s="193" t="s">
        <v>13</v>
      </c>
      <c r="H818" s="120" t="s">
        <v>688</v>
      </c>
      <c r="I818" s="199">
        <v>238236101381</v>
      </c>
      <c r="J818" s="193"/>
      <c r="K818" s="193"/>
    </row>
    <row r="819" spans="1:11" x14ac:dyDescent="0.3">
      <c r="A819" s="193">
        <f t="shared" si="14"/>
        <v>808</v>
      </c>
      <c r="B819" s="193"/>
      <c r="C819" s="193" t="s">
        <v>2933</v>
      </c>
      <c r="D819" s="193"/>
      <c r="E819" s="193"/>
      <c r="F819" s="193"/>
      <c r="G819" s="193" t="s">
        <v>13</v>
      </c>
      <c r="H819" s="120" t="s">
        <v>688</v>
      </c>
      <c r="I819" s="199">
        <v>238239164436</v>
      </c>
      <c r="J819" s="193"/>
      <c r="K819" s="193"/>
    </row>
    <row r="820" spans="1:11" x14ac:dyDescent="0.3">
      <c r="A820" s="193">
        <f t="shared" si="14"/>
        <v>809</v>
      </c>
      <c r="B820" s="193"/>
      <c r="C820" s="193" t="s">
        <v>2934</v>
      </c>
      <c r="D820" s="193"/>
      <c r="E820" s="193"/>
      <c r="F820" s="193"/>
      <c r="G820" s="193" t="s">
        <v>13</v>
      </c>
      <c r="H820" s="120" t="s">
        <v>688</v>
      </c>
      <c r="I820" s="199">
        <v>238239164468</v>
      </c>
      <c r="J820" s="193"/>
      <c r="K820" s="193"/>
    </row>
    <row r="821" spans="1:11" x14ac:dyDescent="0.3">
      <c r="A821" s="193">
        <f t="shared" si="14"/>
        <v>810</v>
      </c>
      <c r="B821" s="193" t="s">
        <v>2935</v>
      </c>
      <c r="C821" s="193" t="s">
        <v>2936</v>
      </c>
      <c r="D821" s="193">
        <f>1.5*3.517</f>
        <v>5.2755000000000001</v>
      </c>
      <c r="E821" s="193"/>
      <c r="F821" s="193"/>
      <c r="G821" s="193" t="s">
        <v>13</v>
      </c>
      <c r="H821" s="120" t="s">
        <v>688</v>
      </c>
      <c r="I821" s="199">
        <v>236213100050</v>
      </c>
      <c r="J821" s="193"/>
      <c r="K821" s="193"/>
    </row>
    <row r="822" spans="1:11" x14ac:dyDescent="0.3">
      <c r="A822" s="193">
        <f t="shared" si="14"/>
        <v>811</v>
      </c>
      <c r="B822" s="193" t="s">
        <v>2935</v>
      </c>
      <c r="C822" s="193" t="s">
        <v>2937</v>
      </c>
      <c r="D822" s="193">
        <f>2*3.517</f>
        <v>7.0339999999999998</v>
      </c>
      <c r="E822" s="193"/>
      <c r="F822" s="193"/>
      <c r="G822" s="193" t="s">
        <v>13</v>
      </c>
      <c r="H822" s="120" t="s">
        <v>688</v>
      </c>
      <c r="I822" s="199">
        <v>236213100100</v>
      </c>
      <c r="J822" s="193"/>
      <c r="K822" s="193"/>
    </row>
    <row r="823" spans="1:11" x14ac:dyDescent="0.3">
      <c r="A823" s="193">
        <f t="shared" si="14"/>
        <v>812</v>
      </c>
      <c r="B823" s="193" t="s">
        <v>2935</v>
      </c>
      <c r="C823" s="193" t="s">
        <v>2938</v>
      </c>
      <c r="D823" s="193">
        <f>2.5*3.517</f>
        <v>8.7925000000000004</v>
      </c>
      <c r="E823" s="193"/>
      <c r="F823" s="193"/>
      <c r="G823" s="193" t="s">
        <v>13</v>
      </c>
      <c r="H823" s="120" t="s">
        <v>688</v>
      </c>
      <c r="I823" s="199">
        <v>236213100200</v>
      </c>
      <c r="J823" s="193"/>
      <c r="K823" s="193"/>
    </row>
    <row r="824" spans="1:11" x14ac:dyDescent="0.3">
      <c r="A824" s="193">
        <f t="shared" si="14"/>
        <v>813</v>
      </c>
      <c r="B824" s="193" t="s">
        <v>2935</v>
      </c>
      <c r="C824" s="193" t="s">
        <v>2939</v>
      </c>
      <c r="D824" s="193">
        <f>3*3.517</f>
        <v>10.551</v>
      </c>
      <c r="E824" s="193"/>
      <c r="F824" s="193"/>
      <c r="G824" s="193" t="s">
        <v>13</v>
      </c>
      <c r="H824" s="120" t="s">
        <v>688</v>
      </c>
      <c r="I824" s="199">
        <v>236213100300</v>
      </c>
      <c r="J824" s="193"/>
      <c r="K824" s="193"/>
    </row>
    <row r="825" spans="1:11" x14ac:dyDescent="0.3">
      <c r="A825" s="193">
        <f t="shared" si="14"/>
        <v>814</v>
      </c>
      <c r="B825" s="193" t="s">
        <v>2935</v>
      </c>
      <c r="C825" s="193" t="s">
        <v>2940</v>
      </c>
      <c r="D825" s="193">
        <f>3.5*3.517</f>
        <v>12.3095</v>
      </c>
      <c r="E825" s="193"/>
      <c r="F825" s="193"/>
      <c r="G825" s="193" t="s">
        <v>13</v>
      </c>
      <c r="H825" s="120" t="s">
        <v>688</v>
      </c>
      <c r="I825" s="199">
        <v>236213100350</v>
      </c>
      <c r="J825" s="193"/>
      <c r="K825" s="193"/>
    </row>
    <row r="826" spans="1:11" x14ac:dyDescent="0.3">
      <c r="A826" s="193">
        <f t="shared" si="14"/>
        <v>815</v>
      </c>
      <c r="B826" s="193" t="s">
        <v>2935</v>
      </c>
      <c r="C826" s="193" t="s">
        <v>2941</v>
      </c>
      <c r="D826" s="193">
        <f>4*3.517</f>
        <v>14.068</v>
      </c>
      <c r="E826" s="193"/>
      <c r="F826" s="193"/>
      <c r="G826" s="193" t="s">
        <v>13</v>
      </c>
      <c r="H826" s="120" t="s">
        <v>688</v>
      </c>
      <c r="I826" s="199">
        <v>236213100400</v>
      </c>
      <c r="J826" s="193"/>
      <c r="K826" s="193"/>
    </row>
    <row r="827" spans="1:11" x14ac:dyDescent="0.3">
      <c r="A827" s="193">
        <f t="shared" si="14"/>
        <v>816</v>
      </c>
      <c r="B827" s="193" t="s">
        <v>2935</v>
      </c>
      <c r="C827" s="193" t="s">
        <v>2942</v>
      </c>
      <c r="D827" s="193">
        <f>5*3.517</f>
        <v>17.585000000000001</v>
      </c>
      <c r="E827" s="193"/>
      <c r="F827" s="193"/>
      <c r="G827" s="193" t="s">
        <v>13</v>
      </c>
      <c r="H827" s="120" t="s">
        <v>688</v>
      </c>
      <c r="I827" s="199">
        <v>236213100500</v>
      </c>
      <c r="J827" s="193"/>
      <c r="K827" s="193"/>
    </row>
    <row r="828" spans="1:11" x14ac:dyDescent="0.3">
      <c r="A828" s="193">
        <f t="shared" si="14"/>
        <v>817</v>
      </c>
      <c r="B828" s="193" t="s">
        <v>2935</v>
      </c>
      <c r="C828" s="193" t="s">
        <v>2943</v>
      </c>
      <c r="D828" s="193">
        <f>7.5*3.517</f>
        <v>26.377499999999998</v>
      </c>
      <c r="E828" s="193"/>
      <c r="F828" s="193"/>
      <c r="G828" s="193" t="s">
        <v>13</v>
      </c>
      <c r="H828" s="120" t="s">
        <v>688</v>
      </c>
      <c r="I828" s="199">
        <v>236213100550</v>
      </c>
      <c r="J828" s="193"/>
      <c r="K828" s="193"/>
    </row>
    <row r="829" spans="1:11" x14ac:dyDescent="0.3">
      <c r="A829" s="193">
        <f t="shared" si="14"/>
        <v>818</v>
      </c>
      <c r="B829" s="193" t="s">
        <v>2935</v>
      </c>
      <c r="C829" s="193" t="s">
        <v>2944</v>
      </c>
      <c r="D829" s="193">
        <f>8.5*3.517</f>
        <v>29.894500000000001</v>
      </c>
      <c r="E829" s="193"/>
      <c r="F829" s="193"/>
      <c r="G829" s="193" t="s">
        <v>13</v>
      </c>
      <c r="H829" s="120" t="s">
        <v>688</v>
      </c>
      <c r="I829" s="199">
        <v>236213100560</v>
      </c>
      <c r="J829" s="193"/>
      <c r="K829" s="193"/>
    </row>
    <row r="830" spans="1:11" x14ac:dyDescent="0.3">
      <c r="A830" s="193">
        <f t="shared" si="14"/>
        <v>819</v>
      </c>
      <c r="B830" s="193" t="s">
        <v>2935</v>
      </c>
      <c r="C830" s="193" t="s">
        <v>2945</v>
      </c>
      <c r="D830" s="193">
        <f>10*3.517</f>
        <v>35.17</v>
      </c>
      <c r="E830" s="193"/>
      <c r="F830" s="193"/>
      <c r="G830" s="193" t="s">
        <v>13</v>
      </c>
      <c r="H830" s="120" t="s">
        <v>688</v>
      </c>
      <c r="I830" s="199">
        <v>236213100600</v>
      </c>
      <c r="J830" s="193"/>
      <c r="K830" s="193"/>
    </row>
    <row r="831" spans="1:11" x14ac:dyDescent="0.3">
      <c r="A831" s="193">
        <f t="shared" ref="A831:A889" si="15">A830+1</f>
        <v>820</v>
      </c>
      <c r="B831" s="193" t="s">
        <v>2935</v>
      </c>
      <c r="C831" s="193" t="s">
        <v>2946</v>
      </c>
      <c r="D831" s="193">
        <f>12.5*3.517</f>
        <v>43.962499999999999</v>
      </c>
      <c r="E831" s="193"/>
      <c r="F831" s="193"/>
      <c r="G831" s="193" t="s">
        <v>13</v>
      </c>
      <c r="H831" s="120" t="s">
        <v>688</v>
      </c>
      <c r="I831" s="199">
        <v>236213100620</v>
      </c>
      <c r="J831" s="193"/>
      <c r="K831" s="193"/>
    </row>
    <row r="832" spans="1:11" x14ac:dyDescent="0.3">
      <c r="A832" s="193">
        <f t="shared" si="15"/>
        <v>821</v>
      </c>
      <c r="B832" s="193" t="s">
        <v>2935</v>
      </c>
      <c r="C832" s="193" t="s">
        <v>2947</v>
      </c>
      <c r="D832" s="193">
        <f>15*3.517</f>
        <v>52.754999999999995</v>
      </c>
      <c r="E832" s="193"/>
      <c r="F832" s="193"/>
      <c r="G832" s="193" t="s">
        <v>13</v>
      </c>
      <c r="H832" s="120" t="s">
        <v>688</v>
      </c>
      <c r="I832" s="199">
        <v>236213100650</v>
      </c>
      <c r="J832" s="193"/>
      <c r="K832" s="193"/>
    </row>
    <row r="833" spans="1:11" x14ac:dyDescent="0.3">
      <c r="A833" s="193">
        <f t="shared" si="15"/>
        <v>822</v>
      </c>
      <c r="B833" s="193" t="s">
        <v>2935</v>
      </c>
      <c r="C833" s="193" t="s">
        <v>2948</v>
      </c>
      <c r="D833" s="193">
        <f>20*3.517</f>
        <v>70.34</v>
      </c>
      <c r="E833" s="193"/>
      <c r="F833" s="193"/>
      <c r="G833" s="193" t="s">
        <v>13</v>
      </c>
      <c r="H833" s="120" t="s">
        <v>688</v>
      </c>
      <c r="I833" s="199">
        <v>236213100700</v>
      </c>
      <c r="J833" s="193"/>
      <c r="K833" s="193"/>
    </row>
    <row r="834" spans="1:11" x14ac:dyDescent="0.3">
      <c r="A834" s="193">
        <f t="shared" si="15"/>
        <v>823</v>
      </c>
      <c r="B834" s="193" t="s">
        <v>2935</v>
      </c>
      <c r="C834" s="193" t="s">
        <v>2949</v>
      </c>
      <c r="D834" s="193">
        <f>25*3.517</f>
        <v>87.924999999999997</v>
      </c>
      <c r="E834" s="193"/>
      <c r="F834" s="193"/>
      <c r="G834" s="193" t="s">
        <v>13</v>
      </c>
      <c r="H834" s="120" t="s">
        <v>688</v>
      </c>
      <c r="I834" s="199">
        <v>236213100720</v>
      </c>
      <c r="J834" s="193"/>
      <c r="K834" s="193"/>
    </row>
    <row r="835" spans="1:11" x14ac:dyDescent="0.3">
      <c r="A835" s="193">
        <f t="shared" si="15"/>
        <v>824</v>
      </c>
      <c r="B835" s="193" t="s">
        <v>2935</v>
      </c>
      <c r="C835" s="193" t="s">
        <v>2950</v>
      </c>
      <c r="D835" s="193">
        <f>30*3.517</f>
        <v>105.50999999999999</v>
      </c>
      <c r="E835" s="193"/>
      <c r="F835" s="193"/>
      <c r="G835" s="193" t="s">
        <v>13</v>
      </c>
      <c r="H835" s="120" t="s">
        <v>688</v>
      </c>
      <c r="I835" s="199">
        <v>236213100750</v>
      </c>
      <c r="J835" s="193"/>
      <c r="K835" s="193"/>
    </row>
    <row r="836" spans="1:11" x14ac:dyDescent="0.3">
      <c r="A836" s="193">
        <f t="shared" si="15"/>
        <v>825</v>
      </c>
      <c r="B836" s="193" t="s">
        <v>2935</v>
      </c>
      <c r="C836" s="193" t="s">
        <v>2951</v>
      </c>
      <c r="D836" s="193">
        <f>40*3.517</f>
        <v>140.68</v>
      </c>
      <c r="E836" s="193"/>
      <c r="F836" s="193"/>
      <c r="G836" s="193" t="s">
        <v>13</v>
      </c>
      <c r="H836" s="120" t="s">
        <v>688</v>
      </c>
      <c r="I836" s="199">
        <v>236213100800</v>
      </c>
      <c r="J836" s="193"/>
      <c r="K836" s="193"/>
    </row>
    <row r="837" spans="1:11" x14ac:dyDescent="0.3">
      <c r="A837" s="193">
        <f t="shared" si="15"/>
        <v>826</v>
      </c>
      <c r="B837" s="193" t="s">
        <v>2935</v>
      </c>
      <c r="C837" s="193" t="s">
        <v>2952</v>
      </c>
      <c r="D837" s="193">
        <f>50*3.517</f>
        <v>175.85</v>
      </c>
      <c r="E837" s="193"/>
      <c r="F837" s="193"/>
      <c r="G837" s="193" t="s">
        <v>13</v>
      </c>
      <c r="H837" s="120" t="s">
        <v>688</v>
      </c>
      <c r="I837" s="199">
        <v>236213100840</v>
      </c>
      <c r="J837" s="193"/>
      <c r="K837" s="193"/>
    </row>
    <row r="838" spans="1:11" x14ac:dyDescent="0.3">
      <c r="A838" s="193">
        <f t="shared" si="15"/>
        <v>827</v>
      </c>
      <c r="B838" s="193" t="s">
        <v>2935</v>
      </c>
      <c r="C838" s="193" t="s">
        <v>2953</v>
      </c>
      <c r="D838" s="193">
        <f>60*3.517</f>
        <v>211.01999999999998</v>
      </c>
      <c r="E838" s="193"/>
      <c r="F838" s="193"/>
      <c r="G838" s="193" t="s">
        <v>13</v>
      </c>
      <c r="H838" s="120" t="s">
        <v>688</v>
      </c>
      <c r="I838" s="199">
        <v>236213100860</v>
      </c>
      <c r="J838" s="193"/>
      <c r="K838" s="193"/>
    </row>
    <row r="839" spans="1:11" x14ac:dyDescent="0.3">
      <c r="A839" s="193">
        <f t="shared" si="15"/>
        <v>828</v>
      </c>
      <c r="B839" s="193" t="s">
        <v>2935</v>
      </c>
      <c r="C839" s="193" t="s">
        <v>2954</v>
      </c>
      <c r="D839" s="193">
        <f>70*3.517</f>
        <v>246.19</v>
      </c>
      <c r="E839" s="193"/>
      <c r="F839" s="193"/>
      <c r="G839" s="193" t="s">
        <v>13</v>
      </c>
      <c r="H839" s="120" t="s">
        <v>688</v>
      </c>
      <c r="I839" s="199">
        <v>236213100900</v>
      </c>
      <c r="J839" s="193"/>
      <c r="K839" s="193"/>
    </row>
    <row r="840" spans="1:11" x14ac:dyDescent="0.3">
      <c r="A840" s="193">
        <f t="shared" si="15"/>
        <v>829</v>
      </c>
      <c r="B840" s="193" t="s">
        <v>2935</v>
      </c>
      <c r="C840" s="193" t="s">
        <v>2955</v>
      </c>
      <c r="D840" s="193">
        <f>80*3.517</f>
        <v>281.36</v>
      </c>
      <c r="E840" s="193"/>
      <c r="F840" s="193"/>
      <c r="G840" s="193" t="s">
        <v>13</v>
      </c>
      <c r="H840" s="120" t="s">
        <v>688</v>
      </c>
      <c r="I840" s="199">
        <v>236213101000</v>
      </c>
      <c r="J840" s="193"/>
      <c r="K840" s="193"/>
    </row>
    <row r="841" spans="1:11" x14ac:dyDescent="0.3">
      <c r="A841" s="193">
        <f t="shared" si="15"/>
        <v>830</v>
      </c>
      <c r="B841" s="193" t="s">
        <v>2935</v>
      </c>
      <c r="C841" s="193" t="s">
        <v>2956</v>
      </c>
      <c r="D841" s="193">
        <f>90*3.517</f>
        <v>316.52999999999997</v>
      </c>
      <c r="E841" s="193"/>
      <c r="F841" s="193"/>
      <c r="G841" s="193" t="s">
        <v>13</v>
      </c>
      <c r="H841" s="120" t="s">
        <v>688</v>
      </c>
      <c r="I841" s="199">
        <v>236213101010</v>
      </c>
      <c r="J841" s="193"/>
      <c r="K841" s="193"/>
    </row>
    <row r="842" spans="1:11" x14ac:dyDescent="0.3">
      <c r="A842" s="193">
        <f t="shared" si="15"/>
        <v>831</v>
      </c>
      <c r="B842" s="193" t="s">
        <v>2935</v>
      </c>
      <c r="C842" s="193" t="s">
        <v>2957</v>
      </c>
      <c r="D842" s="193">
        <f>100*3.517</f>
        <v>351.7</v>
      </c>
      <c r="E842" s="193"/>
      <c r="F842" s="193"/>
      <c r="G842" s="193" t="s">
        <v>13</v>
      </c>
      <c r="H842" s="120" t="s">
        <v>688</v>
      </c>
      <c r="I842" s="199">
        <v>236213101100</v>
      </c>
      <c r="J842" s="193"/>
      <c r="K842" s="193"/>
    </row>
    <row r="843" spans="1:11" x14ac:dyDescent="0.3">
      <c r="A843" s="193">
        <f t="shared" si="15"/>
        <v>832</v>
      </c>
      <c r="B843" s="193" t="s">
        <v>2958</v>
      </c>
      <c r="C843" s="193" t="s">
        <v>2959</v>
      </c>
      <c r="D843" s="193">
        <v>2</v>
      </c>
      <c r="E843" s="193"/>
      <c r="F843" s="193"/>
      <c r="G843" s="193" t="s">
        <v>13</v>
      </c>
      <c r="H843" s="120" t="s">
        <v>688</v>
      </c>
      <c r="I843" s="199">
        <v>238333108350</v>
      </c>
      <c r="J843" s="193"/>
      <c r="K843" s="193"/>
    </row>
    <row r="844" spans="1:11" x14ac:dyDescent="0.3">
      <c r="A844" s="193">
        <f t="shared" si="15"/>
        <v>833</v>
      </c>
      <c r="B844" s="193" t="s">
        <v>2958</v>
      </c>
      <c r="C844" s="193" t="s">
        <v>2959</v>
      </c>
      <c r="D844" s="193">
        <v>3</v>
      </c>
      <c r="E844" s="193"/>
      <c r="F844" s="193"/>
      <c r="G844" s="193" t="s">
        <v>13</v>
      </c>
      <c r="H844" s="120" t="s">
        <v>688</v>
      </c>
      <c r="I844" s="199">
        <v>238333108370</v>
      </c>
      <c r="J844" s="193"/>
      <c r="K844" s="193"/>
    </row>
    <row r="845" spans="1:11" x14ac:dyDescent="0.3">
      <c r="A845" s="193">
        <f t="shared" si="15"/>
        <v>834</v>
      </c>
      <c r="B845" s="193" t="s">
        <v>2958</v>
      </c>
      <c r="C845" s="193" t="s">
        <v>2959</v>
      </c>
      <c r="D845" s="193">
        <v>4</v>
      </c>
      <c r="E845" s="193"/>
      <c r="F845" s="193"/>
      <c r="G845" s="193" t="s">
        <v>13</v>
      </c>
      <c r="H845" s="120" t="s">
        <v>688</v>
      </c>
      <c r="I845" s="199">
        <v>238333108380</v>
      </c>
      <c r="J845" s="193"/>
      <c r="K845" s="193"/>
    </row>
    <row r="846" spans="1:11" x14ac:dyDescent="0.3">
      <c r="A846" s="193">
        <f t="shared" si="15"/>
        <v>835</v>
      </c>
      <c r="B846" s="193" t="s">
        <v>2958</v>
      </c>
      <c r="C846" s="193" t="s">
        <v>2959</v>
      </c>
      <c r="D846" s="193">
        <v>5</v>
      </c>
      <c r="E846" s="193"/>
      <c r="F846" s="193"/>
      <c r="G846" s="193" t="s">
        <v>13</v>
      </c>
      <c r="H846" s="120" t="s">
        <v>688</v>
      </c>
      <c r="I846" s="199">
        <v>238333108390</v>
      </c>
      <c r="J846" s="193"/>
      <c r="K846" s="193"/>
    </row>
    <row r="847" spans="1:11" x14ac:dyDescent="0.3">
      <c r="A847" s="193">
        <f t="shared" si="15"/>
        <v>836</v>
      </c>
      <c r="B847" s="193" t="s">
        <v>2958</v>
      </c>
      <c r="C847" s="193" t="s">
        <v>2959</v>
      </c>
      <c r="D847" s="193">
        <v>6</v>
      </c>
      <c r="E847" s="193"/>
      <c r="F847" s="193"/>
      <c r="G847" s="193" t="s">
        <v>13</v>
      </c>
      <c r="H847" s="120" t="s">
        <v>688</v>
      </c>
      <c r="I847" s="199">
        <v>238333108400</v>
      </c>
      <c r="J847" s="193"/>
      <c r="K847" s="193"/>
    </row>
    <row r="848" spans="1:11" x14ac:dyDescent="0.3">
      <c r="A848" s="193">
        <f t="shared" si="15"/>
        <v>837</v>
      </c>
      <c r="B848" s="193" t="s">
        <v>2958</v>
      </c>
      <c r="C848" s="193" t="s">
        <v>2959</v>
      </c>
      <c r="D848" s="193">
        <v>8</v>
      </c>
      <c r="E848" s="193"/>
      <c r="F848" s="193"/>
      <c r="G848" s="193" t="s">
        <v>13</v>
      </c>
      <c r="H848" s="120" t="s">
        <v>688</v>
      </c>
      <c r="I848" s="199">
        <v>238333108410</v>
      </c>
      <c r="J848" s="193"/>
      <c r="K848" s="193"/>
    </row>
    <row r="849" spans="1:11" x14ac:dyDescent="0.3">
      <c r="A849" s="193">
        <f t="shared" si="15"/>
        <v>838</v>
      </c>
      <c r="B849" s="193" t="s">
        <v>2958</v>
      </c>
      <c r="C849" s="193" t="s">
        <v>2959</v>
      </c>
      <c r="D849" s="193">
        <v>10</v>
      </c>
      <c r="E849" s="193"/>
      <c r="F849" s="193"/>
      <c r="G849" s="193" t="s">
        <v>13</v>
      </c>
      <c r="H849" s="120" t="s">
        <v>688</v>
      </c>
      <c r="I849" s="199">
        <v>238333108420</v>
      </c>
      <c r="J849" s="193"/>
      <c r="K849" s="193"/>
    </row>
    <row r="850" spans="1:11" x14ac:dyDescent="0.3">
      <c r="A850" s="193">
        <f t="shared" si="15"/>
        <v>839</v>
      </c>
      <c r="B850" s="193" t="s">
        <v>2958</v>
      </c>
      <c r="C850" s="193" t="s">
        <v>2959</v>
      </c>
      <c r="D850" s="193">
        <v>12</v>
      </c>
      <c r="E850" s="193"/>
      <c r="F850" s="193"/>
      <c r="G850" s="193" t="s">
        <v>13</v>
      </c>
      <c r="H850" s="120" t="s">
        <v>688</v>
      </c>
      <c r="I850" s="199">
        <v>238333108430</v>
      </c>
      <c r="J850" s="193"/>
      <c r="K850" s="193"/>
    </row>
    <row r="851" spans="1:11" x14ac:dyDescent="0.3">
      <c r="A851" s="193">
        <f t="shared" si="15"/>
        <v>840</v>
      </c>
      <c r="B851" s="193" t="s">
        <v>2958</v>
      </c>
      <c r="C851" s="193" t="s">
        <v>2959</v>
      </c>
      <c r="D851" s="193">
        <v>13.5</v>
      </c>
      <c r="E851" s="193"/>
      <c r="F851" s="193"/>
      <c r="G851" s="193" t="s">
        <v>13</v>
      </c>
      <c r="H851" s="120" t="s">
        <v>688</v>
      </c>
      <c r="I851" s="199">
        <v>238333108440</v>
      </c>
      <c r="J851" s="193"/>
      <c r="K851" s="193"/>
    </row>
    <row r="852" spans="1:11" x14ac:dyDescent="0.3">
      <c r="A852" s="193">
        <f t="shared" si="15"/>
        <v>841</v>
      </c>
      <c r="B852" s="193" t="s">
        <v>2958</v>
      </c>
      <c r="C852" s="193" t="s">
        <v>2959</v>
      </c>
      <c r="D852" s="193">
        <v>16</v>
      </c>
      <c r="E852" s="193"/>
      <c r="F852" s="193"/>
      <c r="G852" s="193" t="s">
        <v>13</v>
      </c>
      <c r="H852" s="120" t="s">
        <v>688</v>
      </c>
      <c r="I852" s="199">
        <v>238333108450</v>
      </c>
      <c r="J852" s="193"/>
      <c r="K852" s="193"/>
    </row>
    <row r="853" spans="1:11" x14ac:dyDescent="0.3">
      <c r="A853" s="193">
        <f t="shared" si="15"/>
        <v>842</v>
      </c>
      <c r="B853" s="193" t="s">
        <v>2958</v>
      </c>
      <c r="C853" s="193" t="s">
        <v>2959</v>
      </c>
      <c r="D853" s="193">
        <v>20</v>
      </c>
      <c r="E853" s="193"/>
      <c r="F853" s="193"/>
      <c r="G853" s="193" t="s">
        <v>13</v>
      </c>
      <c r="H853" s="120" t="s">
        <v>688</v>
      </c>
      <c r="I853" s="199">
        <v>238333108460</v>
      </c>
      <c r="J853" s="193"/>
      <c r="K853" s="193"/>
    </row>
    <row r="854" spans="1:11" x14ac:dyDescent="0.3">
      <c r="A854" s="193">
        <f t="shared" si="15"/>
        <v>843</v>
      </c>
      <c r="B854" s="193" t="s">
        <v>2958</v>
      </c>
      <c r="C854" s="193" t="s">
        <v>2959</v>
      </c>
      <c r="D854" s="193">
        <v>24</v>
      </c>
      <c r="E854" s="193"/>
      <c r="F854" s="193"/>
      <c r="G854" s="193" t="s">
        <v>13</v>
      </c>
      <c r="H854" s="120" t="s">
        <v>688</v>
      </c>
      <c r="I854" s="199">
        <v>238333108470</v>
      </c>
      <c r="J854" s="193"/>
      <c r="K854" s="193"/>
    </row>
    <row r="855" spans="1:11" x14ac:dyDescent="0.3">
      <c r="A855" s="193">
        <v>845</v>
      </c>
      <c r="B855" s="193" t="s">
        <v>2960</v>
      </c>
      <c r="C855" s="193" t="s">
        <v>2961</v>
      </c>
      <c r="D855" s="193"/>
      <c r="E855" s="193"/>
      <c r="F855" s="193"/>
      <c r="G855" s="193" t="s">
        <v>13</v>
      </c>
      <c r="H855" s="120" t="s">
        <v>688</v>
      </c>
      <c r="I855" s="199">
        <v>238333101800</v>
      </c>
      <c r="J855" s="193"/>
      <c r="K855" s="193"/>
    </row>
    <row r="856" spans="1:11" x14ac:dyDescent="0.3">
      <c r="A856" s="193">
        <f t="shared" si="15"/>
        <v>846</v>
      </c>
      <c r="B856" s="193" t="s">
        <v>2962</v>
      </c>
      <c r="C856" s="193" t="s">
        <v>2963</v>
      </c>
      <c r="D856" s="193"/>
      <c r="E856" s="193"/>
      <c r="F856" s="193"/>
      <c r="G856" s="193" t="s">
        <v>13</v>
      </c>
      <c r="H856" s="120" t="s">
        <v>688</v>
      </c>
      <c r="I856" s="199">
        <v>238333104030</v>
      </c>
      <c r="J856" s="193"/>
      <c r="K856" s="193"/>
    </row>
    <row r="857" spans="1:11" x14ac:dyDescent="0.3">
      <c r="A857" s="193">
        <f t="shared" si="15"/>
        <v>847</v>
      </c>
      <c r="B857" s="193" t="s">
        <v>2964</v>
      </c>
      <c r="C857" s="193" t="s">
        <v>2965</v>
      </c>
      <c r="D857" s="193"/>
      <c r="E857" s="193"/>
      <c r="F857" s="193"/>
      <c r="G857" s="193" t="s">
        <v>13</v>
      </c>
      <c r="H857" s="120" t="s">
        <v>688</v>
      </c>
      <c r="I857" s="199">
        <v>238333106300</v>
      </c>
      <c r="J857" s="193"/>
      <c r="K857" s="193"/>
    </row>
    <row r="858" spans="1:11" x14ac:dyDescent="0.3">
      <c r="A858" s="193">
        <f t="shared" si="15"/>
        <v>848</v>
      </c>
      <c r="B858" s="193" t="s">
        <v>2966</v>
      </c>
      <c r="C858" s="193" t="s">
        <v>2967</v>
      </c>
      <c r="D858" s="193">
        <v>14</v>
      </c>
      <c r="E858" s="193"/>
      <c r="F858" s="193"/>
      <c r="G858" s="193" t="s">
        <v>13</v>
      </c>
      <c r="H858" s="120" t="s">
        <v>688</v>
      </c>
      <c r="I858" s="199">
        <v>260519900920</v>
      </c>
      <c r="J858" s="193" t="s">
        <v>21</v>
      </c>
      <c r="K858" s="193"/>
    </row>
    <row r="859" spans="1:11" x14ac:dyDescent="0.3">
      <c r="A859" s="193">
        <f t="shared" si="15"/>
        <v>849</v>
      </c>
      <c r="B859" s="193" t="s">
        <v>2966</v>
      </c>
      <c r="C859" s="193" t="s">
        <v>2968</v>
      </c>
      <c r="D859" s="193">
        <v>12</v>
      </c>
      <c r="E859" s="193"/>
      <c r="F859" s="193"/>
      <c r="G859" s="193" t="s">
        <v>13</v>
      </c>
      <c r="H859" s="120" t="s">
        <v>688</v>
      </c>
      <c r="I859" s="199">
        <v>260519900940</v>
      </c>
      <c r="J859" s="193" t="s">
        <v>21</v>
      </c>
      <c r="K859" s="193"/>
    </row>
    <row r="860" spans="1:11" x14ac:dyDescent="0.3">
      <c r="A860" s="193">
        <f t="shared" si="15"/>
        <v>850</v>
      </c>
      <c r="B860" s="193" t="s">
        <v>2966</v>
      </c>
      <c r="C860" s="193" t="s">
        <v>2969</v>
      </c>
      <c r="D860" s="193">
        <v>10</v>
      </c>
      <c r="E860" s="193"/>
      <c r="F860" s="193"/>
      <c r="G860" s="193" t="s">
        <v>13</v>
      </c>
      <c r="H860" s="120" t="s">
        <v>688</v>
      </c>
      <c r="I860" s="199">
        <v>260519900960</v>
      </c>
      <c r="J860" s="193" t="s">
        <v>21</v>
      </c>
      <c r="K860" s="193"/>
    </row>
    <row r="861" spans="1:11" x14ac:dyDescent="0.3">
      <c r="A861" s="193">
        <f t="shared" si="15"/>
        <v>851</v>
      </c>
      <c r="B861" s="193" t="s">
        <v>2970</v>
      </c>
      <c r="C861" s="193" t="s">
        <v>2971</v>
      </c>
      <c r="D861" s="193"/>
      <c r="E861" s="193"/>
      <c r="F861" s="193"/>
      <c r="G861" s="193" t="s">
        <v>13</v>
      </c>
      <c r="H861" s="120" t="s">
        <v>688</v>
      </c>
      <c r="I861" s="199">
        <v>260533130700</v>
      </c>
      <c r="J861" s="193" t="s">
        <v>2015</v>
      </c>
      <c r="K861" s="193"/>
    </row>
    <row r="862" spans="1:11" x14ac:dyDescent="0.3">
      <c r="A862" s="193">
        <f t="shared" si="15"/>
        <v>852</v>
      </c>
      <c r="B862" s="193" t="s">
        <v>2972</v>
      </c>
      <c r="C862" s="193" t="s">
        <v>2973</v>
      </c>
      <c r="D862" s="193">
        <v>4</v>
      </c>
      <c r="E862" s="193"/>
      <c r="F862" s="193"/>
      <c r="G862" s="193" t="s">
        <v>13</v>
      </c>
      <c r="H862" s="120" t="s">
        <v>688</v>
      </c>
      <c r="I862" s="199">
        <v>260533160950</v>
      </c>
      <c r="J862" s="193"/>
      <c r="K862" s="193"/>
    </row>
    <row r="863" spans="1:11" x14ac:dyDescent="0.3">
      <c r="A863" s="193">
        <f t="shared" si="15"/>
        <v>853</v>
      </c>
      <c r="B863" s="193" t="s">
        <v>2972</v>
      </c>
      <c r="C863" s="193" t="s">
        <v>2974</v>
      </c>
      <c r="D863" s="193">
        <v>1</v>
      </c>
      <c r="E863" s="193"/>
      <c r="F863" s="193"/>
      <c r="G863" s="193" t="s">
        <v>13</v>
      </c>
      <c r="H863" s="120" t="s">
        <v>688</v>
      </c>
      <c r="I863" s="199">
        <v>260533161000</v>
      </c>
      <c r="J863" s="193"/>
      <c r="K863" s="193"/>
    </row>
    <row r="864" spans="1:11" x14ac:dyDescent="0.3">
      <c r="A864" s="193">
        <f t="shared" si="15"/>
        <v>854</v>
      </c>
      <c r="B864" s="193" t="s">
        <v>2975</v>
      </c>
      <c r="C864" s="193" t="s">
        <v>2976</v>
      </c>
      <c r="D864" s="193"/>
      <c r="E864" s="193"/>
      <c r="F864" s="193"/>
      <c r="G864" s="193" t="s">
        <v>13</v>
      </c>
      <c r="H864" s="120" t="s">
        <v>688</v>
      </c>
      <c r="I864" s="199">
        <v>260590109520</v>
      </c>
      <c r="J864" s="193"/>
      <c r="K864" s="193"/>
    </row>
    <row r="865" spans="1:11" x14ac:dyDescent="0.3">
      <c r="A865" s="193">
        <v>859</v>
      </c>
      <c r="B865" s="193" t="s">
        <v>2977</v>
      </c>
      <c r="C865" s="193" t="s">
        <v>2978</v>
      </c>
      <c r="D865" s="193">
        <v>3.2</v>
      </c>
      <c r="E865" s="193" t="s">
        <v>2979</v>
      </c>
      <c r="F865" s="193"/>
      <c r="G865" s="193" t="s">
        <v>13</v>
      </c>
      <c r="H865" s="120" t="s">
        <v>688</v>
      </c>
      <c r="I865" s="237" t="s">
        <v>2980</v>
      </c>
      <c r="J865" s="193"/>
      <c r="K865" s="193"/>
    </row>
    <row r="866" spans="1:11" x14ac:dyDescent="0.3">
      <c r="A866" s="193">
        <f t="shared" si="15"/>
        <v>860</v>
      </c>
      <c r="B866" s="193" t="s">
        <v>2977</v>
      </c>
      <c r="C866" s="193" t="s">
        <v>2981</v>
      </c>
      <c r="D866" s="193">
        <v>6.4</v>
      </c>
      <c r="E866" s="193" t="s">
        <v>2979</v>
      </c>
      <c r="F866" s="193"/>
      <c r="G866" s="193" t="s">
        <v>13</v>
      </c>
      <c r="H866" s="120" t="s">
        <v>688</v>
      </c>
      <c r="I866" s="237" t="s">
        <v>2982</v>
      </c>
      <c r="J866" s="193"/>
      <c r="K866" s="193"/>
    </row>
    <row r="867" spans="1:11" x14ac:dyDescent="0.3">
      <c r="A867" s="193">
        <f t="shared" si="15"/>
        <v>861</v>
      </c>
      <c r="B867" s="193" t="s">
        <v>2977</v>
      </c>
      <c r="C867" s="193" t="s">
        <v>2983</v>
      </c>
      <c r="D867" s="193">
        <v>8.4</v>
      </c>
      <c r="E867" s="193" t="s">
        <v>2979</v>
      </c>
      <c r="F867" s="193"/>
      <c r="G867" s="193" t="s">
        <v>13</v>
      </c>
      <c r="H867" s="120" t="s">
        <v>688</v>
      </c>
      <c r="I867" s="237" t="s">
        <v>2984</v>
      </c>
      <c r="J867" s="193"/>
      <c r="K867" s="193"/>
    </row>
    <row r="868" spans="1:11" x14ac:dyDescent="0.3">
      <c r="A868" s="193">
        <f t="shared" si="15"/>
        <v>862</v>
      </c>
      <c r="B868" s="193" t="s">
        <v>2977</v>
      </c>
      <c r="C868" s="193" t="s">
        <v>2985</v>
      </c>
      <c r="D868" s="193">
        <v>9.5</v>
      </c>
      <c r="E868" s="193" t="s">
        <v>2979</v>
      </c>
      <c r="F868" s="193"/>
      <c r="G868" s="193" t="s">
        <v>13</v>
      </c>
      <c r="H868" s="120" t="s">
        <v>688</v>
      </c>
      <c r="I868" s="237" t="s">
        <v>2986</v>
      </c>
      <c r="J868" s="193"/>
      <c r="K868" s="193"/>
    </row>
    <row r="869" spans="1:11" x14ac:dyDescent="0.3">
      <c r="A869" s="193">
        <f t="shared" si="15"/>
        <v>863</v>
      </c>
      <c r="B869" s="193" t="s">
        <v>2987</v>
      </c>
      <c r="C869" s="193" t="s">
        <v>2988</v>
      </c>
      <c r="D869" s="193">
        <v>6</v>
      </c>
      <c r="E869" s="193" t="s">
        <v>1316</v>
      </c>
      <c r="F869" s="193"/>
      <c r="G869" s="193" t="s">
        <v>13</v>
      </c>
      <c r="H869" s="120" t="s">
        <v>688</v>
      </c>
      <c r="I869" s="237" t="s">
        <v>2989</v>
      </c>
      <c r="J869" s="193"/>
      <c r="K869" s="193"/>
    </row>
    <row r="870" spans="1:11" x14ac:dyDescent="0.3">
      <c r="A870" s="193">
        <f t="shared" si="15"/>
        <v>864</v>
      </c>
      <c r="B870" s="193" t="s">
        <v>2987</v>
      </c>
      <c r="C870" s="193" t="s">
        <v>2990</v>
      </c>
      <c r="D870" s="193">
        <v>10</v>
      </c>
      <c r="E870" s="193" t="s">
        <v>1316</v>
      </c>
      <c r="F870" s="193"/>
      <c r="G870" s="193" t="s">
        <v>13</v>
      </c>
      <c r="H870" s="120" t="s">
        <v>688</v>
      </c>
      <c r="I870" s="237" t="s">
        <v>2991</v>
      </c>
      <c r="J870" s="193"/>
      <c r="K870" s="193"/>
    </row>
    <row r="871" spans="1:11" x14ac:dyDescent="0.3">
      <c r="A871" s="193">
        <f t="shared" si="15"/>
        <v>865</v>
      </c>
      <c r="B871" s="193" t="s">
        <v>2987</v>
      </c>
      <c r="C871" s="193" t="s">
        <v>2992</v>
      </c>
      <c r="D871" s="193">
        <v>15</v>
      </c>
      <c r="E871" s="193" t="s">
        <v>1316</v>
      </c>
      <c r="F871" s="193"/>
      <c r="G871" s="193" t="s">
        <v>13</v>
      </c>
      <c r="H871" s="120" t="s">
        <v>688</v>
      </c>
      <c r="I871" s="237" t="s">
        <v>2993</v>
      </c>
      <c r="J871" s="193"/>
      <c r="K871" s="193"/>
    </row>
    <row r="872" spans="1:11" x14ac:dyDescent="0.3">
      <c r="A872" s="193">
        <f t="shared" si="15"/>
        <v>866</v>
      </c>
      <c r="B872" s="193" t="s">
        <v>2987</v>
      </c>
      <c r="C872" s="193" t="s">
        <v>2994</v>
      </c>
      <c r="D872" s="193">
        <v>20</v>
      </c>
      <c r="E872" s="193" t="s">
        <v>1316</v>
      </c>
      <c r="F872" s="193"/>
      <c r="G872" s="193" t="s">
        <v>13</v>
      </c>
      <c r="H872" s="120" t="s">
        <v>688</v>
      </c>
      <c r="I872" s="237" t="s">
        <v>2995</v>
      </c>
      <c r="J872" s="193"/>
      <c r="K872" s="193"/>
    </row>
    <row r="873" spans="1:11" x14ac:dyDescent="0.3">
      <c r="A873" s="193">
        <f t="shared" si="15"/>
        <v>867</v>
      </c>
      <c r="B873" s="193" t="s">
        <v>2987</v>
      </c>
      <c r="C873" s="193" t="s">
        <v>2996</v>
      </c>
      <c r="D873" s="193">
        <v>30</v>
      </c>
      <c r="E873" s="193" t="s">
        <v>1316</v>
      </c>
      <c r="F873" s="193"/>
      <c r="G873" s="193" t="s">
        <v>13</v>
      </c>
      <c r="H873" s="120" t="s">
        <v>688</v>
      </c>
      <c r="I873" s="237" t="s">
        <v>2997</v>
      </c>
      <c r="J873" s="193"/>
      <c r="K873" s="193"/>
    </row>
    <row r="874" spans="1:11" x14ac:dyDescent="0.3">
      <c r="A874" s="193">
        <f t="shared" si="15"/>
        <v>868</v>
      </c>
      <c r="B874" s="193" t="s">
        <v>2998</v>
      </c>
      <c r="C874" s="193" t="s">
        <v>2999</v>
      </c>
      <c r="D874" s="193">
        <v>10</v>
      </c>
      <c r="E874" s="193" t="s">
        <v>1316</v>
      </c>
      <c r="F874" s="193"/>
      <c r="G874" s="193" t="s">
        <v>13</v>
      </c>
      <c r="H874" s="120" t="s">
        <v>688</v>
      </c>
      <c r="I874" s="237" t="s">
        <v>3000</v>
      </c>
      <c r="J874" s="193"/>
      <c r="K874" s="193"/>
    </row>
    <row r="875" spans="1:11" x14ac:dyDescent="0.3">
      <c r="A875" s="193">
        <f t="shared" si="15"/>
        <v>869</v>
      </c>
      <c r="B875" s="193" t="s">
        <v>2998</v>
      </c>
      <c r="C875" s="193" t="s">
        <v>3001</v>
      </c>
      <c r="D875" s="193">
        <v>20</v>
      </c>
      <c r="E875" s="193" t="s">
        <v>1316</v>
      </c>
      <c r="F875" s="193"/>
      <c r="G875" s="193" t="s">
        <v>13</v>
      </c>
      <c r="H875" s="120" t="s">
        <v>688</v>
      </c>
      <c r="I875" s="237" t="s">
        <v>3002</v>
      </c>
      <c r="J875" s="193"/>
      <c r="K875" s="193"/>
    </row>
    <row r="876" spans="1:11" x14ac:dyDescent="0.3">
      <c r="A876" s="193">
        <f t="shared" si="15"/>
        <v>870</v>
      </c>
      <c r="B876" s="193" t="s">
        <v>2998</v>
      </c>
      <c r="C876" s="193" t="s">
        <v>3003</v>
      </c>
      <c r="D876" s="193">
        <v>30</v>
      </c>
      <c r="E876" s="193" t="s">
        <v>1316</v>
      </c>
      <c r="F876" s="193"/>
      <c r="G876" s="193" t="s">
        <v>13</v>
      </c>
      <c r="H876" s="120" t="s">
        <v>688</v>
      </c>
      <c r="I876" s="237" t="s">
        <v>3004</v>
      </c>
      <c r="J876" s="193"/>
      <c r="K876" s="193"/>
    </row>
    <row r="877" spans="1:11" x14ac:dyDescent="0.3">
      <c r="A877" s="193">
        <f t="shared" si="15"/>
        <v>871</v>
      </c>
      <c r="B877" s="193" t="s">
        <v>2998</v>
      </c>
      <c r="C877" s="193" t="s">
        <v>3005</v>
      </c>
      <c r="D877" s="193">
        <v>40</v>
      </c>
      <c r="E877" s="193" t="s">
        <v>1316</v>
      </c>
      <c r="F877" s="193"/>
      <c r="G877" s="193" t="s">
        <v>13</v>
      </c>
      <c r="H877" s="120" t="s">
        <v>688</v>
      </c>
      <c r="I877" s="237" t="s">
        <v>3006</v>
      </c>
      <c r="J877" s="193"/>
      <c r="K877" s="193"/>
    </row>
    <row r="878" spans="1:11" x14ac:dyDescent="0.3">
      <c r="A878" s="193">
        <f t="shared" si="15"/>
        <v>872</v>
      </c>
      <c r="B878" s="193" t="s">
        <v>2998</v>
      </c>
      <c r="C878" s="193" t="s">
        <v>3007</v>
      </c>
      <c r="D878" s="193">
        <v>52</v>
      </c>
      <c r="E878" s="193" t="s">
        <v>1316</v>
      </c>
      <c r="F878" s="193"/>
      <c r="G878" s="193" t="s">
        <v>13</v>
      </c>
      <c r="H878" s="120" t="s">
        <v>688</v>
      </c>
      <c r="I878" s="237" t="s">
        <v>3008</v>
      </c>
      <c r="J878" s="193"/>
      <c r="K878" s="193"/>
    </row>
    <row r="879" spans="1:11" x14ac:dyDescent="0.3">
      <c r="A879" s="193">
        <f t="shared" si="15"/>
        <v>873</v>
      </c>
      <c r="B879" s="193" t="s">
        <v>2998</v>
      </c>
      <c r="C879" s="193" t="s">
        <v>3009</v>
      </c>
      <c r="D879" s="193">
        <v>66</v>
      </c>
      <c r="E879" s="193" t="s">
        <v>1316</v>
      </c>
      <c r="F879" s="193"/>
      <c r="G879" s="193" t="s">
        <v>13</v>
      </c>
      <c r="H879" s="120" t="s">
        <v>688</v>
      </c>
      <c r="I879" s="237" t="s">
        <v>3010</v>
      </c>
      <c r="J879" s="193"/>
      <c r="K879" s="193"/>
    </row>
    <row r="880" spans="1:11" x14ac:dyDescent="0.3">
      <c r="A880" s="193">
        <f t="shared" si="15"/>
        <v>874</v>
      </c>
      <c r="B880" s="193" t="s">
        <v>2998</v>
      </c>
      <c r="C880" s="193" t="s">
        <v>3011</v>
      </c>
      <c r="D880" s="193">
        <v>80</v>
      </c>
      <c r="E880" s="193" t="s">
        <v>1316</v>
      </c>
      <c r="F880" s="193"/>
      <c r="G880" s="193" t="s">
        <v>13</v>
      </c>
      <c r="H880" s="120" t="s">
        <v>688</v>
      </c>
      <c r="I880" s="237" t="s">
        <v>3012</v>
      </c>
      <c r="J880" s="193"/>
      <c r="K880" s="193"/>
    </row>
    <row r="881" spans="1:11" x14ac:dyDescent="0.3">
      <c r="A881" s="193">
        <f t="shared" si="15"/>
        <v>875</v>
      </c>
      <c r="B881" s="193" t="s">
        <v>2998</v>
      </c>
      <c r="C881" s="193" t="s">
        <v>3013</v>
      </c>
      <c r="D881" s="193">
        <v>120</v>
      </c>
      <c r="E881" s="193" t="s">
        <v>1316</v>
      </c>
      <c r="F881" s="193"/>
      <c r="G881" s="193" t="s">
        <v>13</v>
      </c>
      <c r="H881" s="120" t="s">
        <v>688</v>
      </c>
      <c r="I881" s="237" t="s">
        <v>3014</v>
      </c>
      <c r="J881" s="193"/>
      <c r="K881" s="193"/>
    </row>
    <row r="882" spans="1:11" x14ac:dyDescent="0.3">
      <c r="A882" s="193">
        <f t="shared" si="15"/>
        <v>876</v>
      </c>
      <c r="B882" s="193" t="s">
        <v>3015</v>
      </c>
      <c r="C882" s="193" t="s">
        <v>3016</v>
      </c>
      <c r="D882" s="193">
        <v>30</v>
      </c>
      <c r="E882" s="193" t="s">
        <v>2979</v>
      </c>
      <c r="F882" s="193"/>
      <c r="G882" s="193" t="s">
        <v>13</v>
      </c>
      <c r="H882" s="120" t="s">
        <v>688</v>
      </c>
      <c r="I882" s="237" t="s">
        <v>3017</v>
      </c>
      <c r="J882" s="193"/>
      <c r="K882" s="193"/>
    </row>
    <row r="883" spans="1:11" x14ac:dyDescent="0.3">
      <c r="A883" s="193">
        <f t="shared" si="15"/>
        <v>877</v>
      </c>
      <c r="B883" s="193" t="s">
        <v>3015</v>
      </c>
      <c r="C883" s="193" t="s">
        <v>3018</v>
      </c>
      <c r="D883" s="193">
        <v>40</v>
      </c>
      <c r="E883" s="193" t="s">
        <v>2979</v>
      </c>
      <c r="F883" s="193"/>
      <c r="G883" s="193" t="s">
        <v>13</v>
      </c>
      <c r="H883" s="120" t="s">
        <v>688</v>
      </c>
      <c r="I883" s="237" t="s">
        <v>3019</v>
      </c>
      <c r="J883" s="193"/>
      <c r="K883" s="193"/>
    </row>
    <row r="884" spans="1:11" x14ac:dyDescent="0.3">
      <c r="A884" s="193">
        <f t="shared" si="15"/>
        <v>878</v>
      </c>
      <c r="B884" s="193" t="s">
        <v>3015</v>
      </c>
      <c r="C884" s="193" t="s">
        <v>3020</v>
      </c>
      <c r="D884" s="193">
        <v>50</v>
      </c>
      <c r="E884" s="193" t="s">
        <v>2979</v>
      </c>
      <c r="F884" s="193"/>
      <c r="G884" s="193" t="s">
        <v>13</v>
      </c>
      <c r="H884" s="120" t="s">
        <v>688</v>
      </c>
      <c r="I884" s="237" t="s">
        <v>3021</v>
      </c>
      <c r="J884" s="193"/>
      <c r="K884" s="193"/>
    </row>
    <row r="885" spans="1:11" x14ac:dyDescent="0.3">
      <c r="A885" s="193">
        <f t="shared" si="15"/>
        <v>879</v>
      </c>
      <c r="B885" s="193" t="s">
        <v>3015</v>
      </c>
      <c r="C885" s="193" t="s">
        <v>3022</v>
      </c>
      <c r="D885" s="193">
        <v>60</v>
      </c>
      <c r="E885" s="193" t="s">
        <v>2979</v>
      </c>
      <c r="F885" s="193"/>
      <c r="G885" s="193" t="s">
        <v>13</v>
      </c>
      <c r="H885" s="120" t="s">
        <v>688</v>
      </c>
      <c r="I885" s="237" t="s">
        <v>3023</v>
      </c>
      <c r="J885" s="193"/>
      <c r="K885" s="193"/>
    </row>
    <row r="886" spans="1:11" x14ac:dyDescent="0.3">
      <c r="A886" s="193">
        <f t="shared" si="15"/>
        <v>880</v>
      </c>
      <c r="B886" s="193" t="s">
        <v>3015</v>
      </c>
      <c r="C886" s="193" t="s">
        <v>3024</v>
      </c>
      <c r="D886" s="193">
        <v>75</v>
      </c>
      <c r="E886" s="193" t="s">
        <v>2979</v>
      </c>
      <c r="F886" s="193"/>
      <c r="G886" s="193" t="s">
        <v>13</v>
      </c>
      <c r="H886" s="120" t="s">
        <v>688</v>
      </c>
      <c r="I886" s="237" t="s">
        <v>3025</v>
      </c>
      <c r="J886" s="193"/>
      <c r="K886" s="193"/>
    </row>
    <row r="887" spans="1:11" x14ac:dyDescent="0.3">
      <c r="A887" s="193">
        <f t="shared" si="15"/>
        <v>881</v>
      </c>
      <c r="B887" s="193" t="s">
        <v>3015</v>
      </c>
      <c r="C887" s="193" t="s">
        <v>3026</v>
      </c>
      <c r="D887" s="193">
        <v>100</v>
      </c>
      <c r="E887" s="193" t="s">
        <v>2979</v>
      </c>
      <c r="F887" s="193"/>
      <c r="G887" s="193" t="s">
        <v>13</v>
      </c>
      <c r="H887" s="120" t="s">
        <v>688</v>
      </c>
      <c r="I887" s="237" t="s">
        <v>3027</v>
      </c>
      <c r="J887" s="193"/>
      <c r="K887" s="193"/>
    </row>
    <row r="888" spans="1:11" x14ac:dyDescent="0.3">
      <c r="A888" s="193">
        <f t="shared" si="15"/>
        <v>882</v>
      </c>
      <c r="B888" s="193" t="s">
        <v>3028</v>
      </c>
      <c r="C888" s="193" t="s">
        <v>3029</v>
      </c>
      <c r="D888" s="193">
        <v>30</v>
      </c>
      <c r="E888" s="193" t="s">
        <v>3030</v>
      </c>
      <c r="F888" s="193"/>
      <c r="G888" s="193" t="s">
        <v>13</v>
      </c>
      <c r="H888" s="120" t="s">
        <v>688</v>
      </c>
      <c r="I888" s="237" t="s">
        <v>3031</v>
      </c>
      <c r="J888" s="193"/>
      <c r="K888" s="193"/>
    </row>
    <row r="889" spans="1:11" x14ac:dyDescent="0.3">
      <c r="A889" s="193">
        <f t="shared" si="15"/>
        <v>883</v>
      </c>
      <c r="B889" s="193" t="s">
        <v>3028</v>
      </c>
      <c r="C889" s="193" t="s">
        <v>3032</v>
      </c>
      <c r="D889" s="193">
        <v>50</v>
      </c>
      <c r="E889" s="193" t="s">
        <v>3030</v>
      </c>
      <c r="F889" s="193"/>
      <c r="G889" s="193" t="s">
        <v>13</v>
      </c>
      <c r="H889" s="120" t="s">
        <v>688</v>
      </c>
      <c r="I889" s="237" t="s">
        <v>3033</v>
      </c>
      <c r="J889" s="193"/>
      <c r="K889" s="193"/>
    </row>
    <row r="890" spans="1:11" x14ac:dyDescent="0.3">
      <c r="A890" s="193">
        <f t="shared" ref="A890:A953" si="16">A889+1</f>
        <v>884</v>
      </c>
      <c r="B890" s="193" t="s">
        <v>3028</v>
      </c>
      <c r="C890" s="193" t="s">
        <v>3034</v>
      </c>
      <c r="D890" s="193">
        <v>70</v>
      </c>
      <c r="E890" s="193" t="s">
        <v>3030</v>
      </c>
      <c r="F890" s="193"/>
      <c r="G890" s="193" t="s">
        <v>13</v>
      </c>
      <c r="H890" s="120" t="s">
        <v>688</v>
      </c>
      <c r="I890" s="237" t="s">
        <v>3035</v>
      </c>
      <c r="J890" s="193"/>
      <c r="K890" s="193"/>
    </row>
    <row r="891" spans="1:11" x14ac:dyDescent="0.3">
      <c r="A891" s="193">
        <f t="shared" si="16"/>
        <v>885</v>
      </c>
      <c r="B891" s="193" t="s">
        <v>3036</v>
      </c>
      <c r="C891" s="193" t="s">
        <v>3037</v>
      </c>
      <c r="D891" s="193">
        <v>9</v>
      </c>
      <c r="E891" s="193" t="s">
        <v>1316</v>
      </c>
      <c r="F891" s="193"/>
      <c r="G891" s="193" t="s">
        <v>13</v>
      </c>
      <c r="H891" s="120" t="s">
        <v>688</v>
      </c>
      <c r="I891" s="237" t="s">
        <v>3038</v>
      </c>
      <c r="J891" s="193"/>
      <c r="K891" s="193"/>
    </row>
    <row r="892" spans="1:11" x14ac:dyDescent="0.3">
      <c r="A892" s="193">
        <f t="shared" si="16"/>
        <v>886</v>
      </c>
      <c r="B892" s="193" t="s">
        <v>3036</v>
      </c>
      <c r="C892" s="193" t="s">
        <v>3039</v>
      </c>
      <c r="D892" s="193">
        <v>36</v>
      </c>
      <c r="E892" s="193" t="s">
        <v>1316</v>
      </c>
      <c r="F892" s="193"/>
      <c r="G892" s="193" t="s">
        <v>13</v>
      </c>
      <c r="H892" s="120" t="s">
        <v>688</v>
      </c>
      <c r="I892" s="237" t="s">
        <v>3040</v>
      </c>
      <c r="J892" s="193"/>
      <c r="K892" s="193"/>
    </row>
    <row r="893" spans="1:11" x14ac:dyDescent="0.3">
      <c r="A893" s="193">
        <f t="shared" si="16"/>
        <v>887</v>
      </c>
      <c r="B893" s="193" t="s">
        <v>3036</v>
      </c>
      <c r="C893" s="193" t="s">
        <v>3041</v>
      </c>
      <c r="D893" s="193">
        <v>12</v>
      </c>
      <c r="E893" s="193" t="s">
        <v>1316</v>
      </c>
      <c r="F893" s="193"/>
      <c r="G893" s="193" t="s">
        <v>13</v>
      </c>
      <c r="H893" s="120" t="s">
        <v>688</v>
      </c>
      <c r="I893" s="237" t="s">
        <v>3042</v>
      </c>
      <c r="J893" s="193"/>
      <c r="K893" s="193"/>
    </row>
    <row r="894" spans="1:11" x14ac:dyDescent="0.3">
      <c r="A894" s="193">
        <f t="shared" si="16"/>
        <v>888</v>
      </c>
      <c r="B894" s="193" t="s">
        <v>3036</v>
      </c>
      <c r="C894" s="193" t="s">
        <v>3043</v>
      </c>
      <c r="D894" s="193">
        <v>36</v>
      </c>
      <c r="E894" s="193" t="s">
        <v>1316</v>
      </c>
      <c r="F894" s="193"/>
      <c r="G894" s="193" t="s">
        <v>13</v>
      </c>
      <c r="H894" s="120" t="s">
        <v>688</v>
      </c>
      <c r="I894" s="237" t="s">
        <v>3044</v>
      </c>
      <c r="J894" s="193"/>
      <c r="K894" s="193"/>
    </row>
    <row r="895" spans="1:11" x14ac:dyDescent="0.3">
      <c r="A895" s="193">
        <f t="shared" si="16"/>
        <v>889</v>
      </c>
      <c r="B895" s="193" t="s">
        <v>3036</v>
      </c>
      <c r="C895" s="193" t="s">
        <v>3045</v>
      </c>
      <c r="D895" s="193">
        <v>36</v>
      </c>
      <c r="E895" s="193" t="s">
        <v>1316</v>
      </c>
      <c r="F895" s="193"/>
      <c r="G895" s="193" t="s">
        <v>13</v>
      </c>
      <c r="H895" s="120" t="s">
        <v>688</v>
      </c>
      <c r="I895" s="237" t="s">
        <v>3046</v>
      </c>
      <c r="J895" s="193"/>
      <c r="K895" s="193"/>
    </row>
    <row r="896" spans="1:11" x14ac:dyDescent="0.3">
      <c r="A896" s="193">
        <f t="shared" si="16"/>
        <v>890</v>
      </c>
      <c r="B896" s="193" t="s">
        <v>3036</v>
      </c>
      <c r="C896" s="193" t="s">
        <v>3047</v>
      </c>
      <c r="D896" s="193">
        <v>36</v>
      </c>
      <c r="E896" s="193" t="s">
        <v>1316</v>
      </c>
      <c r="F896" s="193"/>
      <c r="G896" s="193" t="s">
        <v>13</v>
      </c>
      <c r="H896" s="120" t="s">
        <v>688</v>
      </c>
      <c r="I896" s="237" t="s">
        <v>3048</v>
      </c>
      <c r="J896" s="193"/>
      <c r="K896" s="193"/>
    </row>
    <row r="897" spans="1:11" x14ac:dyDescent="0.3">
      <c r="A897" s="193">
        <f t="shared" si="16"/>
        <v>891</v>
      </c>
      <c r="B897" s="193" t="s">
        <v>3036</v>
      </c>
      <c r="C897" s="193" t="s">
        <v>3049</v>
      </c>
      <c r="D897" s="193">
        <v>15</v>
      </c>
      <c r="E897" s="193" t="s">
        <v>1316</v>
      </c>
      <c r="F897" s="193"/>
      <c r="G897" s="193" t="s">
        <v>13</v>
      </c>
      <c r="H897" s="120" t="s">
        <v>688</v>
      </c>
      <c r="I897" s="237" t="s">
        <v>3050</v>
      </c>
      <c r="J897" s="193"/>
      <c r="K897" s="193"/>
    </row>
    <row r="898" spans="1:11" x14ac:dyDescent="0.3">
      <c r="A898" s="193">
        <f t="shared" si="16"/>
        <v>892</v>
      </c>
      <c r="B898" s="193" t="s">
        <v>3036</v>
      </c>
      <c r="C898" s="193" t="s">
        <v>3051</v>
      </c>
      <c r="D898" s="193">
        <v>120</v>
      </c>
      <c r="E898" s="193" t="s">
        <v>1316</v>
      </c>
      <c r="F898" s="193"/>
      <c r="G898" s="193" t="s">
        <v>13</v>
      </c>
      <c r="H898" s="120" t="s">
        <v>688</v>
      </c>
      <c r="I898" s="237" t="s">
        <v>3052</v>
      </c>
      <c r="J898" s="193"/>
      <c r="K898" s="193"/>
    </row>
    <row r="899" spans="1:11" x14ac:dyDescent="0.3">
      <c r="A899" s="193">
        <f t="shared" si="16"/>
        <v>893</v>
      </c>
      <c r="B899" s="193" t="s">
        <v>3036</v>
      </c>
      <c r="C899" s="193" t="s">
        <v>3053</v>
      </c>
      <c r="D899" s="193">
        <v>15</v>
      </c>
      <c r="E899" s="193" t="s">
        <v>1316</v>
      </c>
      <c r="F899" s="193"/>
      <c r="G899" s="193" t="s">
        <v>13</v>
      </c>
      <c r="H899" s="120" t="s">
        <v>688</v>
      </c>
      <c r="I899" s="237" t="s">
        <v>3054</v>
      </c>
      <c r="J899" s="193"/>
      <c r="K899" s="193"/>
    </row>
    <row r="900" spans="1:11" x14ac:dyDescent="0.3">
      <c r="A900" s="193">
        <f t="shared" si="16"/>
        <v>894</v>
      </c>
      <c r="B900" s="193" t="s">
        <v>3036</v>
      </c>
      <c r="C900" s="193" t="s">
        <v>3055</v>
      </c>
      <c r="D900" s="193">
        <v>120</v>
      </c>
      <c r="E900" s="193" t="s">
        <v>1316</v>
      </c>
      <c r="F900" s="193"/>
      <c r="G900" s="193" t="s">
        <v>13</v>
      </c>
      <c r="H900" s="120" t="s">
        <v>688</v>
      </c>
      <c r="I900" s="237" t="s">
        <v>3056</v>
      </c>
      <c r="J900" s="193"/>
      <c r="K900" s="193"/>
    </row>
    <row r="901" spans="1:11" x14ac:dyDescent="0.3">
      <c r="A901" s="193">
        <f t="shared" si="16"/>
        <v>895</v>
      </c>
      <c r="B901" s="193" t="s">
        <v>3036</v>
      </c>
      <c r="C901" s="193" t="s">
        <v>3057</v>
      </c>
      <c r="D901" s="193">
        <v>15</v>
      </c>
      <c r="E901" s="193" t="s">
        <v>1316</v>
      </c>
      <c r="F901" s="193"/>
      <c r="G901" s="193" t="s">
        <v>13</v>
      </c>
      <c r="H901" s="120" t="s">
        <v>688</v>
      </c>
      <c r="I901" s="237" t="s">
        <v>3058</v>
      </c>
      <c r="J901" s="193"/>
      <c r="K901" s="193"/>
    </row>
    <row r="902" spans="1:11" x14ac:dyDescent="0.3">
      <c r="A902" s="193">
        <f t="shared" si="16"/>
        <v>896</v>
      </c>
      <c r="B902" s="193" t="s">
        <v>3036</v>
      </c>
      <c r="C902" s="193" t="s">
        <v>3059</v>
      </c>
      <c r="D902" s="193">
        <v>150</v>
      </c>
      <c r="E902" s="193" t="s">
        <v>1316</v>
      </c>
      <c r="F902" s="193"/>
      <c r="G902" s="193" t="s">
        <v>13</v>
      </c>
      <c r="H902" s="120" t="s">
        <v>688</v>
      </c>
      <c r="I902" s="237" t="s">
        <v>3060</v>
      </c>
      <c r="J902" s="193"/>
      <c r="K902" s="193"/>
    </row>
    <row r="903" spans="1:11" x14ac:dyDescent="0.3">
      <c r="A903" s="193">
        <f t="shared" si="16"/>
        <v>897</v>
      </c>
      <c r="B903" s="193" t="s">
        <v>3036</v>
      </c>
      <c r="C903" s="193" t="s">
        <v>3061</v>
      </c>
      <c r="D903" s="193">
        <v>30</v>
      </c>
      <c r="E903" s="193" t="s">
        <v>1316</v>
      </c>
      <c r="F903" s="193"/>
      <c r="G903" s="193" t="s">
        <v>13</v>
      </c>
      <c r="H903" s="120" t="s">
        <v>688</v>
      </c>
      <c r="I903" s="237" t="s">
        <v>3062</v>
      </c>
      <c r="J903" s="193"/>
      <c r="K903" s="193"/>
    </row>
    <row r="904" spans="1:11" x14ac:dyDescent="0.3">
      <c r="A904" s="193">
        <f t="shared" si="16"/>
        <v>898</v>
      </c>
      <c r="B904" s="193" t="s">
        <v>3036</v>
      </c>
      <c r="C904" s="193" t="s">
        <v>3063</v>
      </c>
      <c r="D904" s="193">
        <v>180</v>
      </c>
      <c r="E904" s="193" t="s">
        <v>1316</v>
      </c>
      <c r="F904" s="193"/>
      <c r="G904" s="193" t="s">
        <v>13</v>
      </c>
      <c r="H904" s="120" t="s">
        <v>688</v>
      </c>
      <c r="I904" s="237" t="s">
        <v>3064</v>
      </c>
      <c r="J904" s="193"/>
      <c r="K904" s="193"/>
    </row>
    <row r="905" spans="1:11" x14ac:dyDescent="0.3">
      <c r="A905" s="193">
        <f t="shared" si="16"/>
        <v>899</v>
      </c>
      <c r="B905" s="193" t="s">
        <v>3036</v>
      </c>
      <c r="C905" s="193" t="s">
        <v>3065</v>
      </c>
      <c r="D905" s="193">
        <v>30</v>
      </c>
      <c r="E905" s="193" t="s">
        <v>1316</v>
      </c>
      <c r="F905" s="193"/>
      <c r="G905" s="193" t="s">
        <v>13</v>
      </c>
      <c r="H905" s="120" t="s">
        <v>688</v>
      </c>
      <c r="I905" s="237" t="s">
        <v>3066</v>
      </c>
      <c r="J905" s="193"/>
      <c r="K905" s="193"/>
    </row>
    <row r="906" spans="1:11" x14ac:dyDescent="0.3">
      <c r="A906" s="193">
        <f t="shared" si="16"/>
        <v>900</v>
      </c>
      <c r="B906" s="193" t="s">
        <v>3036</v>
      </c>
      <c r="C906" s="193" t="s">
        <v>3067</v>
      </c>
      <c r="D906" s="193">
        <v>180</v>
      </c>
      <c r="E906" s="193" t="s">
        <v>1316</v>
      </c>
      <c r="F906" s="193"/>
      <c r="G906" s="193" t="s">
        <v>13</v>
      </c>
      <c r="H906" s="120" t="s">
        <v>688</v>
      </c>
      <c r="I906" s="237" t="s">
        <v>3068</v>
      </c>
      <c r="J906" s="193"/>
      <c r="K906" s="193"/>
    </row>
    <row r="907" spans="1:11" x14ac:dyDescent="0.3">
      <c r="A907" s="193">
        <f t="shared" si="16"/>
        <v>901</v>
      </c>
      <c r="B907" s="193" t="s">
        <v>3036</v>
      </c>
      <c r="C907" s="193" t="s">
        <v>3069</v>
      </c>
      <c r="D907" s="193">
        <v>30</v>
      </c>
      <c r="E907" s="193" t="s">
        <v>1316</v>
      </c>
      <c r="F907" s="193"/>
      <c r="G907" s="193" t="s">
        <v>13</v>
      </c>
      <c r="H907" s="120" t="s">
        <v>688</v>
      </c>
      <c r="I907" s="237" t="s">
        <v>3070</v>
      </c>
      <c r="J907" s="193"/>
      <c r="K907" s="193"/>
    </row>
    <row r="908" spans="1:11" x14ac:dyDescent="0.3">
      <c r="A908" s="193">
        <f t="shared" si="16"/>
        <v>902</v>
      </c>
      <c r="B908" s="193" t="s">
        <v>3036</v>
      </c>
      <c r="C908" s="193" t="s">
        <v>3071</v>
      </c>
      <c r="D908" s="193">
        <v>210</v>
      </c>
      <c r="E908" s="193" t="s">
        <v>1316</v>
      </c>
      <c r="F908" s="193"/>
      <c r="G908" s="193" t="s">
        <v>13</v>
      </c>
      <c r="H908" s="120" t="s">
        <v>688</v>
      </c>
      <c r="I908" s="237" t="s">
        <v>3072</v>
      </c>
      <c r="J908" s="193"/>
      <c r="K908" s="193"/>
    </row>
    <row r="909" spans="1:11" x14ac:dyDescent="0.3">
      <c r="A909" s="193">
        <f t="shared" si="16"/>
        <v>903</v>
      </c>
      <c r="B909" s="193" t="s">
        <v>3036</v>
      </c>
      <c r="C909" s="193" t="s">
        <v>3073</v>
      </c>
      <c r="D909" s="193">
        <v>30</v>
      </c>
      <c r="E909" s="193" t="s">
        <v>1316</v>
      </c>
      <c r="F909" s="193"/>
      <c r="G909" s="193" t="s">
        <v>13</v>
      </c>
      <c r="H909" s="120" t="s">
        <v>688</v>
      </c>
      <c r="I909" s="237" t="s">
        <v>3074</v>
      </c>
      <c r="J909" s="193"/>
      <c r="K909" s="193"/>
    </row>
    <row r="910" spans="1:11" x14ac:dyDescent="0.3">
      <c r="A910" s="193">
        <f t="shared" si="16"/>
        <v>904</v>
      </c>
      <c r="B910" s="193" t="s">
        <v>3036</v>
      </c>
      <c r="C910" s="193" t="s">
        <v>3075</v>
      </c>
      <c r="D910" s="193">
        <v>240</v>
      </c>
      <c r="E910" s="193" t="s">
        <v>1316</v>
      </c>
      <c r="F910" s="193"/>
      <c r="G910" s="193" t="s">
        <v>13</v>
      </c>
      <c r="H910" s="120" t="s">
        <v>688</v>
      </c>
      <c r="I910" s="237" t="s">
        <v>3076</v>
      </c>
      <c r="J910" s="193"/>
      <c r="K910" s="193"/>
    </row>
    <row r="911" spans="1:11" x14ac:dyDescent="0.3">
      <c r="A911" s="193">
        <f t="shared" si="16"/>
        <v>905</v>
      </c>
      <c r="B911" s="193" t="s">
        <v>3036</v>
      </c>
      <c r="C911" s="193" t="s">
        <v>3077</v>
      </c>
      <c r="D911" s="193">
        <v>30</v>
      </c>
      <c r="E911" s="193" t="s">
        <v>1316</v>
      </c>
      <c r="F911" s="193"/>
      <c r="G911" s="193" t="s">
        <v>13</v>
      </c>
      <c r="H911" s="120" t="s">
        <v>688</v>
      </c>
      <c r="I911" s="237" t="s">
        <v>3078</v>
      </c>
      <c r="J911" s="193"/>
      <c r="K911" s="193"/>
    </row>
    <row r="912" spans="1:11" x14ac:dyDescent="0.3">
      <c r="A912" s="193">
        <f t="shared" si="16"/>
        <v>906</v>
      </c>
      <c r="B912" s="193" t="s">
        <v>3036</v>
      </c>
      <c r="C912" s="193" t="s">
        <v>3079</v>
      </c>
      <c r="D912" s="193">
        <v>300</v>
      </c>
      <c r="E912" s="193" t="s">
        <v>1316</v>
      </c>
      <c r="F912" s="193"/>
      <c r="G912" s="193" t="s">
        <v>13</v>
      </c>
      <c r="H912" s="120" t="s">
        <v>688</v>
      </c>
      <c r="I912" s="237" t="s">
        <v>3080</v>
      </c>
      <c r="J912" s="193"/>
      <c r="K912" s="193"/>
    </row>
    <row r="913" spans="1:11" x14ac:dyDescent="0.3">
      <c r="A913" s="193">
        <f t="shared" si="16"/>
        <v>907</v>
      </c>
      <c r="B913" s="193" t="s">
        <v>3036</v>
      </c>
      <c r="C913" s="193" t="s">
        <v>3081</v>
      </c>
      <c r="D913" s="193">
        <v>30</v>
      </c>
      <c r="E913" s="193" t="s">
        <v>1316</v>
      </c>
      <c r="F913" s="193"/>
      <c r="G913" s="193" t="s">
        <v>13</v>
      </c>
      <c r="H913" s="120" t="s">
        <v>688</v>
      </c>
      <c r="I913" s="237" t="s">
        <v>3082</v>
      </c>
      <c r="J913" s="193"/>
      <c r="K913" s="193"/>
    </row>
    <row r="914" spans="1:11" x14ac:dyDescent="0.3">
      <c r="A914" s="193">
        <f t="shared" si="16"/>
        <v>908</v>
      </c>
      <c r="B914" s="193" t="s">
        <v>3036</v>
      </c>
      <c r="C914" s="193" t="s">
        <v>3083</v>
      </c>
      <c r="D914" s="193">
        <v>300</v>
      </c>
      <c r="E914" s="193" t="s">
        <v>1316</v>
      </c>
      <c r="F914" s="193"/>
      <c r="G914" s="193" t="s">
        <v>13</v>
      </c>
      <c r="H914" s="120" t="s">
        <v>688</v>
      </c>
      <c r="I914" s="237" t="s">
        <v>3084</v>
      </c>
      <c r="J914" s="193"/>
      <c r="K914" s="193"/>
    </row>
    <row r="915" spans="1:11" x14ac:dyDescent="0.3">
      <c r="A915" s="193">
        <f t="shared" si="16"/>
        <v>909</v>
      </c>
      <c r="B915" s="193" t="s">
        <v>3036</v>
      </c>
      <c r="C915" s="193" t="s">
        <v>3085</v>
      </c>
      <c r="D915" s="193">
        <v>60</v>
      </c>
      <c r="E915" s="193" t="s">
        <v>1316</v>
      </c>
      <c r="F915" s="193"/>
      <c r="G915" s="193" t="s">
        <v>13</v>
      </c>
      <c r="H915" s="120" t="s">
        <v>688</v>
      </c>
      <c r="I915" s="237" t="s">
        <v>3086</v>
      </c>
      <c r="J915" s="193"/>
      <c r="K915" s="193"/>
    </row>
    <row r="916" spans="1:11" x14ac:dyDescent="0.3">
      <c r="A916" s="193">
        <f t="shared" si="16"/>
        <v>910</v>
      </c>
      <c r="B916" s="193" t="s">
        <v>3036</v>
      </c>
      <c r="C916" s="193" t="s">
        <v>3087</v>
      </c>
      <c r="D916" s="193">
        <v>300</v>
      </c>
      <c r="E916" s="193" t="s">
        <v>1316</v>
      </c>
      <c r="F916" s="193"/>
      <c r="G916" s="193" t="s">
        <v>13</v>
      </c>
      <c r="H916" s="120" t="s">
        <v>688</v>
      </c>
      <c r="I916" s="237" t="s">
        <v>3088</v>
      </c>
      <c r="J916" s="193"/>
      <c r="K916" s="193"/>
    </row>
    <row r="917" spans="1:11" x14ac:dyDescent="0.3">
      <c r="A917" s="193">
        <f t="shared" si="16"/>
        <v>911</v>
      </c>
      <c r="B917" s="193" t="s">
        <v>3036</v>
      </c>
      <c r="C917" s="193" t="s">
        <v>3089</v>
      </c>
      <c r="D917" s="193">
        <v>60</v>
      </c>
      <c r="E917" s="193" t="s">
        <v>1316</v>
      </c>
      <c r="F917" s="193"/>
      <c r="G917" s="193" t="s">
        <v>13</v>
      </c>
      <c r="H917" s="120" t="s">
        <v>688</v>
      </c>
      <c r="I917" s="237" t="s">
        <v>3090</v>
      </c>
      <c r="J917" s="193"/>
      <c r="K917" s="193"/>
    </row>
    <row r="918" spans="1:11" x14ac:dyDescent="0.3">
      <c r="A918" s="193">
        <f t="shared" si="16"/>
        <v>912</v>
      </c>
      <c r="B918" s="193" t="s">
        <v>3036</v>
      </c>
      <c r="C918" s="193" t="s">
        <v>3091</v>
      </c>
      <c r="D918" s="193">
        <v>480</v>
      </c>
      <c r="E918" s="193" t="s">
        <v>1316</v>
      </c>
      <c r="F918" s="193"/>
      <c r="G918" s="193" t="s">
        <v>13</v>
      </c>
      <c r="H918" s="120" t="s">
        <v>688</v>
      </c>
      <c r="I918" s="237" t="s">
        <v>3092</v>
      </c>
      <c r="J918" s="193"/>
      <c r="K918" s="193"/>
    </row>
    <row r="919" spans="1:11" x14ac:dyDescent="0.3">
      <c r="A919" s="193">
        <f t="shared" si="16"/>
        <v>913</v>
      </c>
      <c r="B919" s="193" t="s">
        <v>3036</v>
      </c>
      <c r="C919" s="193" t="s">
        <v>3093</v>
      </c>
      <c r="D919" s="193">
        <v>60</v>
      </c>
      <c r="E919" s="193" t="s">
        <v>1316</v>
      </c>
      <c r="F919" s="193"/>
      <c r="G919" s="193" t="s">
        <v>13</v>
      </c>
      <c r="H919" s="120" t="s">
        <v>688</v>
      </c>
      <c r="I919" s="237" t="s">
        <v>3094</v>
      </c>
      <c r="J919" s="193"/>
      <c r="K919" s="193"/>
    </row>
    <row r="920" spans="1:11" x14ac:dyDescent="0.3">
      <c r="A920" s="193">
        <f t="shared" si="16"/>
        <v>914</v>
      </c>
      <c r="B920" s="193" t="s">
        <v>3036</v>
      </c>
      <c r="C920" s="193" t="s">
        <v>3095</v>
      </c>
      <c r="D920" s="193">
        <v>480</v>
      </c>
      <c r="E920" s="193" t="s">
        <v>1316</v>
      </c>
      <c r="F920" s="193"/>
      <c r="G920" s="193" t="s">
        <v>13</v>
      </c>
      <c r="H920" s="120" t="s">
        <v>688</v>
      </c>
      <c r="I920" s="237" t="s">
        <v>3096</v>
      </c>
      <c r="J920" s="193"/>
      <c r="K920" s="193"/>
    </row>
    <row r="921" spans="1:11" x14ac:dyDescent="0.3">
      <c r="A921" s="193">
        <f t="shared" si="16"/>
        <v>915</v>
      </c>
      <c r="B921" s="193" t="s">
        <v>3036</v>
      </c>
      <c r="C921" s="193" t="s">
        <v>3097</v>
      </c>
      <c r="D921" s="193">
        <v>60</v>
      </c>
      <c r="E921" s="193" t="s">
        <v>1316</v>
      </c>
      <c r="F921" s="193"/>
      <c r="G921" s="193" t="s">
        <v>13</v>
      </c>
      <c r="H921" s="120" t="s">
        <v>688</v>
      </c>
      <c r="I921" s="237" t="s">
        <v>3098</v>
      </c>
      <c r="J921" s="193"/>
      <c r="K921" s="193"/>
    </row>
    <row r="922" spans="1:11" x14ac:dyDescent="0.3">
      <c r="A922" s="193">
        <f t="shared" si="16"/>
        <v>916</v>
      </c>
      <c r="B922" s="193" t="s">
        <v>3036</v>
      </c>
      <c r="C922" s="193" t="s">
        <v>3099</v>
      </c>
      <c r="D922" s="193">
        <v>480</v>
      </c>
      <c r="E922" s="193" t="s">
        <v>1316</v>
      </c>
      <c r="F922" s="193"/>
      <c r="G922" s="193" t="s">
        <v>13</v>
      </c>
      <c r="H922" s="120" t="s">
        <v>688</v>
      </c>
      <c r="I922" s="237" t="s">
        <v>3100</v>
      </c>
      <c r="J922" s="193"/>
      <c r="K922" s="193"/>
    </row>
    <row r="923" spans="1:11" x14ac:dyDescent="0.3">
      <c r="A923" s="193">
        <f t="shared" si="16"/>
        <v>917</v>
      </c>
      <c r="B923" s="193" t="s">
        <v>3101</v>
      </c>
      <c r="C923" s="193" t="s">
        <v>3102</v>
      </c>
      <c r="D923" s="193">
        <v>22</v>
      </c>
      <c r="E923" s="193" t="s">
        <v>2979</v>
      </c>
      <c r="F923" s="193"/>
      <c r="G923" s="193" t="s">
        <v>13</v>
      </c>
      <c r="H923" s="120" t="s">
        <v>688</v>
      </c>
      <c r="I923" s="237" t="s">
        <v>3103</v>
      </c>
      <c r="J923" s="193"/>
      <c r="K923" s="193"/>
    </row>
    <row r="924" spans="1:11" x14ac:dyDescent="0.3">
      <c r="A924" s="193">
        <f t="shared" si="16"/>
        <v>918</v>
      </c>
      <c r="B924" s="193" t="s">
        <v>3101</v>
      </c>
      <c r="C924" s="193" t="s">
        <v>3104</v>
      </c>
      <c r="D924" s="193">
        <v>29</v>
      </c>
      <c r="E924" s="193" t="s">
        <v>2979</v>
      </c>
      <c r="F924" s="193"/>
      <c r="G924" s="193" t="s">
        <v>13</v>
      </c>
      <c r="H924" s="120" t="s">
        <v>688</v>
      </c>
      <c r="I924" s="237" t="s">
        <v>3105</v>
      </c>
      <c r="J924" s="193"/>
      <c r="K924" s="193"/>
    </row>
    <row r="925" spans="1:11" x14ac:dyDescent="0.3">
      <c r="A925" s="193">
        <f t="shared" si="16"/>
        <v>919</v>
      </c>
      <c r="B925" s="193" t="s">
        <v>3101</v>
      </c>
      <c r="C925" s="193" t="s">
        <v>3106</v>
      </c>
      <c r="D925" s="193">
        <v>35</v>
      </c>
      <c r="E925" s="193" t="s">
        <v>2979</v>
      </c>
      <c r="F925" s="193"/>
      <c r="G925" s="193" t="s">
        <v>13</v>
      </c>
      <c r="H925" s="120" t="s">
        <v>688</v>
      </c>
      <c r="I925" s="237" t="s">
        <v>3107</v>
      </c>
      <c r="J925" s="193"/>
      <c r="K925" s="193"/>
    </row>
    <row r="926" spans="1:11" x14ac:dyDescent="0.3">
      <c r="A926" s="193">
        <f t="shared" si="16"/>
        <v>920</v>
      </c>
      <c r="B926" s="193" t="s">
        <v>3101</v>
      </c>
      <c r="C926" s="193" t="s">
        <v>3108</v>
      </c>
      <c r="D926" s="193">
        <v>35</v>
      </c>
      <c r="E926" s="193" t="s">
        <v>2979</v>
      </c>
      <c r="F926" s="193"/>
      <c r="G926" s="193" t="s">
        <v>13</v>
      </c>
      <c r="H926" s="120" t="s">
        <v>688</v>
      </c>
      <c r="I926" s="237" t="s">
        <v>3109</v>
      </c>
      <c r="J926" s="193"/>
      <c r="K926" s="193"/>
    </row>
    <row r="927" spans="1:11" x14ac:dyDescent="0.3">
      <c r="A927" s="193">
        <f t="shared" si="16"/>
        <v>921</v>
      </c>
      <c r="B927" s="193" t="s">
        <v>3101</v>
      </c>
      <c r="C927" s="193" t="s">
        <v>3110</v>
      </c>
      <c r="D927" s="193">
        <v>41</v>
      </c>
      <c r="E927" s="193" t="s">
        <v>2979</v>
      </c>
      <c r="F927" s="193"/>
      <c r="G927" s="193" t="s">
        <v>13</v>
      </c>
      <c r="H927" s="120" t="s">
        <v>688</v>
      </c>
      <c r="I927" s="237" t="s">
        <v>3111</v>
      </c>
      <c r="J927" s="193"/>
      <c r="K927" s="193"/>
    </row>
    <row r="928" spans="1:11" x14ac:dyDescent="0.3">
      <c r="A928" s="193">
        <f t="shared" si="16"/>
        <v>922</v>
      </c>
      <c r="B928" s="193" t="s">
        <v>3101</v>
      </c>
      <c r="C928" s="193" t="s">
        <v>3112</v>
      </c>
      <c r="D928" s="193">
        <v>45</v>
      </c>
      <c r="E928" s="193" t="s">
        <v>2979</v>
      </c>
      <c r="F928" s="193"/>
      <c r="G928" s="193" t="s">
        <v>13</v>
      </c>
      <c r="H928" s="120" t="s">
        <v>688</v>
      </c>
      <c r="I928" s="237" t="s">
        <v>3113</v>
      </c>
      <c r="J928" s="193"/>
      <c r="K928" s="193"/>
    </row>
    <row r="929" spans="1:11" x14ac:dyDescent="0.3">
      <c r="A929" s="193">
        <f t="shared" si="16"/>
        <v>923</v>
      </c>
      <c r="B929" s="193" t="s">
        <v>3101</v>
      </c>
      <c r="C929" s="193" t="s">
        <v>3114</v>
      </c>
      <c r="D929" s="193">
        <v>53</v>
      </c>
      <c r="E929" s="193" t="s">
        <v>2979</v>
      </c>
      <c r="F929" s="193"/>
      <c r="G929" s="193" t="s">
        <v>13</v>
      </c>
      <c r="H929" s="120" t="s">
        <v>688</v>
      </c>
      <c r="I929" s="237" t="s">
        <v>3115</v>
      </c>
      <c r="J929" s="193"/>
      <c r="K929" s="193"/>
    </row>
    <row r="930" spans="1:11" x14ac:dyDescent="0.3">
      <c r="A930" s="193">
        <f t="shared" si="16"/>
        <v>924</v>
      </c>
      <c r="B930" s="193" t="s">
        <v>3101</v>
      </c>
      <c r="C930" s="193" t="s">
        <v>3116</v>
      </c>
      <c r="D930" s="193">
        <v>59</v>
      </c>
      <c r="E930" s="193" t="s">
        <v>2979</v>
      </c>
      <c r="F930" s="193"/>
      <c r="G930" s="193" t="s">
        <v>13</v>
      </c>
      <c r="H930" s="120" t="s">
        <v>688</v>
      </c>
      <c r="I930" s="237" t="s">
        <v>3117</v>
      </c>
      <c r="J930" s="193"/>
      <c r="K930" s="193"/>
    </row>
    <row r="931" spans="1:11" x14ac:dyDescent="0.3">
      <c r="A931" s="193">
        <f t="shared" si="16"/>
        <v>925</v>
      </c>
      <c r="B931" s="193" t="s">
        <v>3101</v>
      </c>
      <c r="C931" s="193" t="s">
        <v>3118</v>
      </c>
      <c r="D931" s="193">
        <v>73</v>
      </c>
      <c r="E931" s="193" t="s">
        <v>2979</v>
      </c>
      <c r="F931" s="193"/>
      <c r="G931" s="193" t="s">
        <v>13</v>
      </c>
      <c r="H931" s="120" t="s">
        <v>688</v>
      </c>
      <c r="I931" s="237" t="s">
        <v>3119</v>
      </c>
      <c r="J931" s="193"/>
      <c r="K931" s="193"/>
    </row>
    <row r="932" spans="1:11" x14ac:dyDescent="0.3">
      <c r="A932" s="193">
        <f t="shared" si="16"/>
        <v>926</v>
      </c>
      <c r="B932" s="193" t="s">
        <v>3101</v>
      </c>
      <c r="C932" s="193" t="s">
        <v>3120</v>
      </c>
      <c r="D932" s="193">
        <v>76</v>
      </c>
      <c r="E932" s="193" t="s">
        <v>2979</v>
      </c>
      <c r="F932" s="193"/>
      <c r="G932" s="193" t="s">
        <v>13</v>
      </c>
      <c r="H932" s="120" t="s">
        <v>688</v>
      </c>
      <c r="I932" s="237" t="s">
        <v>3121</v>
      </c>
      <c r="J932" s="193"/>
      <c r="K932" s="193"/>
    </row>
    <row r="933" spans="1:11" x14ac:dyDescent="0.3">
      <c r="A933" s="193">
        <f t="shared" si="16"/>
        <v>927</v>
      </c>
      <c r="B933" s="193" t="s">
        <v>3101</v>
      </c>
      <c r="C933" s="193" t="s">
        <v>3122</v>
      </c>
      <c r="D933" s="193">
        <v>106</v>
      </c>
      <c r="E933" s="193" t="s">
        <v>2979</v>
      </c>
      <c r="F933" s="193"/>
      <c r="G933" s="193" t="s">
        <v>13</v>
      </c>
      <c r="H933" s="120" t="s">
        <v>688</v>
      </c>
      <c r="I933" s="237" t="s">
        <v>3123</v>
      </c>
      <c r="J933" s="193"/>
      <c r="K933" s="193"/>
    </row>
    <row r="934" spans="1:11" x14ac:dyDescent="0.3">
      <c r="A934" s="193">
        <f t="shared" si="16"/>
        <v>928</v>
      </c>
      <c r="B934" s="193" t="s">
        <v>3101</v>
      </c>
      <c r="C934" s="193" t="s">
        <v>3124</v>
      </c>
      <c r="D934" s="193">
        <v>147</v>
      </c>
      <c r="E934" s="193" t="s">
        <v>2979</v>
      </c>
      <c r="F934" s="193"/>
      <c r="G934" s="193" t="s">
        <v>13</v>
      </c>
      <c r="H934" s="120" t="s">
        <v>688</v>
      </c>
      <c r="I934" s="237" t="s">
        <v>3125</v>
      </c>
      <c r="J934" s="193"/>
      <c r="K934" s="193"/>
    </row>
    <row r="935" spans="1:11" x14ac:dyDescent="0.3">
      <c r="A935" s="193">
        <f t="shared" si="16"/>
        <v>929</v>
      </c>
      <c r="B935" s="193" t="s">
        <v>3101</v>
      </c>
      <c r="C935" s="193" t="s">
        <v>3126</v>
      </c>
      <c r="D935" s="193">
        <v>212</v>
      </c>
      <c r="E935" s="193" t="s">
        <v>2979</v>
      </c>
      <c r="F935" s="193"/>
      <c r="G935" s="193" t="s">
        <v>13</v>
      </c>
      <c r="H935" s="120" t="s">
        <v>688</v>
      </c>
      <c r="I935" s="237" t="s">
        <v>3127</v>
      </c>
      <c r="J935" s="193"/>
      <c r="K935" s="193"/>
    </row>
    <row r="936" spans="1:11" x14ac:dyDescent="0.3">
      <c r="A936" s="193">
        <f t="shared" si="16"/>
        <v>930</v>
      </c>
      <c r="B936" s="193" t="s">
        <v>3128</v>
      </c>
      <c r="C936" s="193" t="s">
        <v>3129</v>
      </c>
      <c r="D936" s="193">
        <v>41</v>
      </c>
      <c r="E936" s="193" t="s">
        <v>3030</v>
      </c>
      <c r="F936" s="193"/>
      <c r="G936" s="193" t="s">
        <v>13</v>
      </c>
      <c r="H936" s="120" t="s">
        <v>688</v>
      </c>
      <c r="I936" s="237" t="s">
        <v>3130</v>
      </c>
      <c r="J936" s="193"/>
      <c r="K936" s="193"/>
    </row>
    <row r="937" spans="1:11" x14ac:dyDescent="0.3">
      <c r="A937" s="193">
        <f t="shared" si="16"/>
        <v>931</v>
      </c>
      <c r="B937" s="193" t="s">
        <v>3128</v>
      </c>
      <c r="C937" s="193" t="s">
        <v>3131</v>
      </c>
      <c r="D937" s="193">
        <v>58</v>
      </c>
      <c r="E937" s="193" t="s">
        <v>3030</v>
      </c>
      <c r="F937" s="193"/>
      <c r="G937" s="193" t="s">
        <v>13</v>
      </c>
      <c r="H937" s="120" t="s">
        <v>688</v>
      </c>
      <c r="I937" s="237" t="s">
        <v>3132</v>
      </c>
      <c r="J937" s="193"/>
      <c r="K937" s="193"/>
    </row>
    <row r="938" spans="1:11" x14ac:dyDescent="0.3">
      <c r="A938" s="193">
        <f t="shared" si="16"/>
        <v>932</v>
      </c>
      <c r="B938" s="193" t="s">
        <v>3128</v>
      </c>
      <c r="C938" s="193" t="s">
        <v>3133</v>
      </c>
      <c r="D938" s="193">
        <v>75</v>
      </c>
      <c r="E938" s="193" t="s">
        <v>3030</v>
      </c>
      <c r="F938" s="193"/>
      <c r="G938" s="193" t="s">
        <v>13</v>
      </c>
      <c r="H938" s="120" t="s">
        <v>688</v>
      </c>
      <c r="I938" s="237" t="s">
        <v>3134</v>
      </c>
      <c r="J938" s="193"/>
      <c r="K938" s="193"/>
    </row>
    <row r="939" spans="1:11" x14ac:dyDescent="0.3">
      <c r="A939" s="193">
        <f t="shared" si="16"/>
        <v>933</v>
      </c>
      <c r="B939" s="193" t="s">
        <v>3128</v>
      </c>
      <c r="C939" s="193" t="s">
        <v>3135</v>
      </c>
      <c r="D939" s="193">
        <v>79</v>
      </c>
      <c r="E939" s="193" t="s">
        <v>3030</v>
      </c>
      <c r="F939" s="193"/>
      <c r="G939" s="193" t="s">
        <v>13</v>
      </c>
      <c r="H939" s="120" t="s">
        <v>688</v>
      </c>
      <c r="I939" s="237" t="s">
        <v>3136</v>
      </c>
      <c r="J939" s="193"/>
      <c r="K939" s="193"/>
    </row>
    <row r="940" spans="1:11" x14ac:dyDescent="0.3">
      <c r="A940" s="193">
        <f t="shared" si="16"/>
        <v>934</v>
      </c>
      <c r="B940" s="193" t="s">
        <v>3128</v>
      </c>
      <c r="C940" s="193" t="s">
        <v>3137</v>
      </c>
      <c r="D940" s="193">
        <v>117</v>
      </c>
      <c r="E940" s="193" t="s">
        <v>3030</v>
      </c>
      <c r="F940" s="193"/>
      <c r="G940" s="193" t="s">
        <v>13</v>
      </c>
      <c r="H940" s="120" t="s">
        <v>688</v>
      </c>
      <c r="I940" s="237" t="s">
        <v>3138</v>
      </c>
      <c r="J940" s="193"/>
      <c r="K940" s="193"/>
    </row>
    <row r="941" spans="1:11" x14ac:dyDescent="0.3">
      <c r="A941" s="193">
        <f t="shared" si="16"/>
        <v>935</v>
      </c>
      <c r="B941" s="193" t="s">
        <v>3128</v>
      </c>
      <c r="C941" s="193" t="s">
        <v>3139</v>
      </c>
      <c r="D941" s="193">
        <v>158</v>
      </c>
      <c r="E941" s="193" t="s">
        <v>3030</v>
      </c>
      <c r="F941" s="193"/>
      <c r="G941" s="193" t="s">
        <v>13</v>
      </c>
      <c r="H941" s="120" t="s">
        <v>688</v>
      </c>
      <c r="I941" s="237" t="s">
        <v>3140</v>
      </c>
      <c r="J941" s="193"/>
      <c r="K941" s="193"/>
    </row>
    <row r="942" spans="1:11" x14ac:dyDescent="0.3">
      <c r="A942" s="193">
        <f t="shared" si="16"/>
        <v>936</v>
      </c>
      <c r="B942" s="193" t="s">
        <v>3128</v>
      </c>
      <c r="C942" s="193" t="s">
        <v>3141</v>
      </c>
      <c r="D942" s="193">
        <v>211</v>
      </c>
      <c r="E942" s="193" t="s">
        <v>3030</v>
      </c>
      <c r="F942" s="193"/>
      <c r="G942" s="193" t="s">
        <v>13</v>
      </c>
      <c r="H942" s="120" t="s">
        <v>688</v>
      </c>
      <c r="I942" s="237" t="s">
        <v>3142</v>
      </c>
      <c r="J942" s="193"/>
      <c r="K942" s="193"/>
    </row>
    <row r="943" spans="1:11" x14ac:dyDescent="0.3">
      <c r="A943" s="193">
        <f t="shared" si="16"/>
        <v>937</v>
      </c>
      <c r="B943" s="193" t="s">
        <v>3128</v>
      </c>
      <c r="C943" s="193" t="s">
        <v>3143</v>
      </c>
      <c r="D943" s="193">
        <v>88</v>
      </c>
      <c r="E943" s="193" t="s">
        <v>3030</v>
      </c>
      <c r="F943" s="193"/>
      <c r="G943" s="193" t="s">
        <v>13</v>
      </c>
      <c r="H943" s="120" t="s">
        <v>688</v>
      </c>
      <c r="I943" s="237" t="s">
        <v>3144</v>
      </c>
      <c r="J943" s="193"/>
      <c r="K943" s="193"/>
    </row>
    <row r="944" spans="1:11" x14ac:dyDescent="0.3">
      <c r="A944" s="193">
        <f t="shared" si="16"/>
        <v>938</v>
      </c>
      <c r="B944" s="193" t="s">
        <v>3128</v>
      </c>
      <c r="C944" s="193" t="s">
        <v>3145</v>
      </c>
      <c r="D944" s="193">
        <v>175.8</v>
      </c>
      <c r="E944" s="193" t="s">
        <v>3030</v>
      </c>
      <c r="F944" s="193"/>
      <c r="G944" s="193" t="s">
        <v>13</v>
      </c>
      <c r="H944" s="120" t="s">
        <v>688</v>
      </c>
      <c r="I944" s="237" t="s">
        <v>3146</v>
      </c>
      <c r="J944" s="193"/>
      <c r="K944" s="193"/>
    </row>
    <row r="945" spans="1:11" x14ac:dyDescent="0.3">
      <c r="A945" s="193">
        <f t="shared" si="16"/>
        <v>939</v>
      </c>
      <c r="B945" s="193" t="s">
        <v>3128</v>
      </c>
      <c r="C945" s="193" t="s">
        <v>3147</v>
      </c>
      <c r="D945" s="193">
        <v>234.4</v>
      </c>
      <c r="E945" s="193" t="s">
        <v>3030</v>
      </c>
      <c r="F945" s="193"/>
      <c r="G945" s="193" t="s">
        <v>13</v>
      </c>
      <c r="H945" s="120" t="s">
        <v>688</v>
      </c>
      <c r="I945" s="237" t="s">
        <v>3148</v>
      </c>
      <c r="J945" s="193"/>
      <c r="K945" s="193"/>
    </row>
    <row r="946" spans="1:11" x14ac:dyDescent="0.3">
      <c r="A946" s="193">
        <f t="shared" si="16"/>
        <v>940</v>
      </c>
      <c r="B946" s="193" t="s">
        <v>3128</v>
      </c>
      <c r="C946" s="193" t="s">
        <v>3149</v>
      </c>
      <c r="D946" s="193">
        <v>293</v>
      </c>
      <c r="E946" s="193" t="s">
        <v>3030</v>
      </c>
      <c r="F946" s="193"/>
      <c r="G946" s="193" t="s">
        <v>13</v>
      </c>
      <c r="H946" s="120" t="s">
        <v>688</v>
      </c>
      <c r="I946" s="237" t="s">
        <v>3150</v>
      </c>
      <c r="J946" s="193"/>
      <c r="K946" s="193"/>
    </row>
    <row r="947" spans="1:11" x14ac:dyDescent="0.3">
      <c r="A947" s="193">
        <f t="shared" si="16"/>
        <v>941</v>
      </c>
      <c r="B947" s="193" t="s">
        <v>3128</v>
      </c>
      <c r="C947" s="193" t="s">
        <v>3151</v>
      </c>
      <c r="D947" s="193">
        <v>366</v>
      </c>
      <c r="E947" s="193" t="s">
        <v>3030</v>
      </c>
      <c r="F947" s="193"/>
      <c r="G947" s="193" t="s">
        <v>13</v>
      </c>
      <c r="H947" s="120" t="s">
        <v>688</v>
      </c>
      <c r="I947" s="237" t="s">
        <v>3152</v>
      </c>
      <c r="J947" s="193"/>
      <c r="K947" s="193"/>
    </row>
    <row r="948" spans="1:11" x14ac:dyDescent="0.3">
      <c r="A948" s="193">
        <f t="shared" si="16"/>
        <v>942</v>
      </c>
      <c r="B948" s="193" t="s">
        <v>3128</v>
      </c>
      <c r="C948" s="193" t="s">
        <v>3153</v>
      </c>
      <c r="D948" s="193">
        <v>440</v>
      </c>
      <c r="E948" s="193" t="s">
        <v>3030</v>
      </c>
      <c r="F948" s="193"/>
      <c r="G948" s="193" t="s">
        <v>13</v>
      </c>
      <c r="H948" s="120" t="s">
        <v>688</v>
      </c>
      <c r="I948" s="237" t="s">
        <v>3154</v>
      </c>
      <c r="J948" s="193"/>
      <c r="K948" s="193"/>
    </row>
    <row r="949" spans="1:11" x14ac:dyDescent="0.3">
      <c r="A949" s="193">
        <f t="shared" si="16"/>
        <v>943</v>
      </c>
      <c r="B949" s="193" t="s">
        <v>3128</v>
      </c>
      <c r="C949" s="193" t="s">
        <v>3155</v>
      </c>
      <c r="D949" s="193">
        <v>175.8</v>
      </c>
      <c r="E949" s="193" t="s">
        <v>3030</v>
      </c>
      <c r="F949" s="193"/>
      <c r="G949" s="193" t="s">
        <v>13</v>
      </c>
      <c r="H949" s="120" t="s">
        <v>688</v>
      </c>
      <c r="I949" s="237" t="s">
        <v>3156</v>
      </c>
      <c r="J949" s="193"/>
      <c r="K949" s="193"/>
    </row>
    <row r="950" spans="1:11" x14ac:dyDescent="0.3">
      <c r="A950" s="193">
        <f t="shared" si="16"/>
        <v>944</v>
      </c>
      <c r="B950" s="193" t="s">
        <v>3128</v>
      </c>
      <c r="C950" s="193" t="s">
        <v>3157</v>
      </c>
      <c r="D950" s="193">
        <v>234</v>
      </c>
      <c r="E950" s="193" t="s">
        <v>3030</v>
      </c>
      <c r="F950" s="193"/>
      <c r="G950" s="193" t="s">
        <v>13</v>
      </c>
      <c r="H950" s="120" t="s">
        <v>688</v>
      </c>
      <c r="I950" s="237" t="s">
        <v>3158</v>
      </c>
      <c r="J950" s="193"/>
      <c r="K950" s="193"/>
    </row>
    <row r="951" spans="1:11" x14ac:dyDescent="0.3">
      <c r="A951" s="193">
        <f t="shared" si="16"/>
        <v>945</v>
      </c>
      <c r="B951" s="193" t="s">
        <v>3128</v>
      </c>
      <c r="C951" s="193" t="s">
        <v>3159</v>
      </c>
      <c r="D951" s="193">
        <v>293</v>
      </c>
      <c r="E951" s="193" t="s">
        <v>3030</v>
      </c>
      <c r="F951" s="193"/>
      <c r="G951" s="193" t="s">
        <v>13</v>
      </c>
      <c r="H951" s="120" t="s">
        <v>688</v>
      </c>
      <c r="I951" s="237" t="s">
        <v>3160</v>
      </c>
      <c r="J951" s="193"/>
      <c r="K951" s="193"/>
    </row>
    <row r="952" spans="1:11" x14ac:dyDescent="0.3">
      <c r="A952" s="193">
        <f t="shared" si="16"/>
        <v>946</v>
      </c>
      <c r="B952" s="193" t="s">
        <v>3128</v>
      </c>
      <c r="C952" s="193" t="s">
        <v>3161</v>
      </c>
      <c r="D952" s="193">
        <v>366</v>
      </c>
      <c r="E952" s="193" t="s">
        <v>3030</v>
      </c>
      <c r="F952" s="193"/>
      <c r="G952" s="193" t="s">
        <v>13</v>
      </c>
      <c r="H952" s="120" t="s">
        <v>688</v>
      </c>
      <c r="I952" s="237" t="s">
        <v>3162</v>
      </c>
      <c r="J952" s="193"/>
      <c r="K952" s="193"/>
    </row>
    <row r="953" spans="1:11" x14ac:dyDescent="0.3">
      <c r="A953" s="193">
        <f t="shared" si="16"/>
        <v>947</v>
      </c>
      <c r="B953" s="193" t="s">
        <v>3128</v>
      </c>
      <c r="C953" s="193" t="s">
        <v>3163</v>
      </c>
      <c r="D953" s="193">
        <v>440</v>
      </c>
      <c r="E953" s="193" t="s">
        <v>3030</v>
      </c>
      <c r="F953" s="193"/>
      <c r="G953" s="193" t="s">
        <v>13</v>
      </c>
      <c r="H953" s="120" t="s">
        <v>688</v>
      </c>
      <c r="I953" s="237" t="s">
        <v>3164</v>
      </c>
      <c r="J953" s="193"/>
      <c r="K953" s="193"/>
    </row>
    <row r="954" spans="1:11" x14ac:dyDescent="0.3">
      <c r="A954" s="193">
        <f t="shared" ref="A954:A978" si="17">A953+1</f>
        <v>948</v>
      </c>
      <c r="B954" s="193" t="s">
        <v>3128</v>
      </c>
      <c r="C954" s="193" t="s">
        <v>3165</v>
      </c>
      <c r="D954" s="193">
        <v>513</v>
      </c>
      <c r="E954" s="193" t="s">
        <v>3030</v>
      </c>
      <c r="F954" s="193"/>
      <c r="G954" s="193" t="s">
        <v>13</v>
      </c>
      <c r="H954" s="120" t="s">
        <v>688</v>
      </c>
      <c r="I954" s="237" t="s">
        <v>3166</v>
      </c>
      <c r="J954" s="193"/>
      <c r="K954" s="193"/>
    </row>
    <row r="955" spans="1:11" x14ac:dyDescent="0.3">
      <c r="A955" s="193">
        <f t="shared" si="17"/>
        <v>949</v>
      </c>
      <c r="B955" s="193" t="s">
        <v>3128</v>
      </c>
      <c r="C955" s="193" t="s">
        <v>3167</v>
      </c>
      <c r="D955" s="193">
        <v>586</v>
      </c>
      <c r="E955" s="193" t="s">
        <v>3030</v>
      </c>
      <c r="F955" s="193"/>
      <c r="G955" s="193" t="s">
        <v>13</v>
      </c>
      <c r="H955" s="120" t="s">
        <v>688</v>
      </c>
      <c r="I955" s="237" t="s">
        <v>3168</v>
      </c>
      <c r="J955" s="193"/>
      <c r="K955" s="193"/>
    </row>
    <row r="956" spans="1:11" x14ac:dyDescent="0.3">
      <c r="A956" s="193">
        <f t="shared" si="17"/>
        <v>950</v>
      </c>
      <c r="B956" s="193" t="s">
        <v>3128</v>
      </c>
      <c r="C956" s="193" t="s">
        <v>3169</v>
      </c>
      <c r="D956" s="193">
        <v>659</v>
      </c>
      <c r="E956" s="193" t="s">
        <v>3030</v>
      </c>
      <c r="F956" s="193"/>
      <c r="G956" s="193" t="s">
        <v>13</v>
      </c>
      <c r="H956" s="120" t="s">
        <v>688</v>
      </c>
      <c r="I956" s="237" t="s">
        <v>3170</v>
      </c>
      <c r="J956" s="193"/>
      <c r="K956" s="193"/>
    </row>
    <row r="957" spans="1:11" x14ac:dyDescent="0.3">
      <c r="A957" s="193">
        <f t="shared" si="17"/>
        <v>951</v>
      </c>
      <c r="B957" s="193" t="s">
        <v>3128</v>
      </c>
      <c r="C957" s="193" t="s">
        <v>3171</v>
      </c>
      <c r="D957" s="193">
        <v>732.5</v>
      </c>
      <c r="E957" s="193" t="s">
        <v>3030</v>
      </c>
      <c r="F957" s="193"/>
      <c r="G957" s="193" t="s">
        <v>13</v>
      </c>
      <c r="H957" s="120" t="s">
        <v>688</v>
      </c>
      <c r="I957" s="237" t="s">
        <v>3172</v>
      </c>
      <c r="J957" s="193"/>
      <c r="K957" s="193"/>
    </row>
    <row r="958" spans="1:11" x14ac:dyDescent="0.3">
      <c r="A958" s="193">
        <f t="shared" si="17"/>
        <v>952</v>
      </c>
      <c r="B958" s="193"/>
      <c r="C958" s="193" t="s">
        <v>3173</v>
      </c>
      <c r="D958" s="193"/>
      <c r="E958" s="193"/>
      <c r="F958" s="193"/>
      <c r="G958" s="193" t="s">
        <v>13</v>
      </c>
      <c r="H958" s="120" t="s">
        <v>688</v>
      </c>
      <c r="I958" s="238">
        <v>238143106110</v>
      </c>
      <c r="J958" s="193" t="s">
        <v>2017</v>
      </c>
      <c r="K958" s="193"/>
    </row>
    <row r="959" spans="1:11" x14ac:dyDescent="0.3">
      <c r="A959" s="193">
        <f t="shared" si="17"/>
        <v>953</v>
      </c>
      <c r="B959" s="193"/>
      <c r="C959" s="193" t="s">
        <v>3174</v>
      </c>
      <c r="D959" s="193"/>
      <c r="E959" s="193"/>
      <c r="F959" s="193"/>
      <c r="G959" s="193" t="s">
        <v>13</v>
      </c>
      <c r="H959" s="120" t="s">
        <v>688</v>
      </c>
      <c r="I959" s="238">
        <v>238143106120</v>
      </c>
      <c r="J959" s="193" t="s">
        <v>2017</v>
      </c>
      <c r="K959" s="193"/>
    </row>
    <row r="960" spans="1:11" x14ac:dyDescent="0.3">
      <c r="A960" s="193">
        <f t="shared" si="17"/>
        <v>954</v>
      </c>
      <c r="B960" s="193"/>
      <c r="C960" s="193" t="s">
        <v>3175</v>
      </c>
      <c r="D960" s="193"/>
      <c r="E960" s="193"/>
      <c r="F960" s="193"/>
      <c r="G960" s="193" t="s">
        <v>13</v>
      </c>
      <c r="H960" s="120" t="s">
        <v>688</v>
      </c>
      <c r="I960" s="238">
        <v>238143106130</v>
      </c>
      <c r="J960" s="193" t="s">
        <v>2017</v>
      </c>
      <c r="K960" s="193"/>
    </row>
    <row r="961" spans="1:11" x14ac:dyDescent="0.3">
      <c r="A961" s="193">
        <f t="shared" si="17"/>
        <v>955</v>
      </c>
      <c r="B961" s="193"/>
      <c r="C961" s="193" t="s">
        <v>3176</v>
      </c>
      <c r="D961" s="193"/>
      <c r="E961" s="193"/>
      <c r="F961" s="193"/>
      <c r="G961" s="193" t="s">
        <v>13</v>
      </c>
      <c r="H961" s="120" t="s">
        <v>688</v>
      </c>
      <c r="I961" s="238">
        <v>238143106140</v>
      </c>
      <c r="J961" s="193" t="s">
        <v>2017</v>
      </c>
      <c r="K961" s="193"/>
    </row>
    <row r="962" spans="1:11" x14ac:dyDescent="0.3">
      <c r="A962" s="193">
        <f t="shared" si="17"/>
        <v>956</v>
      </c>
      <c r="B962" s="193"/>
      <c r="C962" s="193" t="s">
        <v>3177</v>
      </c>
      <c r="D962" s="193"/>
      <c r="E962" s="193"/>
      <c r="F962" s="193"/>
      <c r="G962" s="193" t="s">
        <v>13</v>
      </c>
      <c r="H962" s="120" t="s">
        <v>688</v>
      </c>
      <c r="I962" s="238">
        <v>238143106150</v>
      </c>
      <c r="J962" s="193" t="s">
        <v>2017</v>
      </c>
      <c r="K962" s="193"/>
    </row>
    <row r="963" spans="1:11" x14ac:dyDescent="0.3">
      <c r="A963" s="193">
        <f t="shared" si="17"/>
        <v>957</v>
      </c>
      <c r="B963" s="193"/>
      <c r="C963" s="193" t="s">
        <v>3178</v>
      </c>
      <c r="D963" s="193"/>
      <c r="E963" s="193"/>
      <c r="F963" s="193"/>
      <c r="G963" s="193" t="s">
        <v>13</v>
      </c>
      <c r="H963" s="120" t="s">
        <v>688</v>
      </c>
      <c r="I963" s="238">
        <v>238143106160</v>
      </c>
      <c r="J963" s="193" t="s">
        <v>2017</v>
      </c>
      <c r="K963" s="193"/>
    </row>
    <row r="964" spans="1:11" x14ac:dyDescent="0.3">
      <c r="A964" s="193">
        <f t="shared" si="17"/>
        <v>958</v>
      </c>
      <c r="B964" s="193"/>
      <c r="C964" s="193" t="s">
        <v>3179</v>
      </c>
      <c r="D964" s="193"/>
      <c r="E964" s="193"/>
      <c r="F964" s="193"/>
      <c r="G964" s="193" t="s">
        <v>13</v>
      </c>
      <c r="H964" s="120" t="s">
        <v>688</v>
      </c>
      <c r="I964" s="238">
        <v>238143106170</v>
      </c>
      <c r="J964" s="193" t="s">
        <v>2017</v>
      </c>
      <c r="K964" s="193"/>
    </row>
    <row r="965" spans="1:11" x14ac:dyDescent="0.3">
      <c r="A965" s="193">
        <f t="shared" si="17"/>
        <v>959</v>
      </c>
      <c r="B965" s="193" t="s">
        <v>3180</v>
      </c>
      <c r="C965" s="193" t="s">
        <v>3181</v>
      </c>
      <c r="D965" s="193">
        <v>1000</v>
      </c>
      <c r="E965" s="193"/>
      <c r="F965" s="193"/>
      <c r="G965" s="193" t="s">
        <v>13</v>
      </c>
      <c r="H965" s="120" t="s">
        <v>688</v>
      </c>
      <c r="I965" s="238">
        <v>237213104010</v>
      </c>
      <c r="J965" s="193" t="s">
        <v>2017</v>
      </c>
      <c r="K965" s="193"/>
    </row>
    <row r="966" spans="1:11" x14ac:dyDescent="0.3">
      <c r="A966" s="193">
        <f t="shared" si="17"/>
        <v>960</v>
      </c>
      <c r="B966" s="193" t="s">
        <v>3180</v>
      </c>
      <c r="C966" s="193" t="s">
        <v>3181</v>
      </c>
      <c r="D966" s="193">
        <v>2000</v>
      </c>
      <c r="E966" s="193"/>
      <c r="F966" s="193"/>
      <c r="G966" s="193" t="s">
        <v>13</v>
      </c>
      <c r="H966" s="120" t="s">
        <v>688</v>
      </c>
      <c r="I966" s="238">
        <v>237213104020</v>
      </c>
      <c r="J966" s="193" t="s">
        <v>2017</v>
      </c>
      <c r="K966" s="193"/>
    </row>
    <row r="967" spans="1:11" x14ac:dyDescent="0.3">
      <c r="A967" s="193">
        <f t="shared" si="17"/>
        <v>961</v>
      </c>
      <c r="B967" s="193" t="s">
        <v>3180</v>
      </c>
      <c r="C967" s="193" t="s">
        <v>3181</v>
      </c>
      <c r="D967" s="193">
        <v>4000</v>
      </c>
      <c r="E967" s="193"/>
      <c r="F967" s="193"/>
      <c r="G967" s="193" t="s">
        <v>13</v>
      </c>
      <c r="H967" s="120" t="s">
        <v>688</v>
      </c>
      <c r="I967" s="238">
        <v>237213104030</v>
      </c>
      <c r="J967" s="193" t="s">
        <v>2017</v>
      </c>
      <c r="K967" s="193"/>
    </row>
    <row r="968" spans="1:11" x14ac:dyDescent="0.3">
      <c r="A968" s="193">
        <f t="shared" si="17"/>
        <v>962</v>
      </c>
      <c r="B968" s="193" t="s">
        <v>3180</v>
      </c>
      <c r="C968" s="193" t="s">
        <v>3181</v>
      </c>
      <c r="D968" s="193">
        <v>6000</v>
      </c>
      <c r="E968" s="193"/>
      <c r="F968" s="193"/>
      <c r="G968" s="193" t="s">
        <v>13</v>
      </c>
      <c r="H968" s="120" t="s">
        <v>688</v>
      </c>
      <c r="I968" s="238">
        <v>237213104040</v>
      </c>
      <c r="J968" s="193" t="s">
        <v>2017</v>
      </c>
      <c r="K968" s="193"/>
    </row>
    <row r="969" spans="1:11" x14ac:dyDescent="0.3">
      <c r="A969" s="193">
        <f t="shared" si="17"/>
        <v>963</v>
      </c>
      <c r="B969" s="193" t="s">
        <v>3180</v>
      </c>
      <c r="C969" s="193" t="s">
        <v>3181</v>
      </c>
      <c r="D969" s="193">
        <v>8000</v>
      </c>
      <c r="E969" s="193"/>
      <c r="F969" s="193"/>
      <c r="G969" s="193" t="s">
        <v>13</v>
      </c>
      <c r="H969" s="120" t="s">
        <v>688</v>
      </c>
      <c r="I969" s="238">
        <v>237213104050</v>
      </c>
      <c r="J969" s="193" t="s">
        <v>2017</v>
      </c>
      <c r="K969" s="193"/>
    </row>
    <row r="970" spans="1:11" x14ac:dyDescent="0.3">
      <c r="A970" s="193">
        <f t="shared" si="17"/>
        <v>964</v>
      </c>
      <c r="B970" s="193" t="s">
        <v>3180</v>
      </c>
      <c r="C970" s="193" t="s">
        <v>3181</v>
      </c>
      <c r="D970" s="193">
        <v>10000</v>
      </c>
      <c r="E970" s="193"/>
      <c r="F970" s="193"/>
      <c r="G970" s="193" t="s">
        <v>13</v>
      </c>
      <c r="H970" s="120" t="s">
        <v>688</v>
      </c>
      <c r="I970" s="238">
        <v>237213104060</v>
      </c>
      <c r="J970" s="193" t="s">
        <v>2017</v>
      </c>
      <c r="K970" s="193"/>
    </row>
    <row r="971" spans="1:11" x14ac:dyDescent="0.3">
      <c r="A971" s="193">
        <f t="shared" si="17"/>
        <v>965</v>
      </c>
      <c r="B971" s="193" t="s">
        <v>3180</v>
      </c>
      <c r="C971" s="193" t="s">
        <v>3181</v>
      </c>
      <c r="D971" s="193">
        <v>20000</v>
      </c>
      <c r="E971" s="193"/>
      <c r="F971" s="193"/>
      <c r="G971" s="193" t="s">
        <v>13</v>
      </c>
      <c r="H971" s="120" t="s">
        <v>688</v>
      </c>
      <c r="I971" s="238">
        <v>237213104070</v>
      </c>
      <c r="J971" s="193" t="s">
        <v>2017</v>
      </c>
      <c r="K971" s="193"/>
    </row>
    <row r="972" spans="1:11" x14ac:dyDescent="0.3">
      <c r="A972" s="193">
        <f t="shared" si="17"/>
        <v>966</v>
      </c>
      <c r="B972" s="193" t="s">
        <v>3180</v>
      </c>
      <c r="C972" s="193" t="s">
        <v>3181</v>
      </c>
      <c r="D972" s="193">
        <v>25000</v>
      </c>
      <c r="E972" s="193"/>
      <c r="F972" s="193"/>
      <c r="G972" s="193" t="s">
        <v>13</v>
      </c>
      <c r="H972" s="120" t="s">
        <v>688</v>
      </c>
      <c r="I972" s="238">
        <v>237213104080</v>
      </c>
      <c r="J972" s="193" t="s">
        <v>2017</v>
      </c>
      <c r="K972" s="193"/>
    </row>
    <row r="973" spans="1:11" x14ac:dyDescent="0.3">
      <c r="A973" s="193">
        <f t="shared" si="17"/>
        <v>967</v>
      </c>
      <c r="B973" s="193" t="s">
        <v>3180</v>
      </c>
      <c r="C973" s="193" t="s">
        <v>3181</v>
      </c>
      <c r="D973" s="193">
        <v>30000</v>
      </c>
      <c r="E973" s="193"/>
      <c r="F973" s="193"/>
      <c r="G973" s="193" t="s">
        <v>13</v>
      </c>
      <c r="H973" s="120" t="s">
        <v>688</v>
      </c>
      <c r="I973" s="238">
        <v>237213104090</v>
      </c>
      <c r="J973" s="193" t="s">
        <v>2017</v>
      </c>
      <c r="K973" s="193"/>
    </row>
    <row r="974" spans="1:11" x14ac:dyDescent="0.3">
      <c r="A974" s="193">
        <f t="shared" si="17"/>
        <v>968</v>
      </c>
      <c r="B974" s="193" t="s">
        <v>3180</v>
      </c>
      <c r="C974" s="193" t="s">
        <v>3181</v>
      </c>
      <c r="D974" s="193">
        <v>40000</v>
      </c>
      <c r="E974" s="193"/>
      <c r="F974" s="193"/>
      <c r="G974" s="193" t="s">
        <v>13</v>
      </c>
      <c r="H974" s="120" t="s">
        <v>688</v>
      </c>
      <c r="I974" s="238">
        <v>237213104100</v>
      </c>
      <c r="J974" s="193" t="s">
        <v>2017</v>
      </c>
      <c r="K974" s="193"/>
    </row>
    <row r="975" spans="1:11" x14ac:dyDescent="0.3">
      <c r="A975" s="193">
        <f t="shared" si="17"/>
        <v>969</v>
      </c>
      <c r="B975" s="193" t="s">
        <v>3180</v>
      </c>
      <c r="C975" s="193" t="s">
        <v>3181</v>
      </c>
      <c r="D975" s="193">
        <v>50000</v>
      </c>
      <c r="E975" s="193"/>
      <c r="F975" s="193"/>
      <c r="G975" s="193" t="s">
        <v>13</v>
      </c>
      <c r="H975" s="120" t="s">
        <v>688</v>
      </c>
      <c r="I975" s="238">
        <v>237213104110</v>
      </c>
      <c r="J975" s="193" t="s">
        <v>2017</v>
      </c>
      <c r="K975" s="193"/>
    </row>
    <row r="976" spans="1:11" x14ac:dyDescent="0.3">
      <c r="A976" s="193">
        <f t="shared" si="17"/>
        <v>970</v>
      </c>
      <c r="B976" s="193" t="s">
        <v>3182</v>
      </c>
      <c r="C976" s="193" t="s">
        <v>3183</v>
      </c>
      <c r="D976" s="193">
        <v>1700</v>
      </c>
      <c r="E976" s="193"/>
      <c r="F976" s="193"/>
      <c r="G976" s="193" t="s">
        <v>13</v>
      </c>
      <c r="H976" s="120" t="s">
        <v>688</v>
      </c>
      <c r="I976" s="238">
        <v>237216108010</v>
      </c>
      <c r="J976" s="193" t="s">
        <v>2017</v>
      </c>
      <c r="K976" s="193"/>
    </row>
    <row r="977" spans="1:11" x14ac:dyDescent="0.3">
      <c r="A977" s="193">
        <f t="shared" si="17"/>
        <v>971</v>
      </c>
      <c r="B977" s="193" t="s">
        <v>3182</v>
      </c>
      <c r="C977" s="193" t="s">
        <v>3184</v>
      </c>
      <c r="D977" s="193">
        <v>2700</v>
      </c>
      <c r="E977" s="193"/>
      <c r="F977" s="193"/>
      <c r="G977" s="193" t="s">
        <v>13</v>
      </c>
      <c r="H977" s="120" t="s">
        <v>688</v>
      </c>
      <c r="I977" s="238">
        <v>237216108020</v>
      </c>
      <c r="J977" s="193" t="s">
        <v>2017</v>
      </c>
      <c r="K977" s="193"/>
    </row>
    <row r="978" spans="1:11" x14ac:dyDescent="0.3">
      <c r="A978" s="193">
        <f t="shared" si="17"/>
        <v>972</v>
      </c>
      <c r="B978" s="193" t="s">
        <v>3182</v>
      </c>
      <c r="C978" s="193" t="s">
        <v>3185</v>
      </c>
      <c r="D978" s="193">
        <v>4000</v>
      </c>
      <c r="E978" s="193"/>
      <c r="F978" s="193"/>
      <c r="G978" s="193" t="s">
        <v>13</v>
      </c>
      <c r="H978" s="120" t="s">
        <v>688</v>
      </c>
      <c r="I978" s="238">
        <v>237216108030</v>
      </c>
      <c r="J978" s="193" t="s">
        <v>2017</v>
      </c>
      <c r="K978" s="193"/>
    </row>
    <row r="979" spans="1:11" x14ac:dyDescent="0.3">
      <c r="A979" s="193"/>
      <c r="B979" s="193"/>
      <c r="C979" s="193"/>
      <c r="D979" s="193"/>
      <c r="E979" s="193"/>
      <c r="F979" s="193"/>
      <c r="G979" s="193"/>
      <c r="H979" s="120"/>
      <c r="I979" s="238"/>
      <c r="J979" s="193"/>
      <c r="K979" s="193"/>
    </row>
    <row r="980" spans="1:11" x14ac:dyDescent="0.3">
      <c r="A980" s="193"/>
      <c r="B980" s="193"/>
      <c r="C980" s="193"/>
      <c r="D980" s="193"/>
      <c r="E980" s="193"/>
      <c r="F980" s="193"/>
      <c r="G980" s="193"/>
      <c r="H980" s="120"/>
      <c r="I980" s="193"/>
      <c r="J980" s="193"/>
      <c r="K980" s="193"/>
    </row>
    <row r="981" spans="1:11" x14ac:dyDescent="0.3">
      <c r="A981" s="193"/>
      <c r="B981" s="193"/>
      <c r="C981" s="193"/>
      <c r="D981" s="193"/>
      <c r="E981" s="193"/>
      <c r="F981" s="193"/>
      <c r="G981" s="193"/>
      <c r="H981" s="120"/>
      <c r="I981" s="193"/>
      <c r="J981" s="193"/>
      <c r="K981" s="193"/>
    </row>
    <row r="982" spans="1:11" x14ac:dyDescent="0.3">
      <c r="A982" s="193"/>
      <c r="B982" s="193"/>
      <c r="C982" s="193"/>
      <c r="D982" s="193"/>
      <c r="E982" s="193"/>
      <c r="F982" s="193"/>
      <c r="G982" s="193"/>
      <c r="H982" s="120"/>
      <c r="I982" s="193"/>
      <c r="J982" s="193"/>
      <c r="K982" s="193"/>
    </row>
    <row r="983" spans="1:11" x14ac:dyDescent="0.3">
      <c r="A983" s="193"/>
      <c r="B983" s="193"/>
      <c r="C983" s="193"/>
      <c r="D983" s="193"/>
      <c r="E983" s="193"/>
      <c r="F983" s="193"/>
      <c r="G983" s="193"/>
      <c r="H983" s="120"/>
      <c r="I983" s="193"/>
      <c r="J983" s="193"/>
      <c r="K983" s="193"/>
    </row>
    <row r="984" spans="1:11" x14ac:dyDescent="0.3">
      <c r="A984" s="193"/>
      <c r="B984" s="193"/>
      <c r="C984" s="193"/>
      <c r="D984" s="193"/>
      <c r="E984" s="193"/>
      <c r="F984" s="193"/>
      <c r="G984" s="193"/>
      <c r="H984" s="120"/>
      <c r="I984" s="193"/>
      <c r="J984" s="193"/>
      <c r="K984" s="193"/>
    </row>
    <row r="985" spans="1:11" x14ac:dyDescent="0.3">
      <c r="A985" s="193"/>
      <c r="B985" s="193"/>
      <c r="C985" s="193"/>
      <c r="D985" s="193"/>
      <c r="E985" s="193"/>
      <c r="F985" s="193"/>
      <c r="G985" s="193"/>
      <c r="H985" s="120"/>
      <c r="I985" s="193"/>
      <c r="J985" s="193"/>
      <c r="K985" s="193"/>
    </row>
    <row r="986" spans="1:11" x14ac:dyDescent="0.3">
      <c r="A986" s="193"/>
      <c r="B986" s="193"/>
      <c r="C986" s="193"/>
      <c r="D986" s="193"/>
      <c r="E986" s="193"/>
      <c r="F986" s="193"/>
      <c r="G986" s="193"/>
      <c r="H986" s="120"/>
      <c r="I986" s="193"/>
      <c r="J986" s="193"/>
      <c r="K986" s="193"/>
    </row>
    <row r="987" spans="1:11" x14ac:dyDescent="0.3">
      <c r="A987" s="193"/>
      <c r="B987" s="193"/>
      <c r="C987" s="193"/>
      <c r="D987" s="193"/>
      <c r="E987" s="193"/>
      <c r="F987" s="193"/>
      <c r="G987" s="193"/>
      <c r="H987" s="120"/>
      <c r="I987" s="193"/>
      <c r="J987" s="193"/>
      <c r="K987" s="193"/>
    </row>
    <row r="988" spans="1:11" x14ac:dyDescent="0.3">
      <c r="A988" s="193"/>
      <c r="B988" s="193"/>
      <c r="C988" s="193"/>
      <c r="D988" s="193"/>
      <c r="E988" s="193"/>
      <c r="F988" s="193"/>
      <c r="G988" s="193"/>
      <c r="H988" s="120"/>
      <c r="I988" s="193"/>
      <c r="J988" s="193"/>
      <c r="K988" s="193"/>
    </row>
    <row r="989" spans="1:11" x14ac:dyDescent="0.3">
      <c r="A989" s="193"/>
      <c r="B989" s="193"/>
      <c r="C989" s="193"/>
      <c r="D989" s="193"/>
      <c r="E989" s="193"/>
      <c r="F989" s="193"/>
      <c r="G989" s="193"/>
      <c r="H989" s="120"/>
      <c r="I989" s="193"/>
      <c r="J989" s="193"/>
      <c r="K989" s="193"/>
    </row>
    <row r="990" spans="1:11" x14ac:dyDescent="0.3">
      <c r="A990" s="193"/>
      <c r="B990" s="193"/>
      <c r="C990" s="193"/>
      <c r="D990" s="193"/>
      <c r="E990" s="193"/>
      <c r="F990" s="193"/>
      <c r="G990" s="193"/>
      <c r="H990" s="120"/>
      <c r="I990" s="193"/>
      <c r="J990" s="193"/>
      <c r="K990" s="193"/>
    </row>
    <row r="991" spans="1:11" x14ac:dyDescent="0.3">
      <c r="A991" s="193"/>
      <c r="B991" s="193"/>
      <c r="C991" s="193"/>
      <c r="D991" s="193"/>
      <c r="E991" s="193"/>
      <c r="F991" s="193"/>
      <c r="G991" s="193"/>
      <c r="H991" s="120"/>
      <c r="I991" s="193"/>
      <c r="J991" s="193"/>
      <c r="K991" s="193"/>
    </row>
    <row r="992" spans="1:11" x14ac:dyDescent="0.3">
      <c r="A992" s="193"/>
      <c r="B992" s="193"/>
      <c r="C992" s="193"/>
      <c r="D992" s="193"/>
      <c r="E992" s="193"/>
      <c r="F992" s="193"/>
      <c r="G992" s="193"/>
      <c r="H992" s="120"/>
      <c r="I992" s="193"/>
      <c r="J992" s="193"/>
      <c r="K992" s="193"/>
    </row>
    <row r="993" spans="1:11" x14ac:dyDescent="0.3">
      <c r="A993" s="193"/>
      <c r="B993" s="193"/>
      <c r="C993" s="193"/>
      <c r="D993" s="193"/>
      <c r="E993" s="193"/>
      <c r="F993" s="193"/>
      <c r="G993" s="193"/>
      <c r="H993" s="120"/>
      <c r="I993" s="193"/>
      <c r="J993" s="193"/>
      <c r="K993" s="193"/>
    </row>
    <row r="994" spans="1:11" x14ac:dyDescent="0.3">
      <c r="A994" s="193"/>
      <c r="B994" s="193"/>
      <c r="C994" s="193"/>
      <c r="D994" s="193"/>
      <c r="E994" s="193"/>
      <c r="F994" s="193"/>
      <c r="G994" s="193"/>
      <c r="H994" s="120"/>
      <c r="I994" s="193"/>
      <c r="J994" s="193"/>
      <c r="K994" s="193"/>
    </row>
    <row r="995" spans="1:11" x14ac:dyDescent="0.3">
      <c r="A995" s="193"/>
      <c r="B995" s="193"/>
      <c r="C995" s="193"/>
      <c r="D995" s="193"/>
      <c r="E995" s="193"/>
      <c r="F995" s="193"/>
      <c r="G995" s="193"/>
      <c r="H995" s="120"/>
      <c r="I995" s="193"/>
      <c r="J995" s="193"/>
      <c r="K995" s="193"/>
    </row>
    <row r="996" spans="1:11" x14ac:dyDescent="0.3">
      <c r="A996" s="193"/>
      <c r="B996" s="193"/>
      <c r="C996" s="193"/>
      <c r="D996" s="193"/>
      <c r="E996" s="193"/>
      <c r="F996" s="193"/>
      <c r="G996" s="193"/>
      <c r="H996" s="120"/>
      <c r="I996" s="193"/>
      <c r="J996" s="193"/>
      <c r="K996" s="193"/>
    </row>
    <row r="997" spans="1:11" x14ac:dyDescent="0.3">
      <c r="A997" s="193"/>
      <c r="B997" s="193"/>
      <c r="C997" s="193"/>
      <c r="D997" s="193"/>
      <c r="E997" s="193"/>
      <c r="F997" s="193"/>
      <c r="G997" s="193"/>
      <c r="H997" s="120"/>
      <c r="I997" s="193"/>
      <c r="J997" s="193"/>
      <c r="K997" s="193"/>
    </row>
    <row r="998" spans="1:11" x14ac:dyDescent="0.3">
      <c r="A998" s="193"/>
      <c r="B998" s="193"/>
      <c r="C998" s="193"/>
      <c r="D998" s="193"/>
      <c r="E998" s="193"/>
      <c r="F998" s="193"/>
      <c r="G998" s="193"/>
      <c r="H998" s="120"/>
      <c r="I998" s="193"/>
      <c r="J998" s="193"/>
      <c r="K998" s="193"/>
    </row>
    <row r="999" spans="1:11" x14ac:dyDescent="0.3">
      <c r="A999" s="193"/>
      <c r="B999" s="193"/>
      <c r="C999" s="193"/>
      <c r="D999" s="193"/>
      <c r="E999" s="193"/>
      <c r="F999" s="193"/>
      <c r="G999" s="193"/>
      <c r="H999" s="120"/>
      <c r="I999" s="193"/>
      <c r="J999" s="193"/>
      <c r="K999" s="193"/>
    </row>
    <row r="1000" spans="1:11" x14ac:dyDescent="0.3">
      <c r="A1000" s="193"/>
      <c r="B1000" s="193"/>
      <c r="C1000" s="193"/>
      <c r="D1000" s="193"/>
      <c r="E1000" s="193"/>
      <c r="F1000" s="193"/>
      <c r="G1000" s="193"/>
      <c r="H1000" s="120"/>
      <c r="I1000" s="193"/>
      <c r="J1000" s="193"/>
      <c r="K1000" s="193"/>
    </row>
    <row r="1001" spans="1:11" x14ac:dyDescent="0.3">
      <c r="A1001" s="193"/>
      <c r="B1001" s="193"/>
      <c r="C1001" s="193"/>
      <c r="D1001" s="193"/>
      <c r="E1001" s="193"/>
      <c r="F1001" s="193"/>
      <c r="G1001" s="193"/>
      <c r="H1001" s="193"/>
      <c r="I1001" s="193"/>
      <c r="J1001" s="193"/>
      <c r="K1001" s="193"/>
    </row>
    <row r="1002" spans="1:11" x14ac:dyDescent="0.3">
      <c r="A1002" s="193"/>
      <c r="B1002" s="193"/>
      <c r="C1002" s="193"/>
      <c r="D1002" s="193"/>
      <c r="E1002" s="193"/>
      <c r="F1002" s="193"/>
      <c r="G1002" s="193"/>
      <c r="H1002" s="193"/>
      <c r="I1002" s="193"/>
      <c r="J1002" s="193"/>
      <c r="K100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4.4" x14ac:dyDescent="0.3"/>
  <cols>
    <col min="1" max="1" width="55.109375" customWidth="1"/>
    <col min="2" max="2" width="22.109375" customWidth="1"/>
    <col min="3" max="3" width="44" customWidth="1"/>
    <col min="4" max="4" width="18" customWidth="1"/>
    <col min="5" max="5" width="32.88671875" customWidth="1"/>
    <col min="6" max="6" width="31" customWidth="1"/>
    <col min="7" max="7" width="17.6640625" customWidth="1"/>
    <col min="8" max="8" width="14.109375" customWidth="1"/>
    <col min="9" max="9" width="18.5546875" customWidth="1"/>
    <col min="10" max="10" width="21.44140625" customWidth="1"/>
  </cols>
  <sheetData>
    <row r="1" spans="1:10" ht="15" thickBot="1" x14ac:dyDescent="0.35">
      <c r="A1" s="174" t="s">
        <v>1043</v>
      </c>
      <c r="B1" s="174" t="s">
        <v>1006</v>
      </c>
      <c r="C1" s="174" t="s">
        <v>1007</v>
      </c>
      <c r="D1" s="174" t="s">
        <v>1044</v>
      </c>
      <c r="E1" s="174" t="s">
        <v>1045</v>
      </c>
      <c r="F1" s="174" t="s">
        <v>1046</v>
      </c>
      <c r="G1" s="174" t="s">
        <v>1047</v>
      </c>
      <c r="H1" s="174" t="s">
        <v>1048</v>
      </c>
      <c r="I1" s="174" t="s">
        <v>1049</v>
      </c>
      <c r="J1" s="174" t="s">
        <v>1050</v>
      </c>
    </row>
    <row r="2" spans="1:10" x14ac:dyDescent="0.3">
      <c r="A2" t="s">
        <v>1052</v>
      </c>
      <c r="B2" s="175" t="s">
        <v>333</v>
      </c>
      <c r="C2" t="s">
        <v>816</v>
      </c>
      <c r="D2" t="s">
        <v>1087</v>
      </c>
      <c r="E2" t="s">
        <v>1094</v>
      </c>
      <c r="F2" t="s">
        <v>1095</v>
      </c>
      <c r="G2" t="s">
        <v>1087</v>
      </c>
      <c r="H2" t="s">
        <v>1095</v>
      </c>
      <c r="I2" t="s">
        <v>1096</v>
      </c>
    </row>
    <row r="3" spans="1:10" x14ac:dyDescent="0.3">
      <c r="A3" t="s">
        <v>1053</v>
      </c>
      <c r="B3" s="175" t="s">
        <v>333</v>
      </c>
      <c r="C3" t="s">
        <v>817</v>
      </c>
      <c r="D3" t="s">
        <v>1087</v>
      </c>
      <c r="E3" t="s">
        <v>1094</v>
      </c>
      <c r="F3" t="s">
        <v>1095</v>
      </c>
      <c r="G3" t="s">
        <v>1087</v>
      </c>
      <c r="H3" t="s">
        <v>1095</v>
      </c>
      <c r="I3" t="s">
        <v>1096</v>
      </c>
    </row>
    <row r="4" spans="1:10" x14ac:dyDescent="0.3">
      <c r="A4" t="s">
        <v>1055</v>
      </c>
      <c r="B4" t="s">
        <v>302</v>
      </c>
      <c r="C4" t="s">
        <v>818</v>
      </c>
      <c r="D4" t="s">
        <v>1087</v>
      </c>
      <c r="E4" t="s">
        <v>1097</v>
      </c>
      <c r="F4" t="s">
        <v>1087</v>
      </c>
      <c r="G4" t="s">
        <v>1098</v>
      </c>
    </row>
    <row r="5" spans="1:10" x14ac:dyDescent="0.3">
      <c r="A5" t="s">
        <v>1056</v>
      </c>
      <c r="B5" t="s">
        <v>302</v>
      </c>
      <c r="C5" t="s">
        <v>819</v>
      </c>
      <c r="D5" t="s">
        <v>1087</v>
      </c>
      <c r="E5" t="s">
        <v>1097</v>
      </c>
      <c r="F5" t="s">
        <v>1087</v>
      </c>
      <c r="G5" t="s">
        <v>1098</v>
      </c>
    </row>
    <row r="6" spans="1:10" x14ac:dyDescent="0.3">
      <c r="A6" t="s">
        <v>1057</v>
      </c>
      <c r="B6" t="s">
        <v>302</v>
      </c>
      <c r="C6" t="s">
        <v>820</v>
      </c>
      <c r="D6" t="s">
        <v>1087</v>
      </c>
      <c r="E6" t="s">
        <v>1097</v>
      </c>
      <c r="F6" t="s">
        <v>1087</v>
      </c>
      <c r="G6" t="s">
        <v>1098</v>
      </c>
    </row>
    <row r="7" spans="1:10" x14ac:dyDescent="0.3">
      <c r="A7" t="s">
        <v>1058</v>
      </c>
      <c r="B7" t="s">
        <v>302</v>
      </c>
      <c r="C7" t="s">
        <v>804</v>
      </c>
      <c r="D7" t="s">
        <v>1087</v>
      </c>
      <c r="E7" t="s">
        <v>1097</v>
      </c>
      <c r="F7" t="s">
        <v>1087</v>
      </c>
      <c r="G7" t="s">
        <v>1098</v>
      </c>
    </row>
    <row r="8" spans="1:10" x14ac:dyDescent="0.3">
      <c r="A8" t="s">
        <v>1059</v>
      </c>
      <c r="B8" t="s">
        <v>302</v>
      </c>
      <c r="C8" t="s">
        <v>821</v>
      </c>
      <c r="D8" t="s">
        <v>1087</v>
      </c>
      <c r="E8" t="s">
        <v>1097</v>
      </c>
      <c r="F8" t="s">
        <v>1087</v>
      </c>
      <c r="G8" t="s">
        <v>1098</v>
      </c>
    </row>
    <row r="9" spans="1:10" x14ac:dyDescent="0.3">
      <c r="A9" t="s">
        <v>1060</v>
      </c>
      <c r="B9" t="s">
        <v>302</v>
      </c>
      <c r="C9" t="s">
        <v>822</v>
      </c>
      <c r="D9" t="s">
        <v>1087</v>
      </c>
      <c r="E9" t="s">
        <v>1097</v>
      </c>
      <c r="F9" t="s">
        <v>1087</v>
      </c>
      <c r="G9" t="s">
        <v>1098</v>
      </c>
    </row>
    <row r="10" spans="1:10" x14ac:dyDescent="0.3">
      <c r="A10" t="s">
        <v>1061</v>
      </c>
      <c r="B10" t="s">
        <v>302</v>
      </c>
      <c r="C10" t="s">
        <v>823</v>
      </c>
      <c r="D10" t="s">
        <v>1087</v>
      </c>
      <c r="E10" t="s">
        <v>1098</v>
      </c>
      <c r="F10" t="s">
        <v>1087</v>
      </c>
    </row>
    <row r="11" spans="1:10" x14ac:dyDescent="0.3">
      <c r="A11" t="s">
        <v>1062</v>
      </c>
      <c r="B11" t="s">
        <v>302</v>
      </c>
      <c r="C11" t="s">
        <v>824</v>
      </c>
      <c r="D11" t="s">
        <v>1087</v>
      </c>
      <c r="E11" t="s">
        <v>1098</v>
      </c>
      <c r="F11" t="s">
        <v>1087</v>
      </c>
    </row>
    <row r="12" spans="1:10" x14ac:dyDescent="0.3">
      <c r="A12" t="s">
        <v>1066</v>
      </c>
      <c r="B12" t="s">
        <v>289</v>
      </c>
      <c r="C12" t="s">
        <v>809</v>
      </c>
      <c r="D12" t="s">
        <v>1087</v>
      </c>
      <c r="E12" t="s">
        <v>1099</v>
      </c>
      <c r="F12" t="s">
        <v>1100</v>
      </c>
      <c r="G12" t="s">
        <v>1087</v>
      </c>
      <c r="H12" t="s">
        <v>1101</v>
      </c>
    </row>
    <row r="13" spans="1:10" x14ac:dyDescent="0.3">
      <c r="A13" t="s">
        <v>1067</v>
      </c>
      <c r="B13" t="s">
        <v>289</v>
      </c>
      <c r="C13" t="s">
        <v>807</v>
      </c>
      <c r="D13" t="s">
        <v>1087</v>
      </c>
      <c r="E13" t="s">
        <v>1099</v>
      </c>
      <c r="F13" t="s">
        <v>1100</v>
      </c>
      <c r="G13" t="s">
        <v>1087</v>
      </c>
      <c r="H13" t="s">
        <v>1101</v>
      </c>
    </row>
    <row r="14" spans="1:10" x14ac:dyDescent="0.3">
      <c r="A14" t="s">
        <v>1068</v>
      </c>
      <c r="B14" t="s">
        <v>289</v>
      </c>
      <c r="C14" t="s">
        <v>1035</v>
      </c>
      <c r="D14" t="s">
        <v>1087</v>
      </c>
      <c r="E14" t="s">
        <v>1099</v>
      </c>
      <c r="F14" t="s">
        <v>1100</v>
      </c>
      <c r="G14" t="s">
        <v>1087</v>
      </c>
      <c r="H14" t="s">
        <v>1101</v>
      </c>
    </row>
    <row r="15" spans="1:10" x14ac:dyDescent="0.3">
      <c r="A15" t="s">
        <v>1069</v>
      </c>
      <c r="B15" t="s">
        <v>289</v>
      </c>
      <c r="C15" t="s">
        <v>808</v>
      </c>
      <c r="D15" t="s">
        <v>1087</v>
      </c>
      <c r="E15" t="s">
        <v>1099</v>
      </c>
      <c r="F15" t="s">
        <v>1100</v>
      </c>
      <c r="G15" t="s">
        <v>1087</v>
      </c>
      <c r="H15" t="s">
        <v>1101</v>
      </c>
    </row>
    <row r="16" spans="1:10" x14ac:dyDescent="0.3">
      <c r="A16" t="s">
        <v>1070</v>
      </c>
      <c r="B16" t="s">
        <v>289</v>
      </c>
      <c r="C16" t="s">
        <v>1036</v>
      </c>
      <c r="D16" t="s">
        <v>1087</v>
      </c>
      <c r="E16" t="s">
        <v>1099</v>
      </c>
      <c r="F16" t="s">
        <v>1100</v>
      </c>
      <c r="G16" t="s">
        <v>1087</v>
      </c>
      <c r="H16" t="s">
        <v>1101</v>
      </c>
    </row>
    <row r="17" spans="1:8" x14ac:dyDescent="0.3">
      <c r="A17" t="s">
        <v>1071</v>
      </c>
      <c r="B17" t="s">
        <v>289</v>
      </c>
      <c r="C17" t="s">
        <v>812</v>
      </c>
      <c r="D17" t="s">
        <v>1087</v>
      </c>
      <c r="E17" t="s">
        <v>1099</v>
      </c>
      <c r="F17" t="s">
        <v>1100</v>
      </c>
      <c r="G17" t="s">
        <v>1087</v>
      </c>
      <c r="H17" t="s">
        <v>1101</v>
      </c>
    </row>
    <row r="18" spans="1:8" x14ac:dyDescent="0.3">
      <c r="A18" t="s">
        <v>1072</v>
      </c>
      <c r="B18" t="s">
        <v>289</v>
      </c>
      <c r="C18" t="s">
        <v>1037</v>
      </c>
      <c r="D18" t="s">
        <v>1087</v>
      </c>
      <c r="E18" t="s">
        <v>1099</v>
      </c>
      <c r="F18" t="s">
        <v>1100</v>
      </c>
      <c r="G18" t="s">
        <v>1087</v>
      </c>
      <c r="H18" t="s">
        <v>1101</v>
      </c>
    </row>
    <row r="19" spans="1:8" x14ac:dyDescent="0.3">
      <c r="A19" t="s">
        <v>1073</v>
      </c>
      <c r="B19" t="s">
        <v>289</v>
      </c>
      <c r="C19" t="s">
        <v>814</v>
      </c>
      <c r="D19" t="s">
        <v>1087</v>
      </c>
      <c r="E19" t="s">
        <v>1099</v>
      </c>
      <c r="F19" t="s">
        <v>1100</v>
      </c>
      <c r="G19" t="s">
        <v>1087</v>
      </c>
      <c r="H19" t="s">
        <v>1101</v>
      </c>
    </row>
    <row r="20" spans="1:8" ht="15" thickBot="1" x14ac:dyDescent="0.35">
      <c r="A20" t="s">
        <v>1074</v>
      </c>
      <c r="B20" t="s">
        <v>289</v>
      </c>
      <c r="C20" t="s">
        <v>815</v>
      </c>
      <c r="D20" t="s">
        <v>1087</v>
      </c>
      <c r="E20" t="s">
        <v>1099</v>
      </c>
      <c r="F20" t="s">
        <v>1100</v>
      </c>
      <c r="G20" t="s">
        <v>1087</v>
      </c>
      <c r="H20" t="s">
        <v>1101</v>
      </c>
    </row>
    <row r="21" spans="1:8" ht="15" thickBot="1" x14ac:dyDescent="0.35">
      <c r="A21" t="s">
        <v>1063</v>
      </c>
      <c r="B21" t="s">
        <v>289</v>
      </c>
      <c r="C21" t="s">
        <v>811</v>
      </c>
      <c r="D21" s="176" t="s">
        <v>1087</v>
      </c>
      <c r="E21" s="176" t="s">
        <v>1102</v>
      </c>
      <c r="F21" s="176" t="s">
        <v>1087</v>
      </c>
      <c r="G21" s="176" t="s">
        <v>1101</v>
      </c>
    </row>
    <row r="22" spans="1:8" ht="15" thickBot="1" x14ac:dyDescent="0.35">
      <c r="A22" t="s">
        <v>1064</v>
      </c>
      <c r="B22" t="s">
        <v>289</v>
      </c>
      <c r="C22" t="s">
        <v>806</v>
      </c>
      <c r="D22" s="176" t="s">
        <v>1087</v>
      </c>
      <c r="E22" s="176" t="s">
        <v>1102</v>
      </c>
      <c r="F22" s="176" t="s">
        <v>1087</v>
      </c>
      <c r="G22" s="176" t="s">
        <v>1101</v>
      </c>
    </row>
    <row r="23" spans="1:8" ht="15" thickBot="1" x14ac:dyDescent="0.35">
      <c r="A23" t="s">
        <v>1065</v>
      </c>
      <c r="B23" t="s">
        <v>289</v>
      </c>
      <c r="C23" t="s">
        <v>1038</v>
      </c>
      <c r="D23" s="176" t="s">
        <v>1087</v>
      </c>
      <c r="E23" s="176" t="s">
        <v>1102</v>
      </c>
      <c r="F23" s="176" t="s">
        <v>1087</v>
      </c>
      <c r="G23" s="176" t="s">
        <v>1101</v>
      </c>
    </row>
    <row r="24" spans="1:8" x14ac:dyDescent="0.3">
      <c r="A24" t="s">
        <v>1054</v>
      </c>
      <c r="B24" t="s">
        <v>289</v>
      </c>
      <c r="C24" t="s">
        <v>813</v>
      </c>
      <c r="D24" t="s">
        <v>1087</v>
      </c>
      <c r="E24" t="s">
        <v>1094</v>
      </c>
      <c r="F24" t="s">
        <v>1095</v>
      </c>
      <c r="G24" t="s">
        <v>1087</v>
      </c>
      <c r="H24" t="s">
        <v>1095</v>
      </c>
    </row>
    <row r="25" spans="1:8" x14ac:dyDescent="0.3">
      <c r="A25" t="s">
        <v>1078</v>
      </c>
      <c r="B25" t="s">
        <v>289</v>
      </c>
      <c r="C25" t="s">
        <v>1039</v>
      </c>
      <c r="D25" t="s">
        <v>1087</v>
      </c>
      <c r="E25" t="s">
        <v>1094</v>
      </c>
      <c r="F25" t="s">
        <v>1095</v>
      </c>
      <c r="G25" t="s">
        <v>1087</v>
      </c>
      <c r="H25" t="s">
        <v>1095</v>
      </c>
    </row>
    <row r="26" spans="1:8" x14ac:dyDescent="0.3">
      <c r="A26" t="s">
        <v>1079</v>
      </c>
      <c r="B26" t="s">
        <v>289</v>
      </c>
      <c r="C26" t="s">
        <v>1040</v>
      </c>
      <c r="D26" t="s">
        <v>1087</v>
      </c>
      <c r="E26" t="s">
        <v>1094</v>
      </c>
      <c r="F26" t="s">
        <v>1095</v>
      </c>
      <c r="G26" t="s">
        <v>1087</v>
      </c>
      <c r="H26" t="s">
        <v>1095</v>
      </c>
    </row>
    <row r="27" spans="1:8" x14ac:dyDescent="0.3">
      <c r="A27" t="s">
        <v>1080</v>
      </c>
      <c r="B27" t="s">
        <v>289</v>
      </c>
      <c r="C27" t="s">
        <v>1041</v>
      </c>
      <c r="D27" t="s">
        <v>1087</v>
      </c>
      <c r="E27" t="s">
        <v>1094</v>
      </c>
      <c r="F27" t="s">
        <v>1095</v>
      </c>
      <c r="G27" t="s">
        <v>1087</v>
      </c>
      <c r="H27" t="s">
        <v>1095</v>
      </c>
    </row>
    <row r="28" spans="1:8" x14ac:dyDescent="0.3">
      <c r="A28" t="s">
        <v>1081</v>
      </c>
      <c r="B28" t="s">
        <v>289</v>
      </c>
      <c r="C28" t="s">
        <v>1042</v>
      </c>
      <c r="D28" t="s">
        <v>1087</v>
      </c>
      <c r="E28" t="s">
        <v>1094</v>
      </c>
      <c r="F28" t="s">
        <v>1095</v>
      </c>
      <c r="G28" t="s">
        <v>1087</v>
      </c>
      <c r="H28" t="s">
        <v>1095</v>
      </c>
    </row>
    <row r="29" spans="1:8" x14ac:dyDescent="0.3">
      <c r="A29" t="s">
        <v>1082</v>
      </c>
      <c r="B29" t="s">
        <v>289</v>
      </c>
      <c r="C29" t="s">
        <v>810</v>
      </c>
      <c r="D29" t="s">
        <v>1087</v>
      </c>
      <c r="E29" t="s">
        <v>1094</v>
      </c>
      <c r="F29" t="s">
        <v>1095</v>
      </c>
      <c r="G29" t="s">
        <v>1087</v>
      </c>
      <c r="H29" t="s">
        <v>1095</v>
      </c>
    </row>
    <row r="30" spans="1:8" x14ac:dyDescent="0.3">
      <c r="A30" t="s">
        <v>1075</v>
      </c>
      <c r="B30" s="175" t="s">
        <v>337</v>
      </c>
      <c r="C30" t="s">
        <v>827</v>
      </c>
      <c r="D30" t="s">
        <v>1087</v>
      </c>
      <c r="E30" t="s">
        <v>1087</v>
      </c>
      <c r="F30" t="s">
        <v>1106</v>
      </c>
      <c r="G30" t="s">
        <v>1096</v>
      </c>
    </row>
    <row r="31" spans="1:8" x14ac:dyDescent="0.3">
      <c r="A31" t="s">
        <v>1103</v>
      </c>
      <c r="B31" s="175" t="s">
        <v>320</v>
      </c>
      <c r="C31" t="s">
        <v>828</v>
      </c>
      <c r="D31" t="s">
        <v>1087</v>
      </c>
      <c r="E31" t="s">
        <v>1087</v>
      </c>
      <c r="F31" t="s">
        <v>1105</v>
      </c>
      <c r="G31" t="s">
        <v>1096</v>
      </c>
    </row>
    <row r="32" spans="1:8" x14ac:dyDescent="0.3">
      <c r="A32" t="s">
        <v>1104</v>
      </c>
      <c r="B32" s="175" t="s">
        <v>320</v>
      </c>
      <c r="C32" t="s">
        <v>829</v>
      </c>
      <c r="D32" t="s">
        <v>1087</v>
      </c>
      <c r="E32" t="s">
        <v>1087</v>
      </c>
      <c r="F32" t="s">
        <v>1105</v>
      </c>
      <c r="G32" t="s">
        <v>1096</v>
      </c>
    </row>
    <row r="33" spans="1:6" x14ac:dyDescent="0.3">
      <c r="A33" t="s">
        <v>1076</v>
      </c>
      <c r="B33" s="175" t="s">
        <v>322</v>
      </c>
      <c r="C33" t="s">
        <v>825</v>
      </c>
      <c r="D33" t="s">
        <v>1087</v>
      </c>
      <c r="E33" t="s">
        <v>1087</v>
      </c>
      <c r="F33" t="s">
        <v>1107</v>
      </c>
    </row>
    <row r="34" spans="1:6" ht="15" thickBot="1" x14ac:dyDescent="0.35">
      <c r="A34" t="s">
        <v>1077</v>
      </c>
      <c r="B34" s="175" t="s">
        <v>322</v>
      </c>
      <c r="C34" t="s">
        <v>826</v>
      </c>
      <c r="D34" t="s">
        <v>1087</v>
      </c>
      <c r="E34" t="s">
        <v>1087</v>
      </c>
      <c r="F34" t="s">
        <v>1107</v>
      </c>
    </row>
    <row r="35" spans="1:6" ht="17.25" customHeight="1" thickBot="1" x14ac:dyDescent="0.35">
      <c r="A35" s="176" t="s">
        <v>1090</v>
      </c>
      <c r="B35" s="176" t="s">
        <v>1083</v>
      </c>
      <c r="C35" s="176" t="s">
        <v>1088</v>
      </c>
      <c r="D35" s="176"/>
      <c r="E35" s="176" t="s">
        <v>1084</v>
      </c>
      <c r="F35" s="176" t="s">
        <v>1084</v>
      </c>
    </row>
    <row r="36" spans="1:6" ht="15" thickBot="1" x14ac:dyDescent="0.35">
      <c r="A36" s="176" t="s">
        <v>1091</v>
      </c>
      <c r="B36" s="176" t="s">
        <v>1085</v>
      </c>
      <c r="C36" s="176" t="s">
        <v>1089</v>
      </c>
      <c r="D36" s="176"/>
      <c r="E36" s="176" t="s">
        <v>1086</v>
      </c>
    </row>
    <row r="37" spans="1:6" ht="15" thickBot="1" x14ac:dyDescent="0.35">
      <c r="A37" s="176" t="s">
        <v>1108</v>
      </c>
      <c r="B37" s="176" t="s">
        <v>1093</v>
      </c>
      <c r="C37" s="176" t="s">
        <v>1092</v>
      </c>
      <c r="D37" s="176" t="s">
        <v>1087</v>
      </c>
      <c r="E37" s="176" t="s">
        <v>1087</v>
      </c>
    </row>
    <row r="38" spans="1:6" x14ac:dyDescent="0.3">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4.4" x14ac:dyDescent="0.3"/>
  <cols>
    <col min="1" max="1" width="30.109375" customWidth="1"/>
    <col min="2" max="2" width="27.33203125" customWidth="1"/>
    <col min="3" max="3" width="33" customWidth="1"/>
    <col min="4" max="4" width="23.88671875" customWidth="1"/>
    <col min="5" max="5" width="43.44140625" customWidth="1"/>
    <col min="6" max="6" width="32.33203125" customWidth="1"/>
    <col min="7" max="7" width="57.6640625" customWidth="1"/>
  </cols>
  <sheetData>
    <row r="1" spans="1:16" x14ac:dyDescent="0.3">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x14ac:dyDescent="0.3">
      <c r="A2" s="175" t="s">
        <v>402</v>
      </c>
      <c r="B2" s="175" t="s">
        <v>1018</v>
      </c>
      <c r="D2" t="s">
        <v>333</v>
      </c>
      <c r="E2" t="s">
        <v>816</v>
      </c>
      <c r="F2" t="s">
        <v>979</v>
      </c>
      <c r="G2" s="175" t="s">
        <v>1052</v>
      </c>
    </row>
    <row r="3" spans="1:16" x14ac:dyDescent="0.3">
      <c r="A3" s="175" t="s">
        <v>402</v>
      </c>
      <c r="B3" s="175" t="s">
        <v>1018</v>
      </c>
      <c r="D3" t="s">
        <v>333</v>
      </c>
      <c r="E3" t="s">
        <v>817</v>
      </c>
      <c r="F3" t="s">
        <v>979</v>
      </c>
      <c r="G3" t="s">
        <v>1053</v>
      </c>
    </row>
    <row r="4" spans="1:16" x14ac:dyDescent="0.3">
      <c r="A4" s="175" t="s">
        <v>402</v>
      </c>
      <c r="B4" s="175" t="s">
        <v>1018</v>
      </c>
      <c r="D4" s="175" t="s">
        <v>302</v>
      </c>
      <c r="E4" t="s">
        <v>818</v>
      </c>
      <c r="F4" t="s">
        <v>979</v>
      </c>
      <c r="G4" t="s">
        <v>1055</v>
      </c>
    </row>
    <row r="5" spans="1:16" x14ac:dyDescent="0.3">
      <c r="A5" s="175" t="s">
        <v>402</v>
      </c>
      <c r="B5" s="175" t="s">
        <v>1018</v>
      </c>
      <c r="D5" s="175" t="s">
        <v>302</v>
      </c>
      <c r="E5" t="s">
        <v>819</v>
      </c>
      <c r="F5" t="s">
        <v>979</v>
      </c>
      <c r="G5" t="s">
        <v>1056</v>
      </c>
    </row>
    <row r="6" spans="1:16" x14ac:dyDescent="0.3">
      <c r="A6" s="175" t="s">
        <v>402</v>
      </c>
      <c r="B6" s="175" t="s">
        <v>1018</v>
      </c>
      <c r="D6" s="175" t="s">
        <v>302</v>
      </c>
      <c r="E6" t="s">
        <v>820</v>
      </c>
      <c r="F6" t="s">
        <v>979</v>
      </c>
      <c r="G6" t="s">
        <v>1057</v>
      </c>
    </row>
    <row r="7" spans="1:16" x14ac:dyDescent="0.3">
      <c r="A7" s="175" t="s">
        <v>402</v>
      </c>
      <c r="B7" s="175" t="s">
        <v>1018</v>
      </c>
      <c r="D7" s="175" t="s">
        <v>302</v>
      </c>
      <c r="E7" t="s">
        <v>804</v>
      </c>
      <c r="F7" t="s">
        <v>979</v>
      </c>
      <c r="G7" t="s">
        <v>1058</v>
      </c>
    </row>
    <row r="8" spans="1:16" x14ac:dyDescent="0.3">
      <c r="A8" s="175" t="s">
        <v>402</v>
      </c>
      <c r="B8" s="175" t="s">
        <v>1018</v>
      </c>
      <c r="D8" s="175" t="s">
        <v>302</v>
      </c>
      <c r="E8" t="s">
        <v>821</v>
      </c>
      <c r="F8" t="s">
        <v>979</v>
      </c>
      <c r="G8" t="s">
        <v>1059</v>
      </c>
    </row>
    <row r="9" spans="1:16" x14ac:dyDescent="0.3">
      <c r="A9" s="175" t="s">
        <v>402</v>
      </c>
      <c r="B9" s="175" t="s">
        <v>1018</v>
      </c>
      <c r="D9" s="175" t="s">
        <v>302</v>
      </c>
      <c r="E9" t="s">
        <v>822</v>
      </c>
      <c r="F9" t="s">
        <v>979</v>
      </c>
      <c r="G9" t="s">
        <v>1060</v>
      </c>
    </row>
    <row r="10" spans="1:16" x14ac:dyDescent="0.3">
      <c r="A10" s="175" t="s">
        <v>402</v>
      </c>
      <c r="B10" s="175" t="s">
        <v>1018</v>
      </c>
      <c r="D10" s="175" t="s">
        <v>302</v>
      </c>
      <c r="E10" t="s">
        <v>823</v>
      </c>
      <c r="F10" t="s">
        <v>979</v>
      </c>
      <c r="G10" t="s">
        <v>1061</v>
      </c>
    </row>
    <row r="11" spans="1:16" x14ac:dyDescent="0.3">
      <c r="A11" s="175" t="s">
        <v>402</v>
      </c>
      <c r="B11" s="175" t="s">
        <v>1018</v>
      </c>
      <c r="D11" s="175" t="s">
        <v>302</v>
      </c>
      <c r="E11" t="s">
        <v>824</v>
      </c>
      <c r="F11" t="s">
        <v>979</v>
      </c>
      <c r="G11" t="s">
        <v>1062</v>
      </c>
    </row>
    <row r="12" spans="1:16" x14ac:dyDescent="0.3">
      <c r="A12" s="175" t="s">
        <v>402</v>
      </c>
      <c r="B12" s="175" t="s">
        <v>1018</v>
      </c>
      <c r="D12" s="175" t="s">
        <v>289</v>
      </c>
      <c r="E12" t="s">
        <v>809</v>
      </c>
      <c r="F12" t="s">
        <v>979</v>
      </c>
      <c r="G12" s="175" t="s">
        <v>1066</v>
      </c>
    </row>
    <row r="13" spans="1:16" x14ac:dyDescent="0.3">
      <c r="A13" s="175" t="s">
        <v>402</v>
      </c>
      <c r="B13" s="175" t="s">
        <v>1018</v>
      </c>
      <c r="D13" s="175" t="s">
        <v>289</v>
      </c>
      <c r="E13" t="s">
        <v>807</v>
      </c>
      <c r="F13" t="s">
        <v>979</v>
      </c>
      <c r="G13" s="175" t="s">
        <v>1067</v>
      </c>
    </row>
    <row r="14" spans="1:16" x14ac:dyDescent="0.3">
      <c r="A14" s="175" t="s">
        <v>402</v>
      </c>
      <c r="B14" s="175" t="s">
        <v>1018</v>
      </c>
      <c r="D14" s="175" t="s">
        <v>289</v>
      </c>
      <c r="E14" t="s">
        <v>1035</v>
      </c>
      <c r="F14" t="s">
        <v>979</v>
      </c>
      <c r="G14" s="175" t="s">
        <v>1068</v>
      </c>
    </row>
    <row r="15" spans="1:16" x14ac:dyDescent="0.3">
      <c r="A15" s="175" t="s">
        <v>402</v>
      </c>
      <c r="B15" s="175" t="s">
        <v>1018</v>
      </c>
      <c r="D15" s="175" t="s">
        <v>289</v>
      </c>
      <c r="E15" t="s">
        <v>808</v>
      </c>
      <c r="F15" t="s">
        <v>979</v>
      </c>
      <c r="G15" s="175" t="s">
        <v>1069</v>
      </c>
    </row>
    <row r="16" spans="1:16" x14ac:dyDescent="0.3">
      <c r="A16" s="175" t="s">
        <v>402</v>
      </c>
      <c r="B16" s="175" t="s">
        <v>1018</v>
      </c>
      <c r="D16" s="175" t="s">
        <v>289</v>
      </c>
      <c r="E16" t="s">
        <v>1036</v>
      </c>
      <c r="F16" t="s">
        <v>979</v>
      </c>
      <c r="G16" s="175" t="s">
        <v>1070</v>
      </c>
    </row>
    <row r="17" spans="1:7" x14ac:dyDescent="0.3">
      <c r="A17" s="175" t="s">
        <v>402</v>
      </c>
      <c r="B17" s="175" t="s">
        <v>1018</v>
      </c>
      <c r="D17" s="175" t="s">
        <v>289</v>
      </c>
      <c r="E17" t="s">
        <v>812</v>
      </c>
      <c r="F17" t="s">
        <v>979</v>
      </c>
      <c r="G17" s="175" t="s">
        <v>1071</v>
      </c>
    </row>
    <row r="18" spans="1:7" x14ac:dyDescent="0.3">
      <c r="A18" s="175" t="s">
        <v>402</v>
      </c>
      <c r="B18" s="175" t="s">
        <v>1018</v>
      </c>
      <c r="D18" s="175" t="s">
        <v>289</v>
      </c>
      <c r="E18" t="s">
        <v>1037</v>
      </c>
      <c r="F18" t="s">
        <v>979</v>
      </c>
      <c r="G18" s="175" t="s">
        <v>1072</v>
      </c>
    </row>
    <row r="19" spans="1:7" x14ac:dyDescent="0.3">
      <c r="A19" s="175" t="s">
        <v>402</v>
      </c>
      <c r="B19" s="175" t="s">
        <v>1018</v>
      </c>
      <c r="D19" s="175" t="s">
        <v>289</v>
      </c>
      <c r="E19" t="s">
        <v>814</v>
      </c>
      <c r="F19" t="s">
        <v>979</v>
      </c>
      <c r="G19" s="175" t="s">
        <v>1073</v>
      </c>
    </row>
    <row r="20" spans="1:7" x14ac:dyDescent="0.3">
      <c r="A20" s="175" t="s">
        <v>402</v>
      </c>
      <c r="B20" s="175" t="s">
        <v>1018</v>
      </c>
      <c r="D20" s="175" t="s">
        <v>289</v>
      </c>
      <c r="E20" t="s">
        <v>815</v>
      </c>
      <c r="F20" t="s">
        <v>979</v>
      </c>
      <c r="G20" s="175" t="s">
        <v>1074</v>
      </c>
    </row>
    <row r="21" spans="1:7" x14ac:dyDescent="0.3">
      <c r="A21" s="175" t="s">
        <v>402</v>
      </c>
      <c r="B21" s="175" t="s">
        <v>1018</v>
      </c>
      <c r="D21" s="175" t="s">
        <v>289</v>
      </c>
      <c r="E21" t="s">
        <v>811</v>
      </c>
      <c r="F21" t="s">
        <v>979</v>
      </c>
      <c r="G21" s="175" t="s">
        <v>1063</v>
      </c>
    </row>
    <row r="22" spans="1:7" x14ac:dyDescent="0.3">
      <c r="A22" s="175" t="s">
        <v>402</v>
      </c>
      <c r="B22" s="175" t="s">
        <v>1018</v>
      </c>
      <c r="D22" s="175" t="s">
        <v>289</v>
      </c>
      <c r="E22" t="s">
        <v>806</v>
      </c>
      <c r="F22" t="s">
        <v>979</v>
      </c>
      <c r="G22" s="175" t="s">
        <v>1064</v>
      </c>
    </row>
    <row r="23" spans="1:7" x14ac:dyDescent="0.3">
      <c r="A23" s="175" t="s">
        <v>402</v>
      </c>
      <c r="B23" s="175" t="s">
        <v>1018</v>
      </c>
      <c r="D23" s="175" t="s">
        <v>289</v>
      </c>
      <c r="E23" t="s">
        <v>1038</v>
      </c>
      <c r="F23" t="s">
        <v>979</v>
      </c>
      <c r="G23" s="175" t="s">
        <v>1065</v>
      </c>
    </row>
    <row r="24" spans="1:7" x14ac:dyDescent="0.3">
      <c r="A24" s="175" t="s">
        <v>402</v>
      </c>
      <c r="B24" s="175" t="s">
        <v>1018</v>
      </c>
      <c r="D24" s="175" t="s">
        <v>289</v>
      </c>
      <c r="E24" t="s">
        <v>813</v>
      </c>
      <c r="F24" t="s">
        <v>979</v>
      </c>
      <c r="G24" s="175" t="s">
        <v>1054</v>
      </c>
    </row>
    <row r="25" spans="1:7" x14ac:dyDescent="0.3">
      <c r="A25" s="175" t="s">
        <v>402</v>
      </c>
      <c r="B25" s="175" t="s">
        <v>1018</v>
      </c>
      <c r="D25" s="175" t="s">
        <v>289</v>
      </c>
      <c r="E25" t="s">
        <v>1039</v>
      </c>
      <c r="F25" t="s">
        <v>979</v>
      </c>
      <c r="G25" s="175" t="s">
        <v>1078</v>
      </c>
    </row>
    <row r="26" spans="1:7" x14ac:dyDescent="0.3">
      <c r="A26" s="175" t="s">
        <v>402</v>
      </c>
      <c r="B26" s="175" t="s">
        <v>1018</v>
      </c>
      <c r="D26" s="175" t="s">
        <v>289</v>
      </c>
      <c r="E26" t="s">
        <v>1040</v>
      </c>
      <c r="F26" t="s">
        <v>979</v>
      </c>
      <c r="G26" s="175" t="s">
        <v>1079</v>
      </c>
    </row>
    <row r="27" spans="1:7" x14ac:dyDescent="0.3">
      <c r="A27" s="175" t="s">
        <v>402</v>
      </c>
      <c r="B27" s="175" t="s">
        <v>1018</v>
      </c>
      <c r="D27" s="175" t="s">
        <v>289</v>
      </c>
      <c r="E27" t="s">
        <v>1041</v>
      </c>
      <c r="F27" t="s">
        <v>979</v>
      </c>
      <c r="G27" s="175" t="s">
        <v>1080</v>
      </c>
    </row>
    <row r="28" spans="1:7" x14ac:dyDescent="0.3">
      <c r="A28" s="175" t="s">
        <v>402</v>
      </c>
      <c r="B28" s="175" t="s">
        <v>1018</v>
      </c>
      <c r="D28" s="175" t="s">
        <v>289</v>
      </c>
      <c r="E28" t="s">
        <v>1042</v>
      </c>
      <c r="F28" t="s">
        <v>979</v>
      </c>
      <c r="G28" s="175" t="s">
        <v>1081</v>
      </c>
    </row>
    <row r="29" spans="1:7" x14ac:dyDescent="0.3">
      <c r="A29" s="175" t="s">
        <v>402</v>
      </c>
      <c r="B29" s="175" t="s">
        <v>1018</v>
      </c>
      <c r="D29" s="175" t="s">
        <v>289</v>
      </c>
      <c r="E29" t="s">
        <v>810</v>
      </c>
      <c r="F29" t="s">
        <v>979</v>
      </c>
      <c r="G29" s="175" t="s">
        <v>1082</v>
      </c>
    </row>
    <row r="30" spans="1:7" x14ac:dyDescent="0.3">
      <c r="A30" s="175" t="s">
        <v>402</v>
      </c>
      <c r="B30" s="175" t="s">
        <v>1018</v>
      </c>
      <c r="D30" s="175" t="s">
        <v>337</v>
      </c>
      <c r="E30" t="s">
        <v>827</v>
      </c>
      <c r="F30" t="s">
        <v>979</v>
      </c>
      <c r="G30" t="s">
        <v>1075</v>
      </c>
    </row>
    <row r="31" spans="1:7" x14ac:dyDescent="0.3">
      <c r="A31" s="175" t="s">
        <v>402</v>
      </c>
      <c r="B31" s="175" t="s">
        <v>1018</v>
      </c>
      <c r="D31" s="175" t="s">
        <v>320</v>
      </c>
      <c r="E31" t="s">
        <v>828</v>
      </c>
      <c r="F31" t="s">
        <v>979</v>
      </c>
      <c r="G31" s="175" t="s">
        <v>1051</v>
      </c>
    </row>
    <row r="32" spans="1:7" x14ac:dyDescent="0.3">
      <c r="A32" s="175" t="s">
        <v>402</v>
      </c>
      <c r="B32" s="175" t="s">
        <v>1018</v>
      </c>
      <c r="D32" s="175" t="s">
        <v>320</v>
      </c>
      <c r="E32" t="s">
        <v>829</v>
      </c>
      <c r="F32" t="s">
        <v>979</v>
      </c>
      <c r="G32" s="175" t="s">
        <v>1051</v>
      </c>
    </row>
    <row r="33" spans="1:14" x14ac:dyDescent="0.3">
      <c r="A33" s="175" t="s">
        <v>402</v>
      </c>
      <c r="B33" s="175" t="s">
        <v>1018</v>
      </c>
      <c r="D33" s="175" t="s">
        <v>322</v>
      </c>
      <c r="E33" t="s">
        <v>825</v>
      </c>
      <c r="F33" t="s">
        <v>979</v>
      </c>
      <c r="G33" s="175" t="s">
        <v>1076</v>
      </c>
    </row>
    <row r="34" spans="1:14" x14ac:dyDescent="0.3">
      <c r="A34" s="175" t="s">
        <v>402</v>
      </c>
      <c r="B34" s="175" t="s">
        <v>1018</v>
      </c>
      <c r="D34" s="175" t="s">
        <v>322</v>
      </c>
      <c r="E34" t="s">
        <v>826</v>
      </c>
      <c r="F34" t="s">
        <v>979</v>
      </c>
      <c r="G34" s="175" t="s">
        <v>1077</v>
      </c>
    </row>
    <row r="40" spans="1:14" x14ac:dyDescent="0.3">
      <c r="A40" t="s">
        <v>402</v>
      </c>
      <c r="B40" t="s">
        <v>1018</v>
      </c>
      <c r="D40" t="s">
        <v>616</v>
      </c>
      <c r="E40" t="s">
        <v>1019</v>
      </c>
      <c r="F40" t="s">
        <v>979</v>
      </c>
      <c r="G40" t="s">
        <v>989</v>
      </c>
      <c r="K40">
        <v>0.35</v>
      </c>
      <c r="N40">
        <v>0.4</v>
      </c>
    </row>
    <row r="41" spans="1:14" x14ac:dyDescent="0.3">
      <c r="A41" t="s">
        <v>402</v>
      </c>
      <c r="B41" t="s">
        <v>1018</v>
      </c>
      <c r="D41" t="s">
        <v>1020</v>
      </c>
      <c r="E41" t="s">
        <v>988</v>
      </c>
      <c r="F41" t="s">
        <v>979</v>
      </c>
      <c r="G41" t="s">
        <v>1021</v>
      </c>
      <c r="K41">
        <v>0.7</v>
      </c>
    </row>
    <row r="42" spans="1:14" x14ac:dyDescent="0.3">
      <c r="A42" t="s">
        <v>402</v>
      </c>
      <c r="B42" t="s">
        <v>1018</v>
      </c>
      <c r="D42" t="s">
        <v>1020</v>
      </c>
      <c r="E42" t="s">
        <v>1093</v>
      </c>
      <c r="F42" t="s">
        <v>979</v>
      </c>
      <c r="G42" t="s">
        <v>1022</v>
      </c>
      <c r="K42">
        <v>0.5</v>
      </c>
    </row>
    <row r="43" spans="1:14" x14ac:dyDescent="0.3">
      <c r="A43" t="s">
        <v>402</v>
      </c>
      <c r="B43" t="s">
        <v>1018</v>
      </c>
      <c r="D43" t="s">
        <v>333</v>
      </c>
      <c r="E43" t="s">
        <v>401</v>
      </c>
      <c r="F43" t="s">
        <v>979</v>
      </c>
      <c r="G43" t="s">
        <v>1023</v>
      </c>
      <c r="K43">
        <v>6.4000000000000001E-2</v>
      </c>
    </row>
    <row r="44" spans="1:14" x14ac:dyDescent="0.3">
      <c r="A44" t="s">
        <v>402</v>
      </c>
      <c r="B44" t="s">
        <v>1018</v>
      </c>
      <c r="D44" t="s">
        <v>302</v>
      </c>
      <c r="E44" t="s">
        <v>1024</v>
      </c>
      <c r="F44" t="s">
        <v>979</v>
      </c>
      <c r="G44" t="s">
        <v>1025</v>
      </c>
      <c r="K44">
        <v>4.9000000000000002E-2</v>
      </c>
    </row>
    <row r="45" spans="1:14" x14ac:dyDescent="0.3">
      <c r="A45" t="s">
        <v>402</v>
      </c>
      <c r="B45" t="s">
        <v>1018</v>
      </c>
      <c r="D45" t="s">
        <v>289</v>
      </c>
      <c r="E45" t="s">
        <v>401</v>
      </c>
      <c r="F45" t="s">
        <v>979</v>
      </c>
      <c r="G45" t="s">
        <v>1026</v>
      </c>
      <c r="K45">
        <v>0.08</v>
      </c>
    </row>
    <row r="46" spans="1:14" x14ac:dyDescent="0.3">
      <c r="A46" t="s">
        <v>402</v>
      </c>
      <c r="B46" t="s">
        <v>1018</v>
      </c>
      <c r="D46" t="s">
        <v>289</v>
      </c>
      <c r="E46" t="s">
        <v>658</v>
      </c>
      <c r="F46" t="s">
        <v>979</v>
      </c>
      <c r="G46" t="s">
        <v>1027</v>
      </c>
      <c r="K46">
        <v>5.0999999999999997E-2</v>
      </c>
    </row>
    <row r="47" spans="1:14" x14ac:dyDescent="0.3">
      <c r="A47" t="s">
        <v>402</v>
      </c>
      <c r="B47" t="s">
        <v>1018</v>
      </c>
      <c r="D47" t="s">
        <v>616</v>
      </c>
      <c r="E47" t="s">
        <v>987</v>
      </c>
      <c r="F47" t="s">
        <v>979</v>
      </c>
      <c r="G47" t="s">
        <v>1028</v>
      </c>
      <c r="K47">
        <v>0.55000000000000004</v>
      </c>
      <c r="N47">
        <v>0.4</v>
      </c>
    </row>
    <row r="48" spans="1:14" x14ac:dyDescent="0.3">
      <c r="A48" t="s">
        <v>402</v>
      </c>
      <c r="B48" t="s">
        <v>1018</v>
      </c>
      <c r="D48" t="s">
        <v>337</v>
      </c>
      <c r="E48" t="s">
        <v>338</v>
      </c>
      <c r="F48" t="s">
        <v>979</v>
      </c>
      <c r="G48" t="s">
        <v>1029</v>
      </c>
      <c r="L48">
        <v>0.54</v>
      </c>
    </row>
    <row r="49" spans="1:14" x14ac:dyDescent="0.3">
      <c r="A49" t="s">
        <v>402</v>
      </c>
      <c r="B49" t="s">
        <v>1018</v>
      </c>
      <c r="D49" t="s">
        <v>322</v>
      </c>
      <c r="E49" t="s">
        <v>401</v>
      </c>
      <c r="F49" t="s">
        <v>979</v>
      </c>
      <c r="G49" t="s">
        <v>1029</v>
      </c>
      <c r="M49">
        <v>0.11899999999999999</v>
      </c>
    </row>
    <row r="50" spans="1:14" x14ac:dyDescent="0.3">
      <c r="A50" t="s">
        <v>402</v>
      </c>
      <c r="B50" t="s">
        <v>1018</v>
      </c>
      <c r="D50" t="s">
        <v>685</v>
      </c>
      <c r="E50" t="s">
        <v>991</v>
      </c>
      <c r="F50" t="s">
        <v>979</v>
      </c>
      <c r="G50" t="s">
        <v>1030</v>
      </c>
      <c r="I50">
        <v>0</v>
      </c>
      <c r="J50">
        <v>2</v>
      </c>
      <c r="K50">
        <v>0.5</v>
      </c>
      <c r="N50">
        <v>0.19</v>
      </c>
    </row>
    <row r="51" spans="1:14" x14ac:dyDescent="0.3">
      <c r="A51" t="s">
        <v>402</v>
      </c>
      <c r="B51" t="s">
        <v>1018</v>
      </c>
      <c r="D51" t="s">
        <v>320</v>
      </c>
      <c r="E51" t="s">
        <v>401</v>
      </c>
      <c r="F51" t="s">
        <v>979</v>
      </c>
      <c r="G51" t="s">
        <v>1029</v>
      </c>
      <c r="M51">
        <v>0.11899999999999999</v>
      </c>
    </row>
    <row r="52" spans="1:14" x14ac:dyDescent="0.3">
      <c r="A52" t="s">
        <v>402</v>
      </c>
      <c r="B52" t="s">
        <v>1018</v>
      </c>
      <c r="D52" t="s">
        <v>605</v>
      </c>
      <c r="E52" t="s">
        <v>1019</v>
      </c>
      <c r="F52" t="s">
        <v>979</v>
      </c>
      <c r="G52" t="s">
        <v>989</v>
      </c>
      <c r="K52">
        <v>0.35</v>
      </c>
      <c r="N52">
        <v>0.4</v>
      </c>
    </row>
    <row r="53" spans="1:14" x14ac:dyDescent="0.3">
      <c r="A53" t="s">
        <v>402</v>
      </c>
      <c r="B53" t="s">
        <v>1018</v>
      </c>
      <c r="D53" t="s">
        <v>1031</v>
      </c>
      <c r="E53" t="s">
        <v>991</v>
      </c>
      <c r="F53" t="s">
        <v>979</v>
      </c>
      <c r="G53" t="s">
        <v>1030</v>
      </c>
      <c r="I53">
        <v>0</v>
      </c>
      <c r="J53">
        <v>2</v>
      </c>
      <c r="K53">
        <v>0.5</v>
      </c>
      <c r="N53">
        <v>0.19</v>
      </c>
    </row>
    <row r="54" spans="1:14" x14ac:dyDescent="0.3">
      <c r="A54" t="s">
        <v>402</v>
      </c>
      <c r="B54" t="s">
        <v>1018</v>
      </c>
      <c r="D54" t="s">
        <v>1032</v>
      </c>
      <c r="E54" t="s">
        <v>991</v>
      </c>
      <c r="F54" t="s">
        <v>979</v>
      </c>
      <c r="G54" t="s">
        <v>1030</v>
      </c>
      <c r="I54">
        <v>0</v>
      </c>
      <c r="J54">
        <v>2</v>
      </c>
      <c r="K54">
        <v>0.5</v>
      </c>
      <c r="N54">
        <v>0.19</v>
      </c>
    </row>
    <row r="60" spans="1:14" x14ac:dyDescent="0.3">
      <c r="F60" t="s">
        <v>979</v>
      </c>
      <c r="G60" s="175" t="s">
        <v>1033</v>
      </c>
    </row>
    <row r="61" spans="1:14" x14ac:dyDescent="0.3">
      <c r="F61" t="s">
        <v>979</v>
      </c>
      <c r="G61" t="s">
        <v>1034</v>
      </c>
    </row>
    <row r="63" spans="1:14" x14ac:dyDescent="0.3">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4.4" x14ac:dyDescent="0.3"/>
  <cols>
    <col min="1" max="1" width="18.109375" customWidth="1"/>
  </cols>
  <sheetData>
    <row r="1" spans="1:28" ht="18" x14ac:dyDescent="0.35">
      <c r="A1" s="25" t="s">
        <v>352</v>
      </c>
    </row>
    <row r="2" spans="1:28" x14ac:dyDescent="0.3">
      <c r="A2" t="s">
        <v>353</v>
      </c>
      <c r="B2" t="s">
        <v>354</v>
      </c>
      <c r="E2" t="s">
        <v>355</v>
      </c>
      <c r="H2" t="s">
        <v>356</v>
      </c>
      <c r="K2" t="s">
        <v>357</v>
      </c>
      <c r="N2" t="s">
        <v>358</v>
      </c>
      <c r="Q2" t="s">
        <v>359</v>
      </c>
      <c r="T2" t="s">
        <v>360</v>
      </c>
      <c r="W2" t="s">
        <v>361</v>
      </c>
      <c r="Z2" t="s">
        <v>362</v>
      </c>
    </row>
    <row r="3" spans="1:28" x14ac:dyDescent="0.3">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3">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3">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3">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3">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3">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3">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3">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3">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3">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4.4" x14ac:dyDescent="0.3"/>
  <cols>
    <col min="1" max="2" width="15.6640625" customWidth="1"/>
    <col min="3" max="3" width="6.6640625" customWidth="1"/>
    <col min="4" max="4" width="36.6640625" style="31" customWidth="1"/>
    <col min="5" max="5" width="6.6640625" customWidth="1"/>
    <col min="6" max="10" width="8.6640625" customWidth="1"/>
    <col min="11" max="11" width="8.6640625" style="24" customWidth="1"/>
    <col min="12" max="13" width="15.6640625" customWidth="1"/>
    <col min="14" max="14" width="6.6640625" customWidth="1"/>
    <col min="15" max="15" width="36.6640625" style="31" customWidth="1"/>
    <col min="16" max="16" width="6.6640625" customWidth="1"/>
    <col min="17" max="21" width="8.6640625" customWidth="1"/>
    <col min="22" max="22" width="8.6640625" style="24" customWidth="1"/>
    <col min="23" max="24" width="15.6640625" customWidth="1"/>
    <col min="25" max="25" width="6.6640625" customWidth="1"/>
    <col min="26" max="26" width="36.6640625" style="31" customWidth="1"/>
    <col min="27" max="27" width="6.6640625" customWidth="1"/>
    <col min="28" max="32" width="8.6640625" customWidth="1"/>
    <col min="33" max="33" width="8.6640625" style="24" customWidth="1"/>
    <col min="34" max="35" width="15.6640625" style="27" customWidth="1"/>
    <col min="36" max="36" width="6.6640625" customWidth="1"/>
    <col min="37" max="37" width="36.6640625" style="28" customWidth="1"/>
    <col min="38" max="38" width="6.6640625" style="27" customWidth="1"/>
    <col min="39" max="40" width="8.6640625" style="27" customWidth="1"/>
    <col min="41" max="43" width="8.6640625" customWidth="1"/>
    <col min="44" max="44" width="8.6640625" style="24" customWidth="1"/>
    <col min="45" max="46" width="15.6640625" style="19" customWidth="1"/>
    <col min="47" max="47" width="6.6640625" customWidth="1"/>
    <col min="48" max="48" width="36.6640625" style="36" customWidth="1"/>
    <col min="49" max="49" width="6.6640625" style="19" customWidth="1"/>
    <col min="50" max="55" width="8.6640625" style="19" customWidth="1"/>
    <col min="56" max="57" width="15.6640625" style="19" customWidth="1"/>
    <col min="58" max="58" width="6.6640625" customWidth="1"/>
    <col min="59" max="59" width="36.6640625" style="36" customWidth="1"/>
    <col min="60" max="60" width="6.6640625" style="19" customWidth="1"/>
    <col min="61" max="66" width="8.6640625" style="19" customWidth="1"/>
  </cols>
  <sheetData>
    <row r="1" spans="1:66" ht="21" hidden="1" customHeight="1" x14ac:dyDescent="0.4">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 x14ac:dyDescent="0.3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3" t="s">
        <v>73</v>
      </c>
      <c r="B4" s="10">
        <v>75113200200</v>
      </c>
      <c r="C4" s="4">
        <v>1</v>
      </c>
      <c r="D4" s="31" t="s">
        <v>243</v>
      </c>
      <c r="E4" t="s">
        <v>9</v>
      </c>
      <c r="F4">
        <v>0.995</v>
      </c>
      <c r="G4">
        <v>1.03</v>
      </c>
      <c r="H4">
        <v>1</v>
      </c>
      <c r="I4">
        <v>1</v>
      </c>
      <c r="J4">
        <v>0.378</v>
      </c>
      <c r="K4" s="24">
        <f>(F4*H4+G4*I4)*(1+J4)</f>
        <v>2.7904500000000003</v>
      </c>
      <c r="L4" s="243" t="s">
        <v>73</v>
      </c>
      <c r="M4" s="65">
        <v>75113200200</v>
      </c>
      <c r="N4" s="78">
        <v>1</v>
      </c>
      <c r="O4" s="31" t="s">
        <v>243</v>
      </c>
      <c r="P4" t="s">
        <v>9</v>
      </c>
      <c r="Q4">
        <v>0.995</v>
      </c>
      <c r="R4">
        <v>1.03</v>
      </c>
      <c r="S4">
        <v>1</v>
      </c>
      <c r="T4">
        <v>1</v>
      </c>
      <c r="U4">
        <v>0.378</v>
      </c>
      <c r="V4" s="24">
        <f>(Q4*S4+R4*T4)*(1+U4)</f>
        <v>2.7904500000000003</v>
      </c>
      <c r="W4" s="243" t="s">
        <v>73</v>
      </c>
      <c r="X4" s="65">
        <v>75113200200</v>
      </c>
      <c r="Y4" s="78">
        <v>1</v>
      </c>
      <c r="Z4" s="31" t="s">
        <v>243</v>
      </c>
      <c r="AA4" t="s">
        <v>9</v>
      </c>
      <c r="AB4">
        <v>0.995</v>
      </c>
      <c r="AC4">
        <v>1.03</v>
      </c>
      <c r="AD4">
        <v>1</v>
      </c>
      <c r="AE4">
        <v>1</v>
      </c>
      <c r="AF4">
        <v>0.378</v>
      </c>
      <c r="AG4" s="24">
        <f>(AB4*AD4+AC4*AE4)*(1+AF4)</f>
        <v>2.7904500000000003</v>
      </c>
      <c r="AH4" s="245" t="s">
        <v>73</v>
      </c>
      <c r="AI4" s="65">
        <v>75113200200</v>
      </c>
      <c r="AJ4" s="78">
        <v>1</v>
      </c>
      <c r="AK4" s="31" t="s">
        <v>243</v>
      </c>
      <c r="AL4" t="s">
        <v>9</v>
      </c>
      <c r="AM4">
        <v>0.995</v>
      </c>
      <c r="AN4">
        <v>1.03</v>
      </c>
      <c r="AO4">
        <v>1</v>
      </c>
      <c r="AP4">
        <v>1</v>
      </c>
      <c r="AQ4">
        <v>0.378</v>
      </c>
      <c r="AR4" s="24">
        <f>(AM4*AO4+AN4*AP4)*(1+AQ4)</f>
        <v>2.7904500000000003</v>
      </c>
      <c r="AS4" s="245" t="s">
        <v>73</v>
      </c>
      <c r="AT4" s="65">
        <v>75113200200</v>
      </c>
      <c r="AU4" s="78">
        <v>1</v>
      </c>
      <c r="AV4" s="31" t="s">
        <v>243</v>
      </c>
      <c r="AW4" t="s">
        <v>9</v>
      </c>
      <c r="AX4">
        <v>0.995</v>
      </c>
      <c r="AY4">
        <v>1.03</v>
      </c>
      <c r="AZ4">
        <v>1</v>
      </c>
      <c r="BA4">
        <v>1</v>
      </c>
      <c r="BB4">
        <v>0.378</v>
      </c>
      <c r="BC4" s="24">
        <f>(AX4*AZ4+AY4*BA4)*(1+BB4)</f>
        <v>2.7904500000000003</v>
      </c>
      <c r="BD4" s="245" t="s">
        <v>73</v>
      </c>
      <c r="BE4" s="65">
        <v>75113200200</v>
      </c>
      <c r="BF4" s="78">
        <v>1</v>
      </c>
      <c r="BG4" s="31" t="s">
        <v>243</v>
      </c>
      <c r="BH4" t="s">
        <v>9</v>
      </c>
      <c r="BI4">
        <v>0.995</v>
      </c>
      <c r="BJ4">
        <v>1.03</v>
      </c>
      <c r="BK4">
        <v>1</v>
      </c>
      <c r="BL4">
        <v>1</v>
      </c>
      <c r="BM4">
        <v>0.378</v>
      </c>
      <c r="BN4" s="24">
        <f>(BI4*BK4+BJ4*BL4)*(1+BM4)</f>
        <v>2.7904500000000003</v>
      </c>
    </row>
    <row r="5" spans="1:66" x14ac:dyDescent="0.3">
      <c r="A5" s="244"/>
      <c r="B5" s="11">
        <v>61626100105</v>
      </c>
      <c r="C5" s="5"/>
      <c r="D5" s="31" t="s">
        <v>74</v>
      </c>
      <c r="E5" t="s">
        <v>9</v>
      </c>
      <c r="F5">
        <v>1.17</v>
      </c>
      <c r="G5">
        <v>0.34</v>
      </c>
      <c r="H5">
        <v>1</v>
      </c>
      <c r="I5">
        <v>1</v>
      </c>
      <c r="J5">
        <v>0.22500000000000001</v>
      </c>
      <c r="K5" s="24">
        <f>(F5*H5+G5*I5)*(1+J5)</f>
        <v>1.8497500000000002</v>
      </c>
      <c r="L5" s="244"/>
      <c r="M5" s="66">
        <v>61626100105</v>
      </c>
      <c r="N5" s="79"/>
      <c r="O5" s="31" t="s">
        <v>74</v>
      </c>
      <c r="P5" t="s">
        <v>9</v>
      </c>
      <c r="Q5">
        <v>1.17</v>
      </c>
      <c r="R5">
        <v>0.34</v>
      </c>
      <c r="S5">
        <v>1</v>
      </c>
      <c r="T5">
        <v>1</v>
      </c>
      <c r="U5">
        <v>0.22500000000000001</v>
      </c>
      <c r="V5" s="24">
        <f>(Q5*S5+R5*T5)*(1+U5)</f>
        <v>1.8497500000000002</v>
      </c>
      <c r="W5" s="244"/>
      <c r="X5" s="66">
        <v>61626100105</v>
      </c>
      <c r="Y5" s="79"/>
      <c r="Z5" s="31" t="s">
        <v>74</v>
      </c>
      <c r="AA5" t="s">
        <v>9</v>
      </c>
      <c r="AB5">
        <v>1.17</v>
      </c>
      <c r="AC5">
        <v>0.34</v>
      </c>
      <c r="AD5">
        <v>1</v>
      </c>
      <c r="AE5">
        <v>1</v>
      </c>
      <c r="AF5">
        <v>0.22500000000000001</v>
      </c>
      <c r="AG5" s="24">
        <f>(AB5*AD5+AC5*AE5)*(1+AF5)</f>
        <v>1.8497500000000002</v>
      </c>
      <c r="AH5" s="245"/>
      <c r="AI5" s="66">
        <v>61626100105</v>
      </c>
      <c r="AJ5" s="79"/>
      <c r="AK5" s="31" t="s">
        <v>74</v>
      </c>
      <c r="AL5" t="s">
        <v>9</v>
      </c>
      <c r="AM5">
        <v>1.17</v>
      </c>
      <c r="AN5">
        <v>0.34</v>
      </c>
      <c r="AO5">
        <v>1</v>
      </c>
      <c r="AP5">
        <v>1</v>
      </c>
      <c r="AQ5">
        <v>0.22500000000000001</v>
      </c>
      <c r="AR5" s="24">
        <f>(AM5*AO5+AN5*AP5)*(1+AQ5)</f>
        <v>1.8497500000000002</v>
      </c>
      <c r="AS5" s="246"/>
      <c r="AT5" s="66">
        <v>61626100105</v>
      </c>
      <c r="AU5" s="79"/>
      <c r="AV5" s="31" t="s">
        <v>74</v>
      </c>
      <c r="AW5" t="s">
        <v>9</v>
      </c>
      <c r="AX5">
        <v>1.17</v>
      </c>
      <c r="AY5">
        <v>0.34</v>
      </c>
      <c r="AZ5">
        <v>1</v>
      </c>
      <c r="BA5">
        <v>1</v>
      </c>
      <c r="BB5">
        <v>0.22500000000000001</v>
      </c>
      <c r="BC5" s="24">
        <f>(AX5*AZ5+AY5*BA5)*(1+BB5)</f>
        <v>1.8497500000000002</v>
      </c>
      <c r="BD5" s="246"/>
      <c r="BE5" s="66">
        <v>61626100105</v>
      </c>
      <c r="BF5" s="79"/>
      <c r="BG5" s="31" t="s">
        <v>74</v>
      </c>
      <c r="BH5" t="s">
        <v>9</v>
      </c>
      <c r="BI5">
        <v>1.17</v>
      </c>
      <c r="BJ5">
        <v>0.34</v>
      </c>
      <c r="BK5">
        <v>1</v>
      </c>
      <c r="BL5">
        <v>1</v>
      </c>
      <c r="BM5">
        <v>0.22500000000000001</v>
      </c>
      <c r="BN5" s="24">
        <f>(BI5*BK5+BJ5*BL5)*(1+BM5)</f>
        <v>1.8497500000000002</v>
      </c>
    </row>
    <row r="6" spans="1:66" ht="28.8" x14ac:dyDescent="0.3">
      <c r="A6" s="244"/>
      <c r="B6" s="11">
        <v>72216101946</v>
      </c>
      <c r="C6" s="5"/>
      <c r="D6" s="31" t="s">
        <v>216</v>
      </c>
      <c r="E6" t="s">
        <v>9</v>
      </c>
      <c r="F6">
        <v>2.76</v>
      </c>
      <c r="G6">
        <v>0.2</v>
      </c>
      <c r="H6">
        <v>1.25</v>
      </c>
      <c r="I6">
        <v>1.2</v>
      </c>
      <c r="J6">
        <v>0.14899999999999999</v>
      </c>
      <c r="K6" s="24">
        <f>(F6*H6+G6*I6)*(1+J6)</f>
        <v>4.2398099999999994</v>
      </c>
      <c r="L6" s="244"/>
      <c r="M6" s="66">
        <v>72216101946</v>
      </c>
      <c r="N6" s="79"/>
      <c r="O6" s="31" t="s">
        <v>216</v>
      </c>
      <c r="P6" t="s">
        <v>9</v>
      </c>
      <c r="Q6">
        <v>2.76</v>
      </c>
      <c r="R6">
        <v>0.2</v>
      </c>
      <c r="S6">
        <v>1</v>
      </c>
      <c r="T6">
        <v>1</v>
      </c>
      <c r="U6">
        <v>0.14899999999999999</v>
      </c>
      <c r="V6" s="24">
        <f>(Q6*S6+R6*T6)*(1+U6)</f>
        <v>3.4010400000000001</v>
      </c>
      <c r="W6" s="244"/>
      <c r="X6" s="66">
        <v>72216101946</v>
      </c>
      <c r="Y6" s="79"/>
      <c r="Z6" s="31" t="s">
        <v>216</v>
      </c>
      <c r="AA6" t="s">
        <v>9</v>
      </c>
      <c r="AB6">
        <v>2.76</v>
      </c>
      <c r="AC6">
        <v>0.2</v>
      </c>
      <c r="AD6">
        <v>1</v>
      </c>
      <c r="AE6">
        <v>1</v>
      </c>
      <c r="AF6">
        <v>0.14899999999999999</v>
      </c>
      <c r="AG6" s="24">
        <f>(AB6*AD6+AC6*AE6)*(1+AF6)</f>
        <v>3.4010400000000001</v>
      </c>
      <c r="AH6" s="245"/>
      <c r="AI6" s="54">
        <v>72216101946</v>
      </c>
      <c r="AJ6" s="79"/>
      <c r="AK6" s="31" t="s">
        <v>216</v>
      </c>
      <c r="AL6" t="s">
        <v>9</v>
      </c>
      <c r="AM6">
        <v>2.76</v>
      </c>
      <c r="AN6">
        <v>0.2</v>
      </c>
      <c r="AO6">
        <v>1.77</v>
      </c>
      <c r="AP6">
        <v>1.53</v>
      </c>
      <c r="AQ6">
        <v>0.14899999999999999</v>
      </c>
      <c r="AR6" s="24">
        <f>(AM6*AO6+AN6*AP6)*(1+AQ6)</f>
        <v>5.9646887999999993</v>
      </c>
      <c r="AS6" s="246"/>
      <c r="AT6" s="64">
        <v>72216101946</v>
      </c>
      <c r="AU6" s="79"/>
      <c r="AV6" s="31" t="s">
        <v>216</v>
      </c>
      <c r="AW6" t="s">
        <v>9</v>
      </c>
      <c r="AX6">
        <v>2.76</v>
      </c>
      <c r="AY6">
        <v>0.2</v>
      </c>
      <c r="AZ6">
        <v>1.77</v>
      </c>
      <c r="BA6">
        <v>1.53</v>
      </c>
      <c r="BB6">
        <v>0.14899999999999999</v>
      </c>
      <c r="BC6" s="24">
        <f>(AX6*AZ6+AY6*BA6)*(1+BB6)</f>
        <v>5.9646887999999993</v>
      </c>
      <c r="BD6" s="246"/>
      <c r="BE6" s="64">
        <v>72216101946</v>
      </c>
      <c r="BF6" s="79"/>
      <c r="BG6" s="31" t="s">
        <v>216</v>
      </c>
      <c r="BH6" t="s">
        <v>9</v>
      </c>
      <c r="BI6">
        <v>2.76</v>
      </c>
      <c r="BJ6">
        <v>0.2</v>
      </c>
      <c r="BK6">
        <v>2</v>
      </c>
      <c r="BL6">
        <v>1.53</v>
      </c>
      <c r="BM6">
        <v>0.14899999999999999</v>
      </c>
      <c r="BN6" s="24">
        <f>(BI6*BK6+BJ6*BL6)*(1+BM6)</f>
        <v>6.6940739999999996</v>
      </c>
    </row>
    <row r="7" spans="1:66" ht="28.8" x14ac:dyDescent="0.3">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x14ac:dyDescent="0.3">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x14ac:dyDescent="0.3">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x14ac:dyDescent="0.3">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3">
      <c r="A11" s="243" t="s">
        <v>73</v>
      </c>
      <c r="B11" s="65">
        <v>75113200200</v>
      </c>
      <c r="C11" s="65">
        <v>2</v>
      </c>
      <c r="D11" s="31" t="s">
        <v>243</v>
      </c>
      <c r="E11" t="s">
        <v>9</v>
      </c>
      <c r="F11">
        <v>0.995</v>
      </c>
      <c r="G11">
        <v>1.03</v>
      </c>
      <c r="H11">
        <v>1</v>
      </c>
      <c r="I11">
        <v>1</v>
      </c>
      <c r="J11">
        <v>0.378</v>
      </c>
      <c r="K11" s="24">
        <f>(F11*H11+G11*I11)*(1+J11)</f>
        <v>2.7904500000000003</v>
      </c>
      <c r="L11" s="243" t="s">
        <v>73</v>
      </c>
      <c r="M11" s="65">
        <v>75113200200</v>
      </c>
      <c r="N11" s="78">
        <v>2</v>
      </c>
      <c r="O11" s="31" t="s">
        <v>243</v>
      </c>
      <c r="P11" t="s">
        <v>9</v>
      </c>
      <c r="Q11">
        <v>0.995</v>
      </c>
      <c r="R11">
        <v>1.03</v>
      </c>
      <c r="S11">
        <v>1</v>
      </c>
      <c r="T11">
        <v>1</v>
      </c>
      <c r="U11">
        <v>0.378</v>
      </c>
      <c r="V11" s="24">
        <f>(Q11*S11+R11*T11)*(1+U11)</f>
        <v>2.7904500000000003</v>
      </c>
      <c r="W11" s="243" t="s">
        <v>73</v>
      </c>
      <c r="X11" s="65">
        <v>75113200200</v>
      </c>
      <c r="Y11" s="78">
        <v>2</v>
      </c>
      <c r="Z11" s="31" t="s">
        <v>243</v>
      </c>
      <c r="AA11" t="s">
        <v>9</v>
      </c>
      <c r="AB11">
        <v>0.995</v>
      </c>
      <c r="AC11">
        <v>1.03</v>
      </c>
      <c r="AD11">
        <v>1</v>
      </c>
      <c r="AE11">
        <v>1</v>
      </c>
      <c r="AF11">
        <v>0.378</v>
      </c>
      <c r="AG11" s="24">
        <f>(AB11*AD11+AC11*AE11)*(1+AF11)</f>
        <v>2.7904500000000003</v>
      </c>
      <c r="AH11" s="245" t="s">
        <v>73</v>
      </c>
      <c r="AI11" s="65">
        <v>75113200200</v>
      </c>
      <c r="AJ11" s="78">
        <v>2</v>
      </c>
      <c r="AK11" s="31" t="s">
        <v>243</v>
      </c>
      <c r="AL11" t="s">
        <v>9</v>
      </c>
      <c r="AM11">
        <v>0.995</v>
      </c>
      <c r="AN11">
        <v>1.03</v>
      </c>
      <c r="AO11">
        <v>1</v>
      </c>
      <c r="AP11">
        <v>1</v>
      </c>
      <c r="AQ11">
        <v>0.378</v>
      </c>
      <c r="AR11" s="24">
        <f>(AM11*AO11+AN11*AP11)*(1+AQ11)</f>
        <v>2.7904500000000003</v>
      </c>
      <c r="AS11" s="245" t="s">
        <v>73</v>
      </c>
      <c r="AT11" s="65">
        <v>75113200200</v>
      </c>
      <c r="AU11" s="78">
        <v>2</v>
      </c>
      <c r="AV11" s="31" t="s">
        <v>243</v>
      </c>
      <c r="AW11" t="s">
        <v>9</v>
      </c>
      <c r="AX11">
        <v>0.995</v>
      </c>
      <c r="AY11">
        <v>1.03</v>
      </c>
      <c r="AZ11">
        <v>1</v>
      </c>
      <c r="BA11">
        <v>1</v>
      </c>
      <c r="BB11">
        <v>0.378</v>
      </c>
      <c r="BC11" s="24">
        <f>(AX11*AZ11+AY11*BA11)*(1+BB11)</f>
        <v>2.7904500000000003</v>
      </c>
      <c r="BD11" s="245" t="s">
        <v>73</v>
      </c>
      <c r="BE11" s="65">
        <v>75113200200</v>
      </c>
      <c r="BF11" s="78">
        <v>2</v>
      </c>
      <c r="BG11" s="31" t="s">
        <v>243</v>
      </c>
      <c r="BH11" t="s">
        <v>9</v>
      </c>
      <c r="BI11">
        <v>0.995</v>
      </c>
      <c r="BJ11">
        <v>1.03</v>
      </c>
      <c r="BK11">
        <v>1</v>
      </c>
      <c r="BL11">
        <v>1</v>
      </c>
      <c r="BM11">
        <v>0.378</v>
      </c>
      <c r="BN11" s="24">
        <f>(BI11*BK11+BJ11*BL11)*(1+BM11)</f>
        <v>2.7904500000000003</v>
      </c>
    </row>
    <row r="12" spans="1:66" x14ac:dyDescent="0.3">
      <c r="A12" s="244"/>
      <c r="B12" s="11">
        <v>61626100105</v>
      </c>
      <c r="C12" s="7"/>
      <c r="D12" s="31" t="s">
        <v>74</v>
      </c>
      <c r="E12" t="s">
        <v>9</v>
      </c>
      <c r="F12">
        <v>1.17</v>
      </c>
      <c r="G12">
        <v>0.34</v>
      </c>
      <c r="H12">
        <v>1</v>
      </c>
      <c r="I12">
        <v>1</v>
      </c>
      <c r="J12">
        <v>0.22500000000000001</v>
      </c>
      <c r="K12" s="24">
        <f>(F12*H12+G12*I12)*(1+J12)</f>
        <v>1.8497500000000002</v>
      </c>
      <c r="L12" s="244"/>
      <c r="M12" s="66">
        <v>61626100105</v>
      </c>
      <c r="N12" s="79"/>
      <c r="O12" s="31" t="s">
        <v>74</v>
      </c>
      <c r="P12" t="s">
        <v>9</v>
      </c>
      <c r="Q12">
        <v>1.17</v>
      </c>
      <c r="R12">
        <v>0.34</v>
      </c>
      <c r="S12">
        <v>1</v>
      </c>
      <c r="T12">
        <v>1</v>
      </c>
      <c r="U12">
        <v>0.22500000000000001</v>
      </c>
      <c r="V12" s="24">
        <f>(Q12*S12+R12*T12)*(1+U12)</f>
        <v>1.8497500000000002</v>
      </c>
      <c r="W12" s="244"/>
      <c r="X12" s="66">
        <v>61626100105</v>
      </c>
      <c r="Y12" s="79"/>
      <c r="Z12" s="31" t="s">
        <v>74</v>
      </c>
      <c r="AA12" t="s">
        <v>9</v>
      </c>
      <c r="AB12">
        <v>1.17</v>
      </c>
      <c r="AC12">
        <v>0.34</v>
      </c>
      <c r="AD12">
        <v>1</v>
      </c>
      <c r="AE12">
        <v>1</v>
      </c>
      <c r="AF12">
        <v>0.22500000000000001</v>
      </c>
      <c r="AG12" s="24">
        <f>(AB12*AD12+AC12*AE12)*(1+AF12)</f>
        <v>1.8497500000000002</v>
      </c>
      <c r="AH12" s="245"/>
      <c r="AI12" s="66">
        <v>61626100105</v>
      </c>
      <c r="AJ12" s="79"/>
      <c r="AK12" s="31" t="s">
        <v>74</v>
      </c>
      <c r="AL12" t="s">
        <v>9</v>
      </c>
      <c r="AM12">
        <v>1.17</v>
      </c>
      <c r="AN12">
        <v>0.34</v>
      </c>
      <c r="AO12">
        <v>1</v>
      </c>
      <c r="AP12">
        <v>1</v>
      </c>
      <c r="AQ12">
        <v>0.22500000000000001</v>
      </c>
      <c r="AR12" s="24">
        <f>(AM12*AO12+AN12*AP12)*(1+AQ12)</f>
        <v>1.8497500000000002</v>
      </c>
      <c r="AS12" s="246"/>
      <c r="AT12" s="66">
        <v>61626100105</v>
      </c>
      <c r="AU12" s="79"/>
      <c r="AV12" s="31" t="s">
        <v>74</v>
      </c>
      <c r="AW12" t="s">
        <v>9</v>
      </c>
      <c r="AX12">
        <v>1.17</v>
      </c>
      <c r="AY12">
        <v>0.34</v>
      </c>
      <c r="AZ12">
        <v>1</v>
      </c>
      <c r="BA12">
        <v>1</v>
      </c>
      <c r="BB12">
        <v>0.22500000000000001</v>
      </c>
      <c r="BC12" s="24">
        <f>(AX12*AZ12+AY12*BA12)*(1+BB12)</f>
        <v>1.8497500000000002</v>
      </c>
      <c r="BD12" s="246"/>
      <c r="BE12" s="66">
        <v>61626100105</v>
      </c>
      <c r="BF12" s="79"/>
      <c r="BG12" s="31" t="s">
        <v>74</v>
      </c>
      <c r="BH12" t="s">
        <v>9</v>
      </c>
      <c r="BI12">
        <v>1.17</v>
      </c>
      <c r="BJ12">
        <v>0.34</v>
      </c>
      <c r="BK12">
        <v>1</v>
      </c>
      <c r="BL12">
        <v>1</v>
      </c>
      <c r="BM12">
        <v>0.22500000000000001</v>
      </c>
      <c r="BN12" s="24">
        <f>(BI12*BK12+BJ12*BL12)*(1+BM12)</f>
        <v>1.8497500000000002</v>
      </c>
    </row>
    <row r="13" spans="1:66" ht="28.8" x14ac:dyDescent="0.3">
      <c r="A13" s="244"/>
      <c r="B13" s="11">
        <v>72216101946</v>
      </c>
      <c r="C13" s="7"/>
      <c r="D13" s="31" t="s">
        <v>216</v>
      </c>
      <c r="E13" t="s">
        <v>9</v>
      </c>
      <c r="F13">
        <v>2.76</v>
      </c>
      <c r="G13">
        <v>0.2</v>
      </c>
      <c r="H13">
        <v>1</v>
      </c>
      <c r="I13">
        <v>1</v>
      </c>
      <c r="J13">
        <v>0.14899999999999999</v>
      </c>
      <c r="K13" s="24">
        <f>(F13*H13+G13*I13)*(1+J13)</f>
        <v>3.4010400000000001</v>
      </c>
      <c r="L13" s="244"/>
      <c r="M13" s="66">
        <v>72216101946</v>
      </c>
      <c r="N13" s="79"/>
      <c r="O13" s="31" t="s">
        <v>216</v>
      </c>
      <c r="P13" t="s">
        <v>9</v>
      </c>
      <c r="Q13">
        <v>2.76</v>
      </c>
      <c r="R13">
        <v>0.2</v>
      </c>
      <c r="S13">
        <v>1</v>
      </c>
      <c r="T13">
        <v>1</v>
      </c>
      <c r="U13">
        <v>0.14899999999999999</v>
      </c>
      <c r="V13" s="24">
        <f>(Q13*S13+R13*T13)*(1+U13)</f>
        <v>3.4010400000000001</v>
      </c>
      <c r="W13" s="244"/>
      <c r="X13" s="66">
        <v>72216101946</v>
      </c>
      <c r="Y13" s="79"/>
      <c r="Z13" s="31" t="s">
        <v>216</v>
      </c>
      <c r="AA13" t="s">
        <v>9</v>
      </c>
      <c r="AB13">
        <v>2.76</v>
      </c>
      <c r="AC13">
        <v>0.2</v>
      </c>
      <c r="AD13">
        <v>1</v>
      </c>
      <c r="AE13">
        <v>1</v>
      </c>
      <c r="AF13">
        <v>0.14899999999999999</v>
      </c>
      <c r="AG13" s="24">
        <f>(AB13*AD13+AC13*AE13)*(1+AF13)</f>
        <v>3.4010400000000001</v>
      </c>
      <c r="AH13" s="245"/>
      <c r="AI13" s="64">
        <v>72216101946</v>
      </c>
      <c r="AJ13" s="79"/>
      <c r="AK13" s="31" t="s">
        <v>216</v>
      </c>
      <c r="AL13" t="s">
        <v>9</v>
      </c>
      <c r="AM13">
        <v>2.76</v>
      </c>
      <c r="AN13">
        <v>0.2</v>
      </c>
      <c r="AO13">
        <v>1.77</v>
      </c>
      <c r="AP13">
        <v>1.53</v>
      </c>
      <c r="AQ13">
        <v>0.14899999999999999</v>
      </c>
      <c r="AR13" s="24">
        <f>(AM13*AO13+AN13*AP13)*(1+AQ13)</f>
        <v>5.9646887999999993</v>
      </c>
      <c r="AS13" s="246"/>
      <c r="AT13" s="64">
        <v>72216101946</v>
      </c>
      <c r="AU13" s="79"/>
      <c r="AV13" s="31" t="s">
        <v>216</v>
      </c>
      <c r="AW13" t="s">
        <v>9</v>
      </c>
      <c r="AX13">
        <v>2.76</v>
      </c>
      <c r="AY13">
        <v>0.2</v>
      </c>
      <c r="AZ13">
        <v>1.77</v>
      </c>
      <c r="BA13">
        <v>1.53</v>
      </c>
      <c r="BB13">
        <v>0.14899999999999999</v>
      </c>
      <c r="BC13" s="24">
        <f>(AX13*AZ13+AY13*BA13)*(1+BB13)</f>
        <v>5.9646887999999993</v>
      </c>
      <c r="BD13" s="246"/>
      <c r="BE13" s="64">
        <v>72216101946</v>
      </c>
      <c r="BF13" s="79"/>
      <c r="BG13" s="31" t="s">
        <v>216</v>
      </c>
      <c r="BH13" t="s">
        <v>9</v>
      </c>
      <c r="BI13">
        <v>2.76</v>
      </c>
      <c r="BJ13">
        <v>0.2</v>
      </c>
      <c r="BK13">
        <v>2</v>
      </c>
      <c r="BL13">
        <v>1.53</v>
      </c>
      <c r="BM13">
        <v>0.14899999999999999</v>
      </c>
      <c r="BN13" s="24">
        <f>(BI13*BK13+BJ13*BL13)*(1+BM13)</f>
        <v>6.6940739999999996</v>
      </c>
    </row>
    <row r="14" spans="1:66" ht="28.8" x14ac:dyDescent="0.3">
      <c r="A14" s="244"/>
      <c r="B14" s="21">
        <v>72216100600</v>
      </c>
      <c r="C14" s="21"/>
      <c r="D14" s="31" t="s">
        <v>140</v>
      </c>
      <c r="E14" t="s">
        <v>9</v>
      </c>
      <c r="F14">
        <v>1.37</v>
      </c>
      <c r="G14">
        <v>0.2</v>
      </c>
      <c r="H14">
        <v>1</v>
      </c>
      <c r="I14">
        <v>1</v>
      </c>
      <c r="J14">
        <v>0.191</v>
      </c>
      <c r="K14" s="24">
        <f>(F14*H14+G14*I14)*(1+J14)</f>
        <v>1.8698700000000001</v>
      </c>
      <c r="L14" s="244"/>
      <c r="M14" s="21">
        <v>72216101715</v>
      </c>
      <c r="N14" s="79"/>
      <c r="O14" s="31" t="s">
        <v>142</v>
      </c>
      <c r="P14" t="s">
        <v>9</v>
      </c>
      <c r="Q14">
        <v>0.64</v>
      </c>
      <c r="R14">
        <v>0.16</v>
      </c>
      <c r="S14">
        <v>1</v>
      </c>
      <c r="T14">
        <v>1</v>
      </c>
      <c r="U14">
        <v>0.23799999999999999</v>
      </c>
      <c r="V14" s="24">
        <f>(Q14*S14+R14*T14)*(1+U14)</f>
        <v>0.99040000000000006</v>
      </c>
      <c r="W14" s="244"/>
      <c r="X14" s="66">
        <v>72216101715</v>
      </c>
      <c r="Y14" s="79"/>
      <c r="Z14" s="31" t="s">
        <v>142</v>
      </c>
      <c r="AA14" t="s">
        <v>9</v>
      </c>
      <c r="AB14">
        <v>0.64</v>
      </c>
      <c r="AC14">
        <v>0.16</v>
      </c>
      <c r="AD14">
        <v>1</v>
      </c>
      <c r="AE14">
        <v>1</v>
      </c>
      <c r="AF14">
        <v>0.23799999999999999</v>
      </c>
      <c r="AG14" s="24">
        <f>(AB14*AD14+AC14*AE14)*(1+AF14)</f>
        <v>0.99040000000000006</v>
      </c>
      <c r="AH14" s="245"/>
      <c r="AI14" s="38" t="s">
        <v>127</v>
      </c>
      <c r="AJ14" s="79"/>
      <c r="AK14" s="36" t="s">
        <v>162</v>
      </c>
      <c r="AL14" s="19" t="s">
        <v>9</v>
      </c>
      <c r="AM14" s="19">
        <v>0.46</v>
      </c>
      <c r="AN14" s="19">
        <v>0.13</v>
      </c>
      <c r="AO14">
        <v>1</v>
      </c>
      <c r="AP14">
        <v>1</v>
      </c>
      <c r="AQ14">
        <v>0.27</v>
      </c>
      <c r="AR14" s="24">
        <f>(AM14*AO14+AN14*AP14)*(1+AQ14)</f>
        <v>0.74930000000000008</v>
      </c>
      <c r="AS14" s="246"/>
      <c r="AT14" s="38" t="s">
        <v>127</v>
      </c>
      <c r="AU14" s="79"/>
      <c r="AV14" s="36" t="s">
        <v>162</v>
      </c>
      <c r="AW14" s="19" t="s">
        <v>9</v>
      </c>
      <c r="AX14" s="19">
        <v>0.46</v>
      </c>
      <c r="AY14" s="19">
        <v>0.13</v>
      </c>
      <c r="AZ14">
        <v>1</v>
      </c>
      <c r="BA14">
        <v>1</v>
      </c>
      <c r="BB14">
        <v>0.27</v>
      </c>
      <c r="BC14" s="24">
        <f>(AX14*AZ14+AY14*BA14)*(1+BB14)</f>
        <v>0.74930000000000008</v>
      </c>
      <c r="BD14" s="246"/>
      <c r="BE14" s="79">
        <v>72113101610</v>
      </c>
      <c r="BG14" s="31" t="s">
        <v>262</v>
      </c>
      <c r="BH14" t="s">
        <v>9</v>
      </c>
      <c r="BI14">
        <v>0.31</v>
      </c>
      <c r="BJ14">
        <v>0.38</v>
      </c>
      <c r="BK14">
        <v>1</v>
      </c>
      <c r="BL14">
        <v>1</v>
      </c>
      <c r="BM14">
        <v>0.40500000000000003</v>
      </c>
      <c r="BN14" s="24">
        <f>(BI14*BK14+BJ14*BL14)*(1+BM14)</f>
        <v>0.96944999999999992</v>
      </c>
    </row>
    <row r="15" spans="1:66" ht="30" customHeight="1" x14ac:dyDescent="0.3">
      <c r="A15" s="244"/>
      <c r="B15" s="11">
        <v>53123502950</v>
      </c>
      <c r="C15" s="7"/>
      <c r="D15" s="31" t="s">
        <v>81</v>
      </c>
      <c r="E15" t="s">
        <v>9</v>
      </c>
      <c r="F15">
        <v>2.4900000000000002</v>
      </c>
      <c r="G15">
        <v>0.32</v>
      </c>
      <c r="H15">
        <v>1</v>
      </c>
      <c r="I15">
        <v>1</v>
      </c>
      <c r="J15">
        <v>0.17899999999999999</v>
      </c>
      <c r="K15" s="24">
        <f>(F15*H15+G15*I15)*(1+J15)</f>
        <v>3.3129900000000001</v>
      </c>
      <c r="L15" s="244"/>
      <c r="M15" s="66">
        <v>53123502950</v>
      </c>
      <c r="N15" s="79"/>
      <c r="O15" s="31" t="s">
        <v>81</v>
      </c>
      <c r="P15" t="s">
        <v>9</v>
      </c>
      <c r="Q15">
        <v>2.4900000000000002</v>
      </c>
      <c r="R15">
        <v>0.32</v>
      </c>
      <c r="S15">
        <v>1</v>
      </c>
      <c r="T15">
        <v>1</v>
      </c>
      <c r="U15">
        <v>0.17899999999999999</v>
      </c>
      <c r="V15" s="24">
        <f>(Q15*S15+R15*T15)*(1+U15)</f>
        <v>3.3129900000000001</v>
      </c>
      <c r="W15" s="244"/>
      <c r="X15" s="66">
        <v>53123502950</v>
      </c>
      <c r="Y15" s="79"/>
      <c r="Z15" s="31" t="s">
        <v>81</v>
      </c>
      <c r="AA15" t="s">
        <v>9</v>
      </c>
      <c r="AB15">
        <v>2.4900000000000002</v>
      </c>
      <c r="AC15">
        <v>0.32</v>
      </c>
      <c r="AD15">
        <v>1</v>
      </c>
      <c r="AE15">
        <v>1</v>
      </c>
      <c r="AF15">
        <v>0.17899999999999999</v>
      </c>
      <c r="AG15" s="24">
        <f>(AB15*AD15+AC15*AE15)*(1+AF15)</f>
        <v>3.3129900000000001</v>
      </c>
      <c r="AH15" s="245"/>
      <c r="AI15" s="54">
        <v>53123502950</v>
      </c>
      <c r="AJ15" s="79"/>
      <c r="AK15" s="36" t="s">
        <v>81</v>
      </c>
      <c r="AL15" s="19" t="s">
        <v>9</v>
      </c>
      <c r="AM15">
        <v>2.4900000000000002</v>
      </c>
      <c r="AN15">
        <v>0.32</v>
      </c>
      <c r="AO15">
        <v>1</v>
      </c>
      <c r="AP15">
        <v>1</v>
      </c>
      <c r="AQ15">
        <v>0.17899999999999999</v>
      </c>
      <c r="AR15" s="24">
        <f>(AM15*AO15+AN15*AP15)*(1+AQ15)</f>
        <v>3.3129900000000001</v>
      </c>
      <c r="AS15" s="246"/>
      <c r="AT15" s="64">
        <v>53123502950</v>
      </c>
      <c r="AU15" s="79"/>
      <c r="AV15" s="36" t="s">
        <v>81</v>
      </c>
      <c r="AW15" s="19" t="s">
        <v>9</v>
      </c>
      <c r="AX15">
        <v>2.4900000000000002</v>
      </c>
      <c r="AY15">
        <v>0.32</v>
      </c>
      <c r="AZ15">
        <v>1</v>
      </c>
      <c r="BA15">
        <v>1</v>
      </c>
      <c r="BB15">
        <v>0.17899999999999999</v>
      </c>
      <c r="BC15" s="24">
        <f>(AX15*AZ15+AY15*BA15)*(1+BB15)</f>
        <v>3.3129900000000001</v>
      </c>
      <c r="BD15" s="246"/>
      <c r="BE15" s="37">
        <v>53123502950</v>
      </c>
      <c r="BF15" s="79"/>
      <c r="BG15" s="36" t="s">
        <v>81</v>
      </c>
      <c r="BH15" s="19" t="s">
        <v>9</v>
      </c>
      <c r="BI15">
        <v>2.4900000000000002</v>
      </c>
      <c r="BJ15">
        <v>0.32</v>
      </c>
      <c r="BK15">
        <v>1</v>
      </c>
      <c r="BL15">
        <v>1</v>
      </c>
      <c r="BM15">
        <v>0.17899999999999999</v>
      </c>
      <c r="BN15" s="24">
        <f>(BI15*BK15+BJ15*BL15)*(1+BM15)</f>
        <v>3.3129900000000001</v>
      </c>
    </row>
    <row r="16" spans="1:66" x14ac:dyDescent="0.3">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3">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3">
      <c r="A18" s="243" t="s">
        <v>75</v>
      </c>
      <c r="B18" s="65">
        <v>75323204800</v>
      </c>
      <c r="C18" s="65">
        <v>3</v>
      </c>
      <c r="D18" s="31" t="s">
        <v>76</v>
      </c>
      <c r="E18" t="s">
        <v>9</v>
      </c>
      <c r="F18">
        <v>1.22</v>
      </c>
      <c r="G18">
        <v>0.52449999999999997</v>
      </c>
      <c r="H18">
        <v>1</v>
      </c>
      <c r="I18">
        <v>1</v>
      </c>
      <c r="J18">
        <v>0.28999999999999998</v>
      </c>
      <c r="K18" s="24">
        <f>(F18*H18+G18*I18)*(1+J18)</f>
        <v>2.2504049999999998</v>
      </c>
      <c r="L18" s="243" t="s">
        <v>75</v>
      </c>
      <c r="M18" s="65">
        <v>75323204800</v>
      </c>
      <c r="N18" s="78">
        <v>3</v>
      </c>
      <c r="O18" s="31" t="s">
        <v>76</v>
      </c>
      <c r="P18" t="s">
        <v>9</v>
      </c>
      <c r="Q18">
        <v>1.22</v>
      </c>
      <c r="R18">
        <v>0.52449999999999997</v>
      </c>
      <c r="S18">
        <v>1</v>
      </c>
      <c r="T18">
        <v>1</v>
      </c>
      <c r="U18">
        <v>0.28999999999999998</v>
      </c>
      <c r="V18" s="24">
        <f>(Q18*S18+R18*T18)*(1+U18)</f>
        <v>2.2504049999999998</v>
      </c>
      <c r="W18" s="243" t="s">
        <v>75</v>
      </c>
      <c r="X18" s="65">
        <v>75323204800</v>
      </c>
      <c r="Y18" s="78">
        <v>3</v>
      </c>
      <c r="Z18" s="31" t="s">
        <v>76</v>
      </c>
      <c r="AA18" t="s">
        <v>9</v>
      </c>
      <c r="AB18">
        <v>1.22</v>
      </c>
      <c r="AC18">
        <v>0.52449999999999997</v>
      </c>
      <c r="AD18">
        <v>1</v>
      </c>
      <c r="AE18">
        <v>1</v>
      </c>
      <c r="AF18">
        <v>0.28999999999999998</v>
      </c>
      <c r="AG18" s="24">
        <f>(AB18*AD18+AC18*AE18)*(1+AF18)</f>
        <v>2.2504049999999998</v>
      </c>
      <c r="AH18" s="245" t="s">
        <v>75</v>
      </c>
      <c r="AI18" s="65">
        <v>75323204800</v>
      </c>
      <c r="AJ18" s="78">
        <v>3</v>
      </c>
      <c r="AK18" s="31" t="s">
        <v>76</v>
      </c>
      <c r="AL18" t="s">
        <v>9</v>
      </c>
      <c r="AM18">
        <v>1.22</v>
      </c>
      <c r="AN18">
        <v>0.52449999999999997</v>
      </c>
      <c r="AO18">
        <v>1</v>
      </c>
      <c r="AP18">
        <v>1</v>
      </c>
      <c r="AQ18">
        <v>0.28999999999999998</v>
      </c>
      <c r="AR18" s="24">
        <f>(AM18*AO18+AN18*AP18)*(1+AQ18)</f>
        <v>2.2504049999999998</v>
      </c>
      <c r="AS18" s="245" t="s">
        <v>75</v>
      </c>
      <c r="AT18" s="65">
        <v>75323204800</v>
      </c>
      <c r="AU18" s="78">
        <v>3</v>
      </c>
      <c r="AV18" s="31" t="s">
        <v>76</v>
      </c>
      <c r="AW18" t="s">
        <v>9</v>
      </c>
      <c r="AX18">
        <v>1.22</v>
      </c>
      <c r="AY18">
        <v>0.52449999999999997</v>
      </c>
      <c r="AZ18">
        <v>1</v>
      </c>
      <c r="BA18">
        <v>1</v>
      </c>
      <c r="BB18">
        <v>0.28999999999999998</v>
      </c>
      <c r="BC18" s="24">
        <f>(AX18*AZ18+AY18*BA18)*(1+BB18)</f>
        <v>2.2504049999999998</v>
      </c>
      <c r="BD18" s="245"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x14ac:dyDescent="0.3">
      <c r="A19" s="244"/>
      <c r="B19" s="11">
        <v>61626100105</v>
      </c>
      <c r="C19" s="5"/>
      <c r="D19" s="31" t="s">
        <v>74</v>
      </c>
      <c r="E19" t="s">
        <v>9</v>
      </c>
      <c r="F19">
        <v>1.17</v>
      </c>
      <c r="G19">
        <v>0.34</v>
      </c>
      <c r="H19">
        <v>1</v>
      </c>
      <c r="I19">
        <v>1</v>
      </c>
      <c r="J19">
        <v>0.22500000000000001</v>
      </c>
      <c r="K19" s="24">
        <f>(F19*H19+G19*I19)*(1+J19)</f>
        <v>1.8497500000000002</v>
      </c>
      <c r="L19" s="244"/>
      <c r="M19" s="66">
        <v>61626100105</v>
      </c>
      <c r="N19" s="79"/>
      <c r="O19" s="31" t="s">
        <v>74</v>
      </c>
      <c r="P19" t="s">
        <v>9</v>
      </c>
      <c r="Q19">
        <v>1.17</v>
      </c>
      <c r="R19">
        <v>0.34</v>
      </c>
      <c r="S19">
        <v>1</v>
      </c>
      <c r="T19">
        <v>1</v>
      </c>
      <c r="U19">
        <v>0.22500000000000001</v>
      </c>
      <c r="V19" s="24">
        <f>(Q19*S19+R19*T19)*(1+U19)</f>
        <v>1.8497500000000002</v>
      </c>
      <c r="W19" s="244"/>
      <c r="X19" s="66">
        <v>61626100105</v>
      </c>
      <c r="Y19" s="79"/>
      <c r="Z19" s="31" t="s">
        <v>74</v>
      </c>
      <c r="AA19" t="s">
        <v>9</v>
      </c>
      <c r="AB19">
        <v>1.17</v>
      </c>
      <c r="AC19">
        <v>0.34</v>
      </c>
      <c r="AD19">
        <v>1</v>
      </c>
      <c r="AE19">
        <v>1</v>
      </c>
      <c r="AF19">
        <v>0.22500000000000001</v>
      </c>
      <c r="AG19" s="24">
        <f>(AB19*AD19+AC19*AE19)*(1+AF19)</f>
        <v>1.8497500000000002</v>
      </c>
      <c r="AH19" s="245"/>
      <c r="AI19" s="66">
        <v>61626100105</v>
      </c>
      <c r="AJ19" s="79"/>
      <c r="AK19" s="31" t="s">
        <v>74</v>
      </c>
      <c r="AL19" t="s">
        <v>9</v>
      </c>
      <c r="AM19">
        <v>1.17</v>
      </c>
      <c r="AN19">
        <v>0.34</v>
      </c>
      <c r="AO19">
        <v>1</v>
      </c>
      <c r="AP19">
        <v>1</v>
      </c>
      <c r="AQ19">
        <v>0.22500000000000001</v>
      </c>
      <c r="AR19" s="24">
        <f>(AM19*AO19+AN19*AP19)*(1+AQ19)</f>
        <v>1.8497500000000002</v>
      </c>
      <c r="AS19" s="246"/>
      <c r="AT19" s="66">
        <v>61626100105</v>
      </c>
      <c r="AU19" s="79"/>
      <c r="AV19" s="31" t="s">
        <v>74</v>
      </c>
      <c r="AW19" t="s">
        <v>9</v>
      </c>
      <c r="AX19">
        <v>1.17</v>
      </c>
      <c r="AY19">
        <v>0.34</v>
      </c>
      <c r="AZ19">
        <v>1</v>
      </c>
      <c r="BA19">
        <v>1</v>
      </c>
      <c r="BB19">
        <v>0.22500000000000001</v>
      </c>
      <c r="BC19" s="24">
        <f>(AX19*AZ19+AY19*BA19)*(1+BB19)</f>
        <v>1.8497500000000002</v>
      </c>
      <c r="BD19" s="246"/>
      <c r="BE19" s="66">
        <v>61626100105</v>
      </c>
      <c r="BF19" s="79"/>
      <c r="BG19" s="31" t="s">
        <v>74</v>
      </c>
      <c r="BH19" t="s">
        <v>9</v>
      </c>
      <c r="BI19">
        <v>1.17</v>
      </c>
      <c r="BJ19">
        <v>0.34</v>
      </c>
      <c r="BK19">
        <v>1</v>
      </c>
      <c r="BL19">
        <v>1</v>
      </c>
      <c r="BM19">
        <v>0.22500000000000001</v>
      </c>
      <c r="BN19" s="24">
        <f>(BI19*BK19+BJ19*BL19)*(1+BM19)</f>
        <v>1.8497500000000002</v>
      </c>
    </row>
    <row r="20" spans="1:66" ht="28.8" x14ac:dyDescent="0.3">
      <c r="A20" s="244"/>
      <c r="B20" s="11">
        <v>72216101946</v>
      </c>
      <c r="C20" s="5"/>
      <c r="D20" s="31" t="s">
        <v>216</v>
      </c>
      <c r="E20" t="s">
        <v>9</v>
      </c>
      <c r="F20">
        <v>2.76</v>
      </c>
      <c r="G20">
        <v>0.2</v>
      </c>
      <c r="H20">
        <v>1.25</v>
      </c>
      <c r="I20">
        <v>1.2</v>
      </c>
      <c r="J20">
        <v>0.14899999999999999</v>
      </c>
      <c r="K20" s="24">
        <f>(F20*H20+G20*I20)*(1+J20)</f>
        <v>4.2398099999999994</v>
      </c>
      <c r="L20" s="244"/>
      <c r="M20" s="66">
        <v>72216101946</v>
      </c>
      <c r="N20" s="79"/>
      <c r="O20" s="31" t="s">
        <v>216</v>
      </c>
      <c r="P20" t="s">
        <v>9</v>
      </c>
      <c r="Q20">
        <v>2.76</v>
      </c>
      <c r="R20">
        <v>0.2</v>
      </c>
      <c r="S20">
        <v>1.25</v>
      </c>
      <c r="T20">
        <v>1.2</v>
      </c>
      <c r="U20">
        <v>0.14899999999999999</v>
      </c>
      <c r="V20" s="24">
        <f>(Q20*S20+R20*T20)*(1+U20)</f>
        <v>4.2398099999999994</v>
      </c>
      <c r="W20" s="244"/>
      <c r="X20" s="66">
        <v>72216101946</v>
      </c>
      <c r="Y20" s="79"/>
      <c r="Z20" s="31" t="s">
        <v>216</v>
      </c>
      <c r="AA20" t="s">
        <v>9</v>
      </c>
      <c r="AB20">
        <v>2.76</v>
      </c>
      <c r="AC20">
        <v>0.2</v>
      </c>
      <c r="AD20">
        <v>1.25</v>
      </c>
      <c r="AE20">
        <v>1.2</v>
      </c>
      <c r="AF20">
        <v>0.14899999999999999</v>
      </c>
      <c r="AG20" s="24">
        <f>(AB20*AD20+AC20*AE20)*(1+AF20)</f>
        <v>4.2398099999999994</v>
      </c>
      <c r="AH20" s="245"/>
      <c r="AI20" s="66">
        <v>72216101946</v>
      </c>
      <c r="AJ20" s="79"/>
      <c r="AK20" s="31" t="s">
        <v>216</v>
      </c>
      <c r="AL20" t="s">
        <v>9</v>
      </c>
      <c r="AM20">
        <v>2.76</v>
      </c>
      <c r="AN20">
        <v>0.2</v>
      </c>
      <c r="AO20">
        <v>1.77</v>
      </c>
      <c r="AP20">
        <v>1.53</v>
      </c>
      <c r="AQ20">
        <v>0.14899999999999999</v>
      </c>
      <c r="AR20" s="24">
        <f>(AM20*AO20+AN20*AP20)*(1+AQ20)</f>
        <v>5.9646887999999993</v>
      </c>
      <c r="AS20" s="246"/>
      <c r="AT20" s="66">
        <v>72216101946</v>
      </c>
      <c r="AU20" s="79"/>
      <c r="AV20" s="31" t="s">
        <v>216</v>
      </c>
      <c r="AW20" t="s">
        <v>9</v>
      </c>
      <c r="AX20">
        <v>2.76</v>
      </c>
      <c r="AY20">
        <v>0.2</v>
      </c>
      <c r="AZ20">
        <v>1.77</v>
      </c>
      <c r="BA20">
        <v>1.53</v>
      </c>
      <c r="BB20">
        <v>0.14899999999999999</v>
      </c>
      <c r="BC20" s="24">
        <f>(AX20*AZ20+AY20*BA20)*(1+BB20)</f>
        <v>5.9646887999999993</v>
      </c>
      <c r="BD20" s="246"/>
      <c r="BE20" s="66">
        <v>72216101946</v>
      </c>
      <c r="BF20" s="79"/>
      <c r="BG20" s="31" t="s">
        <v>216</v>
      </c>
      <c r="BH20" t="s">
        <v>9</v>
      </c>
      <c r="BI20">
        <v>2.76</v>
      </c>
      <c r="BJ20">
        <v>0.2</v>
      </c>
      <c r="BK20">
        <v>2</v>
      </c>
      <c r="BL20">
        <v>1.53</v>
      </c>
      <c r="BM20">
        <v>0.14899999999999999</v>
      </c>
      <c r="BN20" s="24">
        <f>(BI20*BK20+BJ20*BL20)*(1+BM20)</f>
        <v>6.6940739999999996</v>
      </c>
    </row>
    <row r="21" spans="1:66" ht="28.8" x14ac:dyDescent="0.3">
      <c r="A21" s="244"/>
      <c r="B21" s="21"/>
      <c r="C21" s="21"/>
      <c r="K21" s="24">
        <f>(F21*H21+G21*I21)*(1+J21)</f>
        <v>0</v>
      </c>
      <c r="L21" s="244"/>
      <c r="M21" s="21">
        <v>72216101715</v>
      </c>
      <c r="N21" s="79"/>
      <c r="O21" s="31" t="s">
        <v>142</v>
      </c>
      <c r="P21" t="s">
        <v>9</v>
      </c>
      <c r="Q21">
        <v>0.64</v>
      </c>
      <c r="R21">
        <v>0.16</v>
      </c>
      <c r="S21">
        <v>1</v>
      </c>
      <c r="T21">
        <v>1</v>
      </c>
      <c r="U21">
        <v>0.23799999999999999</v>
      </c>
      <c r="V21" s="24">
        <f>(Q21*S21+R21*T21)*(1+U21)</f>
        <v>0.99040000000000006</v>
      </c>
      <c r="W21" s="244"/>
      <c r="X21" s="66">
        <v>72216101715</v>
      </c>
      <c r="Y21" s="79"/>
      <c r="Z21" s="31" t="s">
        <v>142</v>
      </c>
      <c r="AA21" t="s">
        <v>9</v>
      </c>
      <c r="AB21">
        <v>0.64</v>
      </c>
      <c r="AC21">
        <v>0.16</v>
      </c>
      <c r="AD21">
        <v>1</v>
      </c>
      <c r="AE21">
        <v>1</v>
      </c>
      <c r="AF21">
        <v>0.23799999999999999</v>
      </c>
      <c r="AG21" s="24">
        <f>(AB21*AD21+AC21*AE21)*(1+AF21)</f>
        <v>0.99040000000000006</v>
      </c>
      <c r="AH21" s="245"/>
      <c r="AI21" s="38" t="s">
        <v>127</v>
      </c>
      <c r="AJ21" s="79"/>
      <c r="AK21" s="36" t="s">
        <v>162</v>
      </c>
      <c r="AL21" s="19" t="s">
        <v>9</v>
      </c>
      <c r="AM21" s="19">
        <v>0.46</v>
      </c>
      <c r="AN21" s="19">
        <v>0.13</v>
      </c>
      <c r="AO21">
        <v>1</v>
      </c>
      <c r="AP21">
        <v>1</v>
      </c>
      <c r="AQ21">
        <v>0.27</v>
      </c>
      <c r="AR21" s="24">
        <f>(AM21*AO21+AN21*AP21)*(1+AQ21)</f>
        <v>0.74930000000000008</v>
      </c>
      <c r="AS21" s="246"/>
      <c r="AT21" s="38" t="s">
        <v>127</v>
      </c>
      <c r="AU21" s="79"/>
      <c r="AV21" s="36" t="s">
        <v>162</v>
      </c>
      <c r="AW21" s="19" t="s">
        <v>9</v>
      </c>
      <c r="AX21" s="19">
        <v>0.46</v>
      </c>
      <c r="AY21" s="19">
        <v>0.13</v>
      </c>
      <c r="AZ21">
        <v>1</v>
      </c>
      <c r="BA21">
        <v>1</v>
      </c>
      <c r="BB21">
        <v>0.27</v>
      </c>
      <c r="BC21" s="24">
        <f>(AX21*AZ21+AY21*BA21)*(1+BB21)</f>
        <v>0.74930000000000008</v>
      </c>
      <c r="BD21" s="246"/>
      <c r="BE21" s="79">
        <v>72113101610</v>
      </c>
      <c r="BG21" s="31" t="s">
        <v>262</v>
      </c>
      <c r="BH21" t="s">
        <v>9</v>
      </c>
      <c r="BI21">
        <v>0.31</v>
      </c>
      <c r="BJ21">
        <v>0.38</v>
      </c>
      <c r="BK21">
        <v>1</v>
      </c>
      <c r="BL21">
        <v>1</v>
      </c>
      <c r="BM21">
        <v>0.40500000000000003</v>
      </c>
      <c r="BN21" s="24">
        <f>(BI21*BK21+BJ21*BL21)*(1+BM21)</f>
        <v>0.96944999999999992</v>
      </c>
    </row>
    <row r="22" spans="1:66" ht="15" customHeight="1" x14ac:dyDescent="0.3">
      <c r="A22" s="244"/>
      <c r="B22" s="11">
        <v>61516101250</v>
      </c>
      <c r="C22" s="5"/>
      <c r="D22" s="31" t="s">
        <v>97</v>
      </c>
      <c r="E22" t="s">
        <v>9</v>
      </c>
      <c r="F22">
        <v>1.77</v>
      </c>
      <c r="G22">
        <v>1.73</v>
      </c>
      <c r="H22">
        <v>1</v>
      </c>
      <c r="I22">
        <v>1</v>
      </c>
      <c r="J22">
        <v>0.38300000000000001</v>
      </c>
      <c r="K22" s="24">
        <f>(F22*H22+G22*I22)*(1+J22)</f>
        <v>4.8405000000000005</v>
      </c>
      <c r="L22" s="244"/>
      <c r="M22" s="66">
        <v>61516101250</v>
      </c>
      <c r="N22" s="79"/>
      <c r="O22" s="31" t="s">
        <v>97</v>
      </c>
      <c r="P22" t="s">
        <v>9</v>
      </c>
      <c r="Q22">
        <v>1.77</v>
      </c>
      <c r="R22">
        <v>1.73</v>
      </c>
      <c r="S22">
        <v>1</v>
      </c>
      <c r="T22">
        <v>1</v>
      </c>
      <c r="U22">
        <v>0.38300000000000001</v>
      </c>
      <c r="V22" s="24">
        <f>(Q22*S22+R22*T22)*(1+U22)</f>
        <v>4.8405000000000005</v>
      </c>
      <c r="W22" s="244"/>
      <c r="X22" s="66">
        <v>61516101250</v>
      </c>
      <c r="Y22" s="79"/>
      <c r="Z22" s="31" t="s">
        <v>97</v>
      </c>
      <c r="AA22" t="s">
        <v>9</v>
      </c>
      <c r="AB22">
        <v>1.77</v>
      </c>
      <c r="AC22">
        <v>1.73</v>
      </c>
      <c r="AD22">
        <v>1</v>
      </c>
      <c r="AE22">
        <v>1</v>
      </c>
      <c r="AF22">
        <v>0.38300000000000001</v>
      </c>
      <c r="AG22" s="24">
        <f>(AB22*AD22+AC22*AE22)*(1+AF22)</f>
        <v>4.8405000000000005</v>
      </c>
      <c r="AH22" s="245"/>
      <c r="AI22" s="54">
        <v>61516101250</v>
      </c>
      <c r="AJ22" s="79"/>
      <c r="AK22" s="36" t="s">
        <v>97</v>
      </c>
      <c r="AL22" s="19" t="s">
        <v>9</v>
      </c>
      <c r="AM22">
        <v>1.77</v>
      </c>
      <c r="AN22">
        <v>1.73</v>
      </c>
      <c r="AO22">
        <v>1</v>
      </c>
      <c r="AP22">
        <v>1</v>
      </c>
      <c r="AQ22">
        <v>0.38300000000000001</v>
      </c>
      <c r="AR22" s="24">
        <f>(AM22*AO22+AN22*AP22)*(1+AQ22)</f>
        <v>4.8405000000000005</v>
      </c>
      <c r="AS22" s="246"/>
      <c r="AT22" s="64">
        <v>61516101250</v>
      </c>
      <c r="AU22" s="79"/>
      <c r="AV22" s="36" t="s">
        <v>97</v>
      </c>
      <c r="AW22" s="19" t="s">
        <v>9</v>
      </c>
      <c r="AX22">
        <v>1.77</v>
      </c>
      <c r="AY22">
        <v>1.73</v>
      </c>
      <c r="AZ22">
        <v>1</v>
      </c>
      <c r="BA22">
        <v>1</v>
      </c>
      <c r="BB22">
        <v>0.38300000000000001</v>
      </c>
      <c r="BC22" s="24">
        <f>(AX22*AZ22+AY22*BA22)*(1+BB22)</f>
        <v>4.8405000000000005</v>
      </c>
      <c r="BD22" s="246"/>
      <c r="BE22" s="37">
        <v>61516101250</v>
      </c>
      <c r="BF22" s="79"/>
      <c r="BG22" s="36" t="s">
        <v>97</v>
      </c>
      <c r="BH22" s="19" t="s">
        <v>9</v>
      </c>
      <c r="BI22">
        <v>1.77</v>
      </c>
      <c r="BJ22">
        <v>1.73</v>
      </c>
      <c r="BK22">
        <v>1</v>
      </c>
      <c r="BL22">
        <v>1</v>
      </c>
      <c r="BM22">
        <v>0.38300000000000001</v>
      </c>
      <c r="BN22" s="24">
        <f>(BI22*BK22+BJ22*BL22)*(1+BM22)</f>
        <v>4.8405000000000005</v>
      </c>
    </row>
    <row r="23" spans="1:66" x14ac:dyDescent="0.3">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3">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3.2" x14ac:dyDescent="0.3">
      <c r="A25" s="243" t="s">
        <v>80</v>
      </c>
      <c r="B25" s="10">
        <v>75323204800</v>
      </c>
      <c r="C25" s="6">
        <v>4</v>
      </c>
      <c r="D25" s="31" t="s">
        <v>76</v>
      </c>
      <c r="E25" t="s">
        <v>9</v>
      </c>
      <c r="F25">
        <v>1.22</v>
      </c>
      <c r="G25">
        <v>0.52449999999999997</v>
      </c>
      <c r="H25">
        <v>1</v>
      </c>
      <c r="I25">
        <v>1</v>
      </c>
      <c r="J25">
        <v>0.28999999999999998</v>
      </c>
      <c r="K25" s="24">
        <f>(F25*H25+G25*I25)*(1+J25)</f>
        <v>2.2504049999999998</v>
      </c>
      <c r="L25" s="243" t="s">
        <v>80</v>
      </c>
      <c r="M25" s="65">
        <v>75323204800</v>
      </c>
      <c r="N25" s="78">
        <v>4</v>
      </c>
      <c r="O25" s="31" t="s">
        <v>76</v>
      </c>
      <c r="P25" t="s">
        <v>9</v>
      </c>
      <c r="Q25">
        <v>1.22</v>
      </c>
      <c r="R25">
        <v>0.52449999999999997</v>
      </c>
      <c r="S25">
        <v>1</v>
      </c>
      <c r="T25">
        <v>1</v>
      </c>
      <c r="U25">
        <v>0.28999999999999998</v>
      </c>
      <c r="V25" s="24">
        <f>(Q25*S25+R25*T25)*(1+U25)</f>
        <v>2.2504049999999998</v>
      </c>
      <c r="W25" s="243" t="s">
        <v>80</v>
      </c>
      <c r="X25" s="65">
        <v>75323204800</v>
      </c>
      <c r="Y25" s="78">
        <v>4</v>
      </c>
      <c r="Z25" s="31" t="s">
        <v>76</v>
      </c>
      <c r="AA25" t="s">
        <v>9</v>
      </c>
      <c r="AB25">
        <v>1.22</v>
      </c>
      <c r="AC25">
        <v>0.52449999999999997</v>
      </c>
      <c r="AD25">
        <v>1</v>
      </c>
      <c r="AE25">
        <v>1</v>
      </c>
      <c r="AF25">
        <v>0.28999999999999998</v>
      </c>
      <c r="AG25" s="24">
        <f>(AB25*AD25+AC25*AE25)*(1+AF25)</f>
        <v>2.2504049999999998</v>
      </c>
      <c r="AH25" s="245" t="s">
        <v>80</v>
      </c>
      <c r="AI25" s="65">
        <v>75323204800</v>
      </c>
      <c r="AJ25" s="78">
        <v>4</v>
      </c>
      <c r="AK25" s="31" t="s">
        <v>76</v>
      </c>
      <c r="AL25" t="s">
        <v>9</v>
      </c>
      <c r="AM25">
        <v>1.22</v>
      </c>
      <c r="AN25">
        <v>0.52449999999999997</v>
      </c>
      <c r="AO25">
        <v>1</v>
      </c>
      <c r="AP25">
        <v>1</v>
      </c>
      <c r="AQ25">
        <v>0.28999999999999998</v>
      </c>
      <c r="AR25" s="24">
        <f>(AM25*AO25+AN25*AP25)*(1+AQ25)</f>
        <v>2.2504049999999998</v>
      </c>
      <c r="AS25" s="245" t="s">
        <v>80</v>
      </c>
      <c r="AT25" s="65">
        <v>75323204800</v>
      </c>
      <c r="AU25" s="78">
        <v>4</v>
      </c>
      <c r="AV25" s="31" t="s">
        <v>76</v>
      </c>
      <c r="AW25" t="s">
        <v>9</v>
      </c>
      <c r="AX25">
        <v>1.22</v>
      </c>
      <c r="AY25">
        <v>0.52449999999999997</v>
      </c>
      <c r="AZ25">
        <v>1</v>
      </c>
      <c r="BA25">
        <v>1</v>
      </c>
      <c r="BB25">
        <v>0.28999999999999998</v>
      </c>
      <c r="BC25" s="24">
        <f>(AX25*AZ25+AY25*BA25)*(1+BB25)</f>
        <v>2.2504049999999998</v>
      </c>
      <c r="BD25" s="245"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x14ac:dyDescent="0.3">
      <c r="A26" s="244"/>
      <c r="B26" s="11">
        <v>61626100105</v>
      </c>
      <c r="C26" s="7"/>
      <c r="D26" s="31" t="s">
        <v>74</v>
      </c>
      <c r="E26" t="s">
        <v>9</v>
      </c>
      <c r="F26">
        <v>1.17</v>
      </c>
      <c r="G26">
        <v>0.34</v>
      </c>
      <c r="H26">
        <v>1</v>
      </c>
      <c r="I26">
        <v>1</v>
      </c>
      <c r="J26">
        <v>0.22500000000000001</v>
      </c>
      <c r="K26" s="24">
        <f>(F26*H26+G26*I26)*(1+J26)</f>
        <v>1.8497500000000002</v>
      </c>
      <c r="L26" s="244"/>
      <c r="M26" s="66">
        <v>61626100105</v>
      </c>
      <c r="N26" s="79"/>
      <c r="O26" s="31" t="s">
        <v>74</v>
      </c>
      <c r="P26" t="s">
        <v>9</v>
      </c>
      <c r="Q26">
        <v>1.17</v>
      </c>
      <c r="R26">
        <v>0.34</v>
      </c>
      <c r="S26">
        <v>1</v>
      </c>
      <c r="T26">
        <v>1</v>
      </c>
      <c r="U26">
        <v>0.22500000000000001</v>
      </c>
      <c r="V26" s="24">
        <f>(Q26*S26+R26*T26)*(1+U26)</f>
        <v>1.8497500000000002</v>
      </c>
      <c r="W26" s="244"/>
      <c r="X26" s="66">
        <v>61626100105</v>
      </c>
      <c r="Y26" s="79"/>
      <c r="Z26" s="31" t="s">
        <v>74</v>
      </c>
      <c r="AA26" t="s">
        <v>9</v>
      </c>
      <c r="AB26">
        <v>1.17</v>
      </c>
      <c r="AC26">
        <v>0.34</v>
      </c>
      <c r="AD26">
        <v>1</v>
      </c>
      <c r="AE26">
        <v>1</v>
      </c>
      <c r="AF26">
        <v>0.22500000000000001</v>
      </c>
      <c r="AG26" s="24">
        <f>(AB26*AD26+AC26*AE26)*(1+AF26)</f>
        <v>1.8497500000000002</v>
      </c>
      <c r="AH26" s="245"/>
      <c r="AI26" s="66">
        <v>61626100105</v>
      </c>
      <c r="AJ26" s="79"/>
      <c r="AK26" s="31" t="s">
        <v>74</v>
      </c>
      <c r="AL26" t="s">
        <v>9</v>
      </c>
      <c r="AM26">
        <v>1.17</v>
      </c>
      <c r="AN26">
        <v>0.34</v>
      </c>
      <c r="AO26">
        <v>1</v>
      </c>
      <c r="AP26">
        <v>1</v>
      </c>
      <c r="AQ26">
        <v>0.22500000000000001</v>
      </c>
      <c r="AR26" s="24">
        <f>(AM26*AO26+AN26*AP26)*(1+AQ26)</f>
        <v>1.8497500000000002</v>
      </c>
      <c r="AS26" s="246"/>
      <c r="AT26" s="66">
        <v>61626100105</v>
      </c>
      <c r="AU26" s="79"/>
      <c r="AV26" s="31" t="s">
        <v>74</v>
      </c>
      <c r="AW26" t="s">
        <v>9</v>
      </c>
      <c r="AX26">
        <v>1.17</v>
      </c>
      <c r="AY26">
        <v>0.34</v>
      </c>
      <c r="AZ26">
        <v>1</v>
      </c>
      <c r="BA26">
        <v>1</v>
      </c>
      <c r="BB26">
        <v>0.22500000000000001</v>
      </c>
      <c r="BC26" s="24">
        <f>(AX26*AZ26+AY26*BA26)*(1+BB26)</f>
        <v>1.8497500000000002</v>
      </c>
      <c r="BD26" s="246"/>
      <c r="BE26" s="66">
        <v>61626100105</v>
      </c>
      <c r="BF26" s="79"/>
      <c r="BG26" s="31" t="s">
        <v>74</v>
      </c>
      <c r="BH26" t="s">
        <v>9</v>
      </c>
      <c r="BI26">
        <v>1.17</v>
      </c>
      <c r="BJ26">
        <v>0.34</v>
      </c>
      <c r="BK26">
        <v>1</v>
      </c>
      <c r="BL26">
        <v>1</v>
      </c>
      <c r="BM26">
        <v>0.22500000000000001</v>
      </c>
      <c r="BN26" s="24">
        <f>(BI26*BK26+BJ26*BL26)*(1+BM26)</f>
        <v>1.8497500000000002</v>
      </c>
    </row>
    <row r="27" spans="1:66" ht="28.8" x14ac:dyDescent="0.3">
      <c r="A27" s="244"/>
      <c r="B27" s="11">
        <v>72216101946</v>
      </c>
      <c r="C27" s="7"/>
      <c r="D27" s="31" t="s">
        <v>216</v>
      </c>
      <c r="E27" t="s">
        <v>9</v>
      </c>
      <c r="F27">
        <v>2.76</v>
      </c>
      <c r="G27">
        <v>0.2</v>
      </c>
      <c r="H27">
        <v>1</v>
      </c>
      <c r="I27">
        <v>1</v>
      </c>
      <c r="J27">
        <v>0.14899999999999999</v>
      </c>
      <c r="K27" s="24">
        <f>(F27*H27+G27*I27)*(1+J27)</f>
        <v>3.4010400000000001</v>
      </c>
      <c r="L27" s="244"/>
      <c r="M27" s="66">
        <v>72216101946</v>
      </c>
      <c r="N27" s="79"/>
      <c r="O27" s="31" t="s">
        <v>216</v>
      </c>
      <c r="P27" t="s">
        <v>9</v>
      </c>
      <c r="Q27">
        <v>2.76</v>
      </c>
      <c r="R27">
        <v>0.2</v>
      </c>
      <c r="S27">
        <v>1</v>
      </c>
      <c r="T27">
        <v>1</v>
      </c>
      <c r="U27">
        <v>0.14899999999999999</v>
      </c>
      <c r="V27" s="24">
        <f>(Q27*S27+R27*T27)*(1+U27)</f>
        <v>3.4010400000000001</v>
      </c>
      <c r="W27" s="244"/>
      <c r="X27" s="66">
        <v>72216101946</v>
      </c>
      <c r="Y27" s="79"/>
      <c r="Z27" s="31" t="s">
        <v>216</v>
      </c>
      <c r="AA27" t="s">
        <v>9</v>
      </c>
      <c r="AB27">
        <v>2.76</v>
      </c>
      <c r="AC27">
        <v>0.2</v>
      </c>
      <c r="AD27">
        <v>1</v>
      </c>
      <c r="AE27">
        <v>1</v>
      </c>
      <c r="AF27">
        <v>0.14899999999999999</v>
      </c>
      <c r="AG27" s="24">
        <f>(AB27*AD27+AC27*AE27)*(1+AF27)</f>
        <v>3.4010400000000001</v>
      </c>
      <c r="AH27" s="245"/>
      <c r="AI27" s="66">
        <v>72216101946</v>
      </c>
      <c r="AJ27" s="79"/>
      <c r="AK27" s="31" t="s">
        <v>216</v>
      </c>
      <c r="AL27" t="s">
        <v>9</v>
      </c>
      <c r="AM27">
        <v>2.76</v>
      </c>
      <c r="AN27">
        <v>0.2</v>
      </c>
      <c r="AO27">
        <v>1.77</v>
      </c>
      <c r="AP27">
        <v>1.53</v>
      </c>
      <c r="AQ27">
        <v>0.14899999999999999</v>
      </c>
      <c r="AR27" s="24">
        <f>(AM27*AO27+AN27*AP27)*(1+AQ27)</f>
        <v>5.9646887999999993</v>
      </c>
      <c r="AS27" s="246"/>
      <c r="AT27" s="66">
        <v>72216101946</v>
      </c>
      <c r="AU27" s="79"/>
      <c r="AV27" s="31" t="s">
        <v>216</v>
      </c>
      <c r="AW27" t="s">
        <v>9</v>
      </c>
      <c r="AX27">
        <v>2.76</v>
      </c>
      <c r="AY27">
        <v>0.2</v>
      </c>
      <c r="AZ27">
        <v>1.77</v>
      </c>
      <c r="BA27">
        <v>1.53</v>
      </c>
      <c r="BB27">
        <v>0.14899999999999999</v>
      </c>
      <c r="BC27" s="24">
        <f>(AX27*AZ27+AY27*BA27)*(1+BB27)</f>
        <v>5.9646887999999993</v>
      </c>
      <c r="BD27" s="246"/>
      <c r="BE27" s="66">
        <v>72216101946</v>
      </c>
      <c r="BF27" s="79"/>
      <c r="BG27" s="31" t="s">
        <v>216</v>
      </c>
      <c r="BH27" t="s">
        <v>9</v>
      </c>
      <c r="BI27">
        <v>2.76</v>
      </c>
      <c r="BJ27">
        <v>0.2</v>
      </c>
      <c r="BK27">
        <v>2</v>
      </c>
      <c r="BL27">
        <v>1.53</v>
      </c>
      <c r="BM27">
        <v>0.14899999999999999</v>
      </c>
      <c r="BN27" s="24">
        <f>(BI27*BK27+BJ27*BL27)*(1+BM27)</f>
        <v>6.6940739999999996</v>
      </c>
    </row>
    <row r="28" spans="1:66" ht="28.8" x14ac:dyDescent="0.3">
      <c r="A28" s="244"/>
      <c r="B28" s="66">
        <v>72216100600</v>
      </c>
      <c r="C28" s="66"/>
      <c r="D28" s="31" t="s">
        <v>140</v>
      </c>
      <c r="E28" t="s">
        <v>9</v>
      </c>
      <c r="F28">
        <v>1.37</v>
      </c>
      <c r="G28">
        <v>0.2</v>
      </c>
      <c r="H28">
        <v>1</v>
      </c>
      <c r="I28">
        <v>1</v>
      </c>
      <c r="J28">
        <v>0.191</v>
      </c>
      <c r="K28" s="24">
        <f>(F28*H28+G28*I28)*(1+J28)</f>
        <v>1.8698700000000001</v>
      </c>
      <c r="L28" s="244"/>
      <c r="M28" s="21">
        <v>72216101715</v>
      </c>
      <c r="N28" s="79"/>
      <c r="O28" s="31" t="s">
        <v>142</v>
      </c>
      <c r="P28" t="s">
        <v>9</v>
      </c>
      <c r="Q28">
        <v>0.64</v>
      </c>
      <c r="R28">
        <v>0.16</v>
      </c>
      <c r="S28">
        <v>1</v>
      </c>
      <c r="T28">
        <v>1</v>
      </c>
      <c r="U28">
        <v>0.23799999999999999</v>
      </c>
      <c r="V28" s="24">
        <f>(Q28*S28+R28*T28)*(1+U28)</f>
        <v>0.99040000000000006</v>
      </c>
      <c r="W28" s="244"/>
      <c r="X28" s="66">
        <v>72216101715</v>
      </c>
      <c r="Y28" s="79"/>
      <c r="Z28" s="31" t="s">
        <v>142</v>
      </c>
      <c r="AA28" t="s">
        <v>9</v>
      </c>
      <c r="AB28">
        <v>0.64</v>
      </c>
      <c r="AC28">
        <v>0.16</v>
      </c>
      <c r="AD28">
        <v>1</v>
      </c>
      <c r="AE28">
        <v>1</v>
      </c>
      <c r="AF28">
        <v>0.23799999999999999</v>
      </c>
      <c r="AG28" s="24">
        <f>(AB28*AD28+AC28*AE28)*(1+AF28)</f>
        <v>0.99040000000000006</v>
      </c>
      <c r="AH28" s="245"/>
      <c r="AI28" s="38" t="s">
        <v>127</v>
      </c>
      <c r="AJ28" s="79"/>
      <c r="AK28" s="36" t="s">
        <v>162</v>
      </c>
      <c r="AL28" s="19" t="s">
        <v>9</v>
      </c>
      <c r="AM28" s="19">
        <v>0.46</v>
      </c>
      <c r="AN28" s="19">
        <v>0.13</v>
      </c>
      <c r="AO28">
        <v>1</v>
      </c>
      <c r="AP28">
        <v>1</v>
      </c>
      <c r="AQ28">
        <v>0.27</v>
      </c>
      <c r="AR28" s="24">
        <f>(AM28*AO28+AN28*AP28)*(1+AQ28)</f>
        <v>0.74930000000000008</v>
      </c>
      <c r="AS28" s="246"/>
      <c r="AT28" s="38" t="s">
        <v>127</v>
      </c>
      <c r="AU28" s="79"/>
      <c r="AV28" s="36" t="s">
        <v>162</v>
      </c>
      <c r="AW28" s="19" t="s">
        <v>9</v>
      </c>
      <c r="AX28" s="19">
        <v>0.46</v>
      </c>
      <c r="AY28" s="19">
        <v>0.13</v>
      </c>
      <c r="AZ28">
        <v>1</v>
      </c>
      <c r="BA28">
        <v>1</v>
      </c>
      <c r="BB28">
        <v>0.27</v>
      </c>
      <c r="BC28" s="24">
        <f>(AX28*AZ28+AY28*BA28)*(1+BB28)</f>
        <v>0.74930000000000008</v>
      </c>
      <c r="BD28" s="246"/>
      <c r="BE28" s="79">
        <v>72113101610</v>
      </c>
      <c r="BG28" s="31" t="s">
        <v>262</v>
      </c>
      <c r="BH28" t="s">
        <v>9</v>
      </c>
      <c r="BI28">
        <v>0.31</v>
      </c>
      <c r="BJ28">
        <v>0.38</v>
      </c>
      <c r="BK28">
        <v>1</v>
      </c>
      <c r="BL28">
        <v>1</v>
      </c>
      <c r="BM28">
        <v>0.40500000000000003</v>
      </c>
      <c r="BN28" s="24">
        <f>(BI28*BK28+BJ28*BL28)*(1+BM28)</f>
        <v>0.96944999999999992</v>
      </c>
    </row>
    <row r="29" spans="1:66" ht="28.8" x14ac:dyDescent="0.3">
      <c r="A29" s="244"/>
      <c r="B29" s="11">
        <v>53123502950</v>
      </c>
      <c r="C29" s="7"/>
      <c r="D29" s="31" t="s">
        <v>81</v>
      </c>
      <c r="E29" t="s">
        <v>9</v>
      </c>
      <c r="F29">
        <v>2.4900000000000002</v>
      </c>
      <c r="G29">
        <v>0.32</v>
      </c>
      <c r="H29">
        <v>1</v>
      </c>
      <c r="I29">
        <v>1</v>
      </c>
      <c r="J29">
        <v>0.17899999999999999</v>
      </c>
      <c r="K29" s="24">
        <f>(F29*H29+G29*I29)*(1+J29)</f>
        <v>3.3129900000000001</v>
      </c>
      <c r="L29" s="244"/>
      <c r="M29" s="66">
        <v>53123502950</v>
      </c>
      <c r="N29" s="79"/>
      <c r="O29" s="31" t="s">
        <v>81</v>
      </c>
      <c r="P29" t="s">
        <v>9</v>
      </c>
      <c r="Q29">
        <v>2.4900000000000002</v>
      </c>
      <c r="R29">
        <v>0.32</v>
      </c>
      <c r="S29">
        <v>1</v>
      </c>
      <c r="T29">
        <v>1</v>
      </c>
      <c r="U29">
        <v>0.17899999999999999</v>
      </c>
      <c r="V29" s="24">
        <f>(Q29*S29+R29*T29)*(1+U29)</f>
        <v>3.3129900000000001</v>
      </c>
      <c r="W29" s="244"/>
      <c r="X29" s="66">
        <v>53123502950</v>
      </c>
      <c r="Y29" s="79"/>
      <c r="Z29" s="31" t="s">
        <v>81</v>
      </c>
      <c r="AA29" t="s">
        <v>9</v>
      </c>
      <c r="AB29">
        <v>2.4900000000000002</v>
      </c>
      <c r="AC29">
        <v>0.32</v>
      </c>
      <c r="AD29">
        <v>1</v>
      </c>
      <c r="AE29">
        <v>1</v>
      </c>
      <c r="AF29">
        <v>0.17899999999999999</v>
      </c>
      <c r="AG29" s="24">
        <f>(AB29*AD29+AC29*AE29)*(1+AF29)</f>
        <v>3.3129900000000001</v>
      </c>
      <c r="AH29" s="245"/>
      <c r="AI29" s="54">
        <v>53123502950</v>
      </c>
      <c r="AJ29" s="79"/>
      <c r="AK29" s="36" t="s">
        <v>81</v>
      </c>
      <c r="AL29" s="19" t="s">
        <v>9</v>
      </c>
      <c r="AM29">
        <v>2.4900000000000002</v>
      </c>
      <c r="AN29">
        <v>0.32</v>
      </c>
      <c r="AO29">
        <v>1</v>
      </c>
      <c r="AP29">
        <v>1</v>
      </c>
      <c r="AQ29">
        <v>0.17899999999999999</v>
      </c>
      <c r="AR29" s="24">
        <f>(AM29*AO29+AN29*AP29)*(1+AQ29)</f>
        <v>3.3129900000000001</v>
      </c>
      <c r="AS29" s="246"/>
      <c r="AT29" s="64">
        <v>53123502950</v>
      </c>
      <c r="AU29" s="79"/>
      <c r="AV29" s="36" t="s">
        <v>81</v>
      </c>
      <c r="AW29" s="19" t="s">
        <v>9</v>
      </c>
      <c r="AX29">
        <v>2.4900000000000002</v>
      </c>
      <c r="AY29">
        <v>0.32</v>
      </c>
      <c r="AZ29">
        <v>1</v>
      </c>
      <c r="BA29">
        <v>1</v>
      </c>
      <c r="BB29">
        <v>0.17899999999999999</v>
      </c>
      <c r="BC29" s="24">
        <f>(AX29*AZ29+AY29*BA29)*(1+BB29)</f>
        <v>3.3129900000000001</v>
      </c>
      <c r="BD29" s="246"/>
      <c r="BE29" s="64">
        <v>53123502950</v>
      </c>
      <c r="BF29" s="79"/>
      <c r="BG29" s="36" t="s">
        <v>81</v>
      </c>
      <c r="BH29" s="19" t="s">
        <v>9</v>
      </c>
      <c r="BI29">
        <v>2.4900000000000002</v>
      </c>
      <c r="BJ29">
        <v>0.32</v>
      </c>
      <c r="BK29">
        <v>1</v>
      </c>
      <c r="BL29">
        <v>1</v>
      </c>
      <c r="BM29">
        <v>0.17899999999999999</v>
      </c>
      <c r="BN29" s="24">
        <f>(BI29*BK29+BJ29*BL29)*(1+BM29)</f>
        <v>3.3129900000000001</v>
      </c>
    </row>
    <row r="30" spans="1:66" x14ac:dyDescent="0.3">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3">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3">
      <c r="A32" s="243" t="s">
        <v>77</v>
      </c>
      <c r="B32" s="65">
        <v>76119101008</v>
      </c>
      <c r="C32" s="65">
        <v>5</v>
      </c>
      <c r="D32" s="31" t="s">
        <v>242</v>
      </c>
      <c r="E32" t="s">
        <v>9</v>
      </c>
      <c r="F32">
        <v>11</v>
      </c>
      <c r="G32">
        <v>2.82</v>
      </c>
      <c r="H32">
        <v>1</v>
      </c>
      <c r="I32">
        <v>1</v>
      </c>
      <c r="J32">
        <v>0.20799999999999999</v>
      </c>
      <c r="K32" s="24">
        <f t="shared" ref="K32:K37" si="0">(F32*H32+G32*I32)*(1+J32)</f>
        <v>16.694559999999999</v>
      </c>
      <c r="L32" s="243" t="s">
        <v>77</v>
      </c>
      <c r="M32" s="65">
        <v>76119101008</v>
      </c>
      <c r="N32" s="78">
        <v>5</v>
      </c>
      <c r="O32" s="31" t="s">
        <v>242</v>
      </c>
      <c r="P32" t="s">
        <v>9</v>
      </c>
      <c r="Q32">
        <v>11</v>
      </c>
      <c r="R32">
        <v>2.82</v>
      </c>
      <c r="S32">
        <v>1</v>
      </c>
      <c r="T32">
        <v>1</v>
      </c>
      <c r="U32">
        <v>0.20799999999999999</v>
      </c>
      <c r="V32" s="24">
        <f t="shared" ref="V32:V37" si="1">(Q32*S32+R32*T32)*(1+U32)</f>
        <v>16.694559999999999</v>
      </c>
      <c r="W32" s="243" t="s">
        <v>77</v>
      </c>
      <c r="X32" s="65">
        <v>76119101008</v>
      </c>
      <c r="Y32" s="78">
        <v>5</v>
      </c>
      <c r="Z32" s="31" t="s">
        <v>242</v>
      </c>
      <c r="AA32" t="s">
        <v>9</v>
      </c>
      <c r="AB32">
        <v>11</v>
      </c>
      <c r="AC32">
        <v>2.82</v>
      </c>
      <c r="AD32">
        <v>1</v>
      </c>
      <c r="AE32">
        <v>1</v>
      </c>
      <c r="AF32">
        <v>0.20799999999999999</v>
      </c>
      <c r="AG32" s="24">
        <f t="shared" ref="AG32:AG37" si="2">(AB32*AD32+AC32*AE32)*(1+AF32)</f>
        <v>16.694559999999999</v>
      </c>
      <c r="AH32" s="245"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5"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5"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x14ac:dyDescent="0.3">
      <c r="A33" s="243"/>
      <c r="B33" s="65">
        <v>72510100401</v>
      </c>
      <c r="C33" s="65"/>
      <c r="D33" s="31" t="s">
        <v>98</v>
      </c>
      <c r="E33" t="s">
        <v>9</v>
      </c>
      <c r="F33">
        <v>0.05</v>
      </c>
      <c r="G33">
        <v>0.08</v>
      </c>
      <c r="H33">
        <v>1</v>
      </c>
      <c r="I33">
        <v>1</v>
      </c>
      <c r="J33">
        <v>0.53800000000000003</v>
      </c>
      <c r="K33" s="24">
        <f t="shared" si="0"/>
        <v>0.19994000000000001</v>
      </c>
      <c r="L33" s="243"/>
      <c r="M33" s="65">
        <v>72510100401</v>
      </c>
      <c r="N33" s="78"/>
      <c r="O33" s="31" t="s">
        <v>98</v>
      </c>
      <c r="P33" t="s">
        <v>9</v>
      </c>
      <c r="Q33">
        <v>0.05</v>
      </c>
      <c r="R33">
        <v>0.08</v>
      </c>
      <c r="S33">
        <v>1</v>
      </c>
      <c r="T33">
        <v>1</v>
      </c>
      <c r="U33">
        <v>0.53800000000000003</v>
      </c>
      <c r="V33" s="24">
        <f t="shared" si="1"/>
        <v>0.19994000000000001</v>
      </c>
      <c r="W33" s="243"/>
      <c r="X33" s="65">
        <v>72510100401</v>
      </c>
      <c r="Y33" s="78"/>
      <c r="Z33" s="31" t="s">
        <v>98</v>
      </c>
      <c r="AA33" t="s">
        <v>9</v>
      </c>
      <c r="AB33">
        <v>0.05</v>
      </c>
      <c r="AC33">
        <v>0.08</v>
      </c>
      <c r="AD33">
        <v>1</v>
      </c>
      <c r="AE33">
        <v>1</v>
      </c>
      <c r="AF33">
        <v>0.53800000000000003</v>
      </c>
      <c r="AG33" s="24">
        <f t="shared" si="2"/>
        <v>0.19994000000000001</v>
      </c>
      <c r="AH33" s="245"/>
      <c r="AI33" s="65">
        <v>72510100401</v>
      </c>
      <c r="AJ33" s="78"/>
      <c r="AK33" s="31" t="s">
        <v>98</v>
      </c>
      <c r="AL33" t="s">
        <v>9</v>
      </c>
      <c r="AM33">
        <v>0.05</v>
      </c>
      <c r="AN33">
        <v>0.08</v>
      </c>
      <c r="AO33">
        <v>1</v>
      </c>
      <c r="AP33">
        <v>1</v>
      </c>
      <c r="AQ33">
        <v>0.53800000000000003</v>
      </c>
      <c r="AR33" s="24">
        <f t="shared" si="3"/>
        <v>0.19994000000000001</v>
      </c>
      <c r="AS33" s="245"/>
      <c r="AT33" s="65">
        <v>72510100401</v>
      </c>
      <c r="AU33" s="78"/>
      <c r="AV33" s="31" t="s">
        <v>98</v>
      </c>
      <c r="AW33" t="s">
        <v>9</v>
      </c>
      <c r="AX33">
        <v>0.05</v>
      </c>
      <c r="AY33">
        <v>0.08</v>
      </c>
      <c r="AZ33">
        <v>1</v>
      </c>
      <c r="BA33">
        <v>1</v>
      </c>
      <c r="BB33">
        <v>0.53800000000000003</v>
      </c>
      <c r="BC33" s="24">
        <f t="shared" si="4"/>
        <v>0.19994000000000001</v>
      </c>
      <c r="BD33" s="245"/>
      <c r="BE33" s="65">
        <v>72510100401</v>
      </c>
      <c r="BF33" s="78"/>
      <c r="BG33" s="31" t="s">
        <v>98</v>
      </c>
      <c r="BH33" t="s">
        <v>9</v>
      </c>
      <c r="BI33">
        <v>0.05</v>
      </c>
      <c r="BJ33">
        <v>0.08</v>
      </c>
      <c r="BK33">
        <v>1</v>
      </c>
      <c r="BL33">
        <v>1</v>
      </c>
      <c r="BM33">
        <v>0.53800000000000003</v>
      </c>
      <c r="BN33" s="24">
        <f t="shared" si="5"/>
        <v>0.19994000000000001</v>
      </c>
    </row>
    <row r="34" spans="1:66" ht="28.8" x14ac:dyDescent="0.3">
      <c r="A34" s="244"/>
      <c r="B34" s="66">
        <v>72216100600</v>
      </c>
      <c r="C34" s="66"/>
      <c r="D34" s="31" t="s">
        <v>140</v>
      </c>
      <c r="E34" t="s">
        <v>9</v>
      </c>
      <c r="F34">
        <v>1.37</v>
      </c>
      <c r="G34">
        <v>0.2</v>
      </c>
      <c r="H34">
        <v>1</v>
      </c>
      <c r="I34">
        <v>1</v>
      </c>
      <c r="J34">
        <v>0.191</v>
      </c>
      <c r="K34" s="24">
        <f t="shared" si="0"/>
        <v>1.8698700000000001</v>
      </c>
      <c r="L34" s="244"/>
      <c r="M34" s="66">
        <v>72216100600</v>
      </c>
      <c r="N34" s="79"/>
      <c r="O34" s="31" t="s">
        <v>140</v>
      </c>
      <c r="P34" t="s">
        <v>9</v>
      </c>
      <c r="Q34">
        <v>1.37</v>
      </c>
      <c r="R34">
        <v>0.2</v>
      </c>
      <c r="S34">
        <v>1</v>
      </c>
      <c r="T34">
        <v>1</v>
      </c>
      <c r="U34">
        <v>0.191</v>
      </c>
      <c r="V34" s="24">
        <f t="shared" si="1"/>
        <v>1.8698700000000001</v>
      </c>
      <c r="W34" s="244"/>
      <c r="X34" s="66">
        <v>72216100600</v>
      </c>
      <c r="Y34" s="79"/>
      <c r="Z34" s="31" t="s">
        <v>140</v>
      </c>
      <c r="AA34" t="s">
        <v>9</v>
      </c>
      <c r="AB34">
        <v>1.37</v>
      </c>
      <c r="AC34">
        <v>0.2</v>
      </c>
      <c r="AD34">
        <v>1</v>
      </c>
      <c r="AE34">
        <v>1</v>
      </c>
      <c r="AF34">
        <v>0.191</v>
      </c>
      <c r="AG34" s="24">
        <f t="shared" si="2"/>
        <v>1.8698700000000001</v>
      </c>
      <c r="AH34" s="245"/>
      <c r="AI34" s="66">
        <v>72216100600</v>
      </c>
      <c r="AJ34" s="79"/>
      <c r="AK34" s="31" t="s">
        <v>140</v>
      </c>
      <c r="AL34" t="s">
        <v>9</v>
      </c>
      <c r="AM34">
        <v>1.37</v>
      </c>
      <c r="AN34">
        <v>0.2</v>
      </c>
      <c r="AO34">
        <v>1</v>
      </c>
      <c r="AP34">
        <v>1</v>
      </c>
      <c r="AQ34">
        <v>0.191</v>
      </c>
      <c r="AR34" s="24">
        <f t="shared" si="3"/>
        <v>1.8698700000000001</v>
      </c>
      <c r="AS34" s="246"/>
      <c r="AT34" s="66">
        <v>72216100600</v>
      </c>
      <c r="AU34" s="79"/>
      <c r="AV34" s="31" t="s">
        <v>140</v>
      </c>
      <c r="AW34" t="s">
        <v>9</v>
      </c>
      <c r="AX34">
        <v>1.37</v>
      </c>
      <c r="AY34">
        <v>0.2</v>
      </c>
      <c r="AZ34">
        <v>1</v>
      </c>
      <c r="BA34">
        <v>1</v>
      </c>
      <c r="BB34">
        <v>0.191</v>
      </c>
      <c r="BC34" s="24">
        <f t="shared" si="4"/>
        <v>1.8698700000000001</v>
      </c>
      <c r="BD34" s="246"/>
      <c r="BE34" s="66">
        <v>72216100600</v>
      </c>
      <c r="BF34" s="79"/>
      <c r="BG34" s="31" t="s">
        <v>140</v>
      </c>
      <c r="BH34" t="s">
        <v>9</v>
      </c>
      <c r="BI34">
        <v>1.37</v>
      </c>
      <c r="BJ34">
        <v>0.2</v>
      </c>
      <c r="BK34">
        <v>1</v>
      </c>
      <c r="BL34">
        <v>1</v>
      </c>
      <c r="BM34">
        <v>0.191</v>
      </c>
      <c r="BN34" s="24">
        <f t="shared" si="5"/>
        <v>1.8698700000000001</v>
      </c>
    </row>
    <row r="35" spans="1:66" ht="28.8" x14ac:dyDescent="0.3">
      <c r="A35" s="244"/>
      <c r="B35" s="11">
        <v>72216101946</v>
      </c>
      <c r="C35" s="7"/>
      <c r="D35" s="31" t="s">
        <v>216</v>
      </c>
      <c r="E35" t="s">
        <v>9</v>
      </c>
      <c r="F35">
        <v>2.76</v>
      </c>
      <c r="G35">
        <v>0.2</v>
      </c>
      <c r="H35">
        <v>1</v>
      </c>
      <c r="I35">
        <v>1</v>
      </c>
      <c r="J35">
        <v>0.14899999999999999</v>
      </c>
      <c r="K35" s="24">
        <f t="shared" si="0"/>
        <v>3.4010400000000001</v>
      </c>
      <c r="L35" s="244"/>
      <c r="M35" s="66">
        <v>72216101946</v>
      </c>
      <c r="N35" s="79"/>
      <c r="O35" s="31" t="s">
        <v>216</v>
      </c>
      <c r="P35" t="s">
        <v>9</v>
      </c>
      <c r="Q35">
        <v>2.76</v>
      </c>
      <c r="R35">
        <v>0.2</v>
      </c>
      <c r="S35">
        <v>1</v>
      </c>
      <c r="T35">
        <v>1</v>
      </c>
      <c r="U35">
        <v>0.14899999999999999</v>
      </c>
      <c r="V35" s="24">
        <f t="shared" si="1"/>
        <v>3.4010400000000001</v>
      </c>
      <c r="W35" s="244"/>
      <c r="X35" s="66">
        <v>72216101946</v>
      </c>
      <c r="Y35" s="79"/>
      <c r="Z35" s="31" t="s">
        <v>216</v>
      </c>
      <c r="AA35" t="s">
        <v>9</v>
      </c>
      <c r="AB35">
        <v>2.76</v>
      </c>
      <c r="AC35">
        <v>0.2</v>
      </c>
      <c r="AD35">
        <v>1</v>
      </c>
      <c r="AE35">
        <v>1</v>
      </c>
      <c r="AF35">
        <v>0.14899999999999999</v>
      </c>
      <c r="AG35" s="24">
        <f t="shared" si="2"/>
        <v>3.4010400000000001</v>
      </c>
      <c r="AH35" s="245"/>
      <c r="AI35" s="66">
        <v>72216101946</v>
      </c>
      <c r="AJ35" s="79"/>
      <c r="AK35" s="31" t="s">
        <v>216</v>
      </c>
      <c r="AL35" t="s">
        <v>9</v>
      </c>
      <c r="AM35">
        <v>2.76</v>
      </c>
      <c r="AN35">
        <v>0.2</v>
      </c>
      <c r="AO35">
        <v>1.77</v>
      </c>
      <c r="AP35">
        <v>1.53</v>
      </c>
      <c r="AQ35">
        <v>0.14899999999999999</v>
      </c>
      <c r="AR35" s="24">
        <f t="shared" si="3"/>
        <v>5.9646887999999993</v>
      </c>
      <c r="AS35" s="246"/>
      <c r="AT35" s="66">
        <v>72216101946</v>
      </c>
      <c r="AU35" s="79"/>
      <c r="AV35" s="31" t="s">
        <v>216</v>
      </c>
      <c r="AW35" t="s">
        <v>9</v>
      </c>
      <c r="AX35">
        <v>2.76</v>
      </c>
      <c r="AY35">
        <v>0.2</v>
      </c>
      <c r="AZ35">
        <v>1.77</v>
      </c>
      <c r="BA35">
        <v>1.53</v>
      </c>
      <c r="BB35">
        <v>0.14899999999999999</v>
      </c>
      <c r="BC35" s="24">
        <f t="shared" si="4"/>
        <v>5.9646887999999993</v>
      </c>
      <c r="BD35" s="246"/>
      <c r="BE35" s="66">
        <v>72216101946</v>
      </c>
      <c r="BF35" s="79"/>
      <c r="BG35" s="31" t="s">
        <v>216</v>
      </c>
      <c r="BH35" t="s">
        <v>9</v>
      </c>
      <c r="BI35">
        <v>2.76</v>
      </c>
      <c r="BJ35">
        <v>0.2</v>
      </c>
      <c r="BK35">
        <v>2</v>
      </c>
      <c r="BL35">
        <v>1.53</v>
      </c>
      <c r="BM35">
        <v>0.14899999999999999</v>
      </c>
      <c r="BN35" s="24">
        <f t="shared" si="5"/>
        <v>6.6940739999999996</v>
      </c>
    </row>
    <row r="36" spans="1:66" ht="28.8" x14ac:dyDescent="0.3">
      <c r="A36" s="244"/>
      <c r="B36" s="21"/>
      <c r="C36" s="21"/>
      <c r="K36" s="24">
        <f t="shared" si="0"/>
        <v>0</v>
      </c>
      <c r="L36" s="244"/>
      <c r="M36" s="21">
        <v>72216101715</v>
      </c>
      <c r="N36" s="79"/>
      <c r="O36" s="31" t="s">
        <v>142</v>
      </c>
      <c r="P36" t="s">
        <v>9</v>
      </c>
      <c r="Q36">
        <v>0.64</v>
      </c>
      <c r="R36">
        <v>0.16</v>
      </c>
      <c r="S36">
        <v>1</v>
      </c>
      <c r="T36">
        <v>1</v>
      </c>
      <c r="U36">
        <v>0.23799999999999999</v>
      </c>
      <c r="V36" s="24">
        <f t="shared" si="1"/>
        <v>0.99040000000000006</v>
      </c>
      <c r="W36" s="244"/>
      <c r="X36" s="66">
        <v>72216101715</v>
      </c>
      <c r="Y36" s="79"/>
      <c r="Z36" s="31" t="s">
        <v>142</v>
      </c>
      <c r="AA36" t="s">
        <v>9</v>
      </c>
      <c r="AB36">
        <v>0.64</v>
      </c>
      <c r="AC36">
        <v>0.16</v>
      </c>
      <c r="AD36">
        <v>1</v>
      </c>
      <c r="AE36">
        <v>1</v>
      </c>
      <c r="AF36">
        <v>0.23799999999999999</v>
      </c>
      <c r="AG36" s="24">
        <f t="shared" si="2"/>
        <v>0.99040000000000006</v>
      </c>
      <c r="AH36" s="245"/>
      <c r="AI36" s="38" t="s">
        <v>127</v>
      </c>
      <c r="AJ36" s="79"/>
      <c r="AK36" s="36" t="s">
        <v>162</v>
      </c>
      <c r="AL36" s="19" t="s">
        <v>9</v>
      </c>
      <c r="AM36" s="19">
        <v>0.46</v>
      </c>
      <c r="AN36" s="19">
        <v>0.13</v>
      </c>
      <c r="AO36">
        <v>1</v>
      </c>
      <c r="AP36">
        <v>1</v>
      </c>
      <c r="AQ36">
        <v>0.27</v>
      </c>
      <c r="AR36" s="24">
        <f t="shared" si="3"/>
        <v>0.74930000000000008</v>
      </c>
      <c r="AS36" s="246"/>
      <c r="AT36" s="38" t="s">
        <v>127</v>
      </c>
      <c r="AU36" s="79"/>
      <c r="AV36" s="36" t="s">
        <v>162</v>
      </c>
      <c r="AW36" s="19" t="s">
        <v>9</v>
      </c>
      <c r="AX36" s="19">
        <v>0.46</v>
      </c>
      <c r="AY36" s="19">
        <v>0.13</v>
      </c>
      <c r="AZ36">
        <v>1</v>
      </c>
      <c r="BA36">
        <v>1</v>
      </c>
      <c r="BB36">
        <v>0.27</v>
      </c>
      <c r="BC36" s="24">
        <f t="shared" si="4"/>
        <v>0.74930000000000008</v>
      </c>
      <c r="BD36" s="246"/>
      <c r="BE36" s="79">
        <v>72113101610</v>
      </c>
      <c r="BG36" s="31" t="s">
        <v>262</v>
      </c>
      <c r="BH36" t="s">
        <v>9</v>
      </c>
      <c r="BI36">
        <v>0.31</v>
      </c>
      <c r="BJ36">
        <v>0.38</v>
      </c>
      <c r="BK36">
        <v>1</v>
      </c>
      <c r="BL36">
        <v>1</v>
      </c>
      <c r="BM36">
        <v>0.40500000000000003</v>
      </c>
      <c r="BN36" s="24">
        <f t="shared" si="5"/>
        <v>0.96944999999999992</v>
      </c>
    </row>
    <row r="37" spans="1:66" x14ac:dyDescent="0.3">
      <c r="A37" s="244"/>
      <c r="B37" s="11">
        <v>61626100305</v>
      </c>
      <c r="C37" s="7"/>
      <c r="D37" s="31" t="s">
        <v>78</v>
      </c>
      <c r="E37" t="s">
        <v>9</v>
      </c>
      <c r="F37">
        <v>1.48</v>
      </c>
      <c r="G37">
        <v>0.38</v>
      </c>
      <c r="H37">
        <v>1</v>
      </c>
      <c r="I37">
        <v>1</v>
      </c>
      <c r="J37">
        <v>0.215</v>
      </c>
      <c r="K37" s="24">
        <f t="shared" si="0"/>
        <v>2.2599</v>
      </c>
      <c r="L37" s="244"/>
      <c r="M37" s="66">
        <v>61626100305</v>
      </c>
      <c r="N37" s="79"/>
      <c r="O37" s="31" t="s">
        <v>78</v>
      </c>
      <c r="P37" t="s">
        <v>9</v>
      </c>
      <c r="Q37">
        <v>1.48</v>
      </c>
      <c r="R37">
        <v>0.38</v>
      </c>
      <c r="S37">
        <v>1</v>
      </c>
      <c r="T37">
        <v>1</v>
      </c>
      <c r="U37">
        <v>0.215</v>
      </c>
      <c r="V37" s="24">
        <f t="shared" si="1"/>
        <v>2.2599</v>
      </c>
      <c r="W37" s="244"/>
      <c r="X37" s="66">
        <v>61626100305</v>
      </c>
      <c r="Y37" s="79"/>
      <c r="Z37" s="31" t="s">
        <v>78</v>
      </c>
      <c r="AA37" t="s">
        <v>9</v>
      </c>
      <c r="AB37">
        <v>1.48</v>
      </c>
      <c r="AC37">
        <v>0.38</v>
      </c>
      <c r="AD37">
        <v>1</v>
      </c>
      <c r="AE37">
        <v>1</v>
      </c>
      <c r="AF37">
        <v>0.215</v>
      </c>
      <c r="AG37" s="24">
        <f t="shared" si="2"/>
        <v>2.2599</v>
      </c>
      <c r="AH37" s="245"/>
      <c r="AI37" s="54">
        <v>61626100305</v>
      </c>
      <c r="AJ37" s="79"/>
      <c r="AK37" s="36" t="s">
        <v>78</v>
      </c>
      <c r="AL37" s="19" t="s">
        <v>9</v>
      </c>
      <c r="AM37">
        <v>1.48</v>
      </c>
      <c r="AN37">
        <v>0.38</v>
      </c>
      <c r="AO37">
        <v>1</v>
      </c>
      <c r="AP37">
        <v>1</v>
      </c>
      <c r="AQ37">
        <v>0.215</v>
      </c>
      <c r="AR37" s="24">
        <f t="shared" si="3"/>
        <v>2.2599</v>
      </c>
      <c r="AS37" s="246"/>
      <c r="AT37" s="64">
        <v>61626100305</v>
      </c>
      <c r="AU37" s="79"/>
      <c r="AV37" s="36" t="s">
        <v>78</v>
      </c>
      <c r="AW37" s="19" t="s">
        <v>9</v>
      </c>
      <c r="AX37">
        <v>1.48</v>
      </c>
      <c r="AY37">
        <v>0.38</v>
      </c>
      <c r="AZ37">
        <v>1</v>
      </c>
      <c r="BA37">
        <v>1</v>
      </c>
      <c r="BB37">
        <v>0.215</v>
      </c>
      <c r="BC37" s="24">
        <f t="shared" si="4"/>
        <v>2.2599</v>
      </c>
      <c r="BD37" s="246"/>
      <c r="BE37" s="64">
        <v>61626100305</v>
      </c>
      <c r="BF37" s="79"/>
      <c r="BG37" s="36" t="s">
        <v>78</v>
      </c>
      <c r="BH37" s="19" t="s">
        <v>9</v>
      </c>
      <c r="BI37">
        <v>1.48</v>
      </c>
      <c r="BJ37">
        <v>0.38</v>
      </c>
      <c r="BK37">
        <v>1</v>
      </c>
      <c r="BL37">
        <v>1</v>
      </c>
      <c r="BM37">
        <v>0.215</v>
      </c>
      <c r="BN37" s="24">
        <f t="shared" si="5"/>
        <v>2.2599</v>
      </c>
    </row>
    <row r="38" spans="1:66" x14ac:dyDescent="0.3">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28.8" x14ac:dyDescent="0.3">
      <c r="A40" s="243" t="s">
        <v>79</v>
      </c>
      <c r="B40" s="65">
        <v>73113100500</v>
      </c>
      <c r="C40" s="65">
        <v>6</v>
      </c>
      <c r="D40" s="31" t="s">
        <v>241</v>
      </c>
      <c r="E40" t="s">
        <v>9</v>
      </c>
      <c r="F40">
        <v>2.41</v>
      </c>
      <c r="G40">
        <v>0.85499999999999998</v>
      </c>
      <c r="H40">
        <v>1</v>
      </c>
      <c r="I40">
        <v>1</v>
      </c>
      <c r="J40">
        <v>0.3</v>
      </c>
      <c r="K40" s="24">
        <f>(F40*H40+G40*I40)*(1+J40)</f>
        <v>4.2445000000000004</v>
      </c>
      <c r="L40" s="243" t="s">
        <v>79</v>
      </c>
      <c r="M40" s="65">
        <v>73113100500</v>
      </c>
      <c r="N40" s="78">
        <v>6</v>
      </c>
      <c r="O40" s="31" t="s">
        <v>241</v>
      </c>
      <c r="P40" t="s">
        <v>9</v>
      </c>
      <c r="Q40">
        <v>2.41</v>
      </c>
      <c r="R40">
        <v>0.85499999999999998</v>
      </c>
      <c r="S40">
        <v>1</v>
      </c>
      <c r="T40">
        <v>1</v>
      </c>
      <c r="U40">
        <v>0.3</v>
      </c>
      <c r="V40" s="24">
        <f>(Q40*S40+R40*T40)*(1+U40)</f>
        <v>4.2445000000000004</v>
      </c>
      <c r="W40" s="243" t="s">
        <v>79</v>
      </c>
      <c r="X40" s="65">
        <v>73113100500</v>
      </c>
      <c r="Y40" s="78">
        <v>6</v>
      </c>
      <c r="Z40" s="31" t="s">
        <v>241</v>
      </c>
      <c r="AA40" t="s">
        <v>9</v>
      </c>
      <c r="AB40">
        <v>2.41</v>
      </c>
      <c r="AC40">
        <v>0.85499999999999998</v>
      </c>
      <c r="AD40">
        <v>1</v>
      </c>
      <c r="AE40">
        <v>1</v>
      </c>
      <c r="AF40">
        <v>0.3</v>
      </c>
      <c r="AG40" s="24">
        <f>(AB40*AD40+AC40*AE40)*(1+AF40)</f>
        <v>4.2445000000000004</v>
      </c>
      <c r="AH40" s="245" t="s">
        <v>79</v>
      </c>
      <c r="AI40" s="65">
        <v>73113100500</v>
      </c>
      <c r="AJ40" s="78">
        <v>6</v>
      </c>
      <c r="AK40" s="31" t="s">
        <v>241</v>
      </c>
      <c r="AL40" t="s">
        <v>9</v>
      </c>
      <c r="AM40">
        <v>2.41</v>
      </c>
      <c r="AN40">
        <v>0.85499999999999998</v>
      </c>
      <c r="AO40">
        <v>1</v>
      </c>
      <c r="AP40">
        <v>1</v>
      </c>
      <c r="AQ40">
        <v>0.3</v>
      </c>
      <c r="AR40" s="24">
        <f>(AM40*AO40+AN40*AP40)*(1+AQ40)</f>
        <v>4.2445000000000004</v>
      </c>
      <c r="AS40" s="245" t="s">
        <v>79</v>
      </c>
      <c r="AT40" s="65">
        <v>73113100500</v>
      </c>
      <c r="AU40" s="78">
        <v>6</v>
      </c>
      <c r="AV40" s="31" t="s">
        <v>241</v>
      </c>
      <c r="AW40" t="s">
        <v>9</v>
      </c>
      <c r="AX40">
        <v>2.41</v>
      </c>
      <c r="AY40">
        <v>0.85499999999999998</v>
      </c>
      <c r="AZ40">
        <v>1</v>
      </c>
      <c r="BA40">
        <v>1</v>
      </c>
      <c r="BB40">
        <v>0.3</v>
      </c>
      <c r="BC40" s="24">
        <f>(AX40*AZ40+AY40*BA40)*(1+BB40)</f>
        <v>4.2445000000000004</v>
      </c>
      <c r="BD40" s="245" t="s">
        <v>79</v>
      </c>
      <c r="BE40" s="65">
        <v>73113100500</v>
      </c>
      <c r="BF40" s="78">
        <v>6</v>
      </c>
      <c r="BG40" s="31" t="s">
        <v>241</v>
      </c>
      <c r="BH40" t="s">
        <v>9</v>
      </c>
      <c r="BI40">
        <v>2.41</v>
      </c>
      <c r="BJ40">
        <v>0.85499999999999998</v>
      </c>
      <c r="BK40">
        <v>1</v>
      </c>
      <c r="BL40">
        <v>1</v>
      </c>
      <c r="BM40">
        <v>0.3</v>
      </c>
      <c r="BN40" s="24">
        <f>(BI40*BK40+BJ40*BL40)*(1+BM40)</f>
        <v>4.2445000000000004</v>
      </c>
    </row>
    <row r="41" spans="1:66" x14ac:dyDescent="0.3">
      <c r="A41" s="243"/>
      <c r="B41" s="65">
        <v>72510100401</v>
      </c>
      <c r="C41" s="65"/>
      <c r="D41" s="31" t="s">
        <v>98</v>
      </c>
      <c r="E41" t="s">
        <v>9</v>
      </c>
      <c r="F41">
        <v>0.05</v>
      </c>
      <c r="G41">
        <v>0.08</v>
      </c>
      <c r="H41">
        <v>1</v>
      </c>
      <c r="I41">
        <v>1</v>
      </c>
      <c r="J41">
        <v>0.53800000000000003</v>
      </c>
      <c r="K41" s="24">
        <f>(F41*H41+G41*I41)*(1+J41)</f>
        <v>0.19994000000000001</v>
      </c>
      <c r="L41" s="243"/>
      <c r="M41" s="65">
        <v>72510100401</v>
      </c>
      <c r="N41" s="78"/>
      <c r="O41" s="31" t="s">
        <v>98</v>
      </c>
      <c r="P41" t="s">
        <v>9</v>
      </c>
      <c r="Q41">
        <v>0.05</v>
      </c>
      <c r="R41">
        <v>0.08</v>
      </c>
      <c r="S41">
        <v>1</v>
      </c>
      <c r="T41">
        <v>1</v>
      </c>
      <c r="U41">
        <v>0.53800000000000003</v>
      </c>
      <c r="V41" s="24">
        <f>(Q41*S41+R41*T41)*(1+U41)</f>
        <v>0.19994000000000001</v>
      </c>
      <c r="W41" s="243"/>
      <c r="X41" s="65">
        <v>72510100401</v>
      </c>
      <c r="Y41" s="78"/>
      <c r="Z41" s="31" t="s">
        <v>98</v>
      </c>
      <c r="AA41" t="s">
        <v>9</v>
      </c>
      <c r="AB41">
        <v>0.05</v>
      </c>
      <c r="AC41">
        <v>0.08</v>
      </c>
      <c r="AD41">
        <v>1</v>
      </c>
      <c r="AE41">
        <v>1</v>
      </c>
      <c r="AF41">
        <v>0.53800000000000003</v>
      </c>
      <c r="AG41" s="24">
        <f>(AB41*AD41+AC41*AE41)*(1+AF41)</f>
        <v>0.19994000000000001</v>
      </c>
      <c r="AH41" s="245"/>
      <c r="AI41" s="65">
        <v>72510100401</v>
      </c>
      <c r="AJ41" s="78"/>
      <c r="AK41" s="31" t="s">
        <v>98</v>
      </c>
      <c r="AL41" t="s">
        <v>9</v>
      </c>
      <c r="AM41">
        <v>0.05</v>
      </c>
      <c r="AN41">
        <v>0.08</v>
      </c>
      <c r="AO41">
        <v>1</v>
      </c>
      <c r="AP41">
        <v>1</v>
      </c>
      <c r="AQ41">
        <v>0.53800000000000003</v>
      </c>
      <c r="AR41" s="24">
        <f>(AM41*AO41+AN41*AP41)*(1+AQ41)</f>
        <v>0.19994000000000001</v>
      </c>
      <c r="AS41" s="245"/>
      <c r="AT41" s="65">
        <v>72510100401</v>
      </c>
      <c r="AU41" s="78"/>
      <c r="AV41" s="31" t="s">
        <v>98</v>
      </c>
      <c r="AW41" t="s">
        <v>9</v>
      </c>
      <c r="AX41">
        <v>0.05</v>
      </c>
      <c r="AY41">
        <v>0.08</v>
      </c>
      <c r="AZ41">
        <v>1</v>
      </c>
      <c r="BA41">
        <v>1</v>
      </c>
      <c r="BB41">
        <v>0.53800000000000003</v>
      </c>
      <c r="BC41" s="24">
        <f>(AX41*AZ41+AY41*BA41)*(1+BB41)</f>
        <v>0.19994000000000001</v>
      </c>
      <c r="BD41" s="245"/>
      <c r="BE41" s="65">
        <v>72510100401</v>
      </c>
      <c r="BF41" s="78"/>
      <c r="BG41" s="31" t="s">
        <v>98</v>
      </c>
      <c r="BH41" t="s">
        <v>9</v>
      </c>
      <c r="BI41">
        <v>0.05</v>
      </c>
      <c r="BJ41">
        <v>0.08</v>
      </c>
      <c r="BK41">
        <v>1</v>
      </c>
      <c r="BL41">
        <v>1</v>
      </c>
      <c r="BM41">
        <v>0.53800000000000003</v>
      </c>
      <c r="BN41" s="24">
        <f>(BI41*BK41+BJ41*BL41)*(1+BM41)</f>
        <v>0.19994000000000001</v>
      </c>
    </row>
    <row r="42" spans="1:66" ht="28.8" x14ac:dyDescent="0.3">
      <c r="A42" s="244"/>
      <c r="B42" s="66">
        <v>72216100600</v>
      </c>
      <c r="C42" s="66"/>
      <c r="D42" s="31" t="s">
        <v>140</v>
      </c>
      <c r="E42" t="s">
        <v>9</v>
      </c>
      <c r="F42">
        <v>1.37</v>
      </c>
      <c r="G42">
        <v>0.2</v>
      </c>
      <c r="H42">
        <v>1</v>
      </c>
      <c r="I42">
        <v>1</v>
      </c>
      <c r="J42">
        <v>0.191</v>
      </c>
      <c r="K42" s="24">
        <f>(F42*H42+G42*I42)*(1+J42)</f>
        <v>1.8698700000000001</v>
      </c>
      <c r="L42" s="244"/>
      <c r="M42" s="21">
        <v>72216101715</v>
      </c>
      <c r="N42" s="79"/>
      <c r="O42" s="31" t="s">
        <v>142</v>
      </c>
      <c r="P42" t="s">
        <v>9</v>
      </c>
      <c r="Q42">
        <v>0.64</v>
      </c>
      <c r="R42">
        <v>0.16</v>
      </c>
      <c r="S42">
        <v>1</v>
      </c>
      <c r="T42">
        <v>1</v>
      </c>
      <c r="U42">
        <v>0.23799999999999999</v>
      </c>
      <c r="V42" s="24">
        <f>(Q42*S42+R42*T42)*(1+U42)</f>
        <v>0.99040000000000006</v>
      </c>
      <c r="W42" s="244"/>
      <c r="X42" s="66">
        <v>72216101715</v>
      </c>
      <c r="Y42" s="79"/>
      <c r="Z42" s="31" t="s">
        <v>142</v>
      </c>
      <c r="AA42" t="s">
        <v>9</v>
      </c>
      <c r="AB42">
        <v>0.64</v>
      </c>
      <c r="AC42">
        <v>0.16</v>
      </c>
      <c r="AD42">
        <v>1</v>
      </c>
      <c r="AE42">
        <v>1</v>
      </c>
      <c r="AF42">
        <v>0.23799999999999999</v>
      </c>
      <c r="AG42" s="24">
        <f>(AB42*AD42+AC42*AE42)*(1+AF42)</f>
        <v>0.99040000000000006</v>
      </c>
      <c r="AH42" s="245"/>
      <c r="AI42" s="38" t="s">
        <v>127</v>
      </c>
      <c r="AJ42" s="79"/>
      <c r="AK42" s="36" t="s">
        <v>162</v>
      </c>
      <c r="AL42" s="19" t="s">
        <v>9</v>
      </c>
      <c r="AM42" s="19">
        <v>0.46</v>
      </c>
      <c r="AN42" s="19">
        <v>0.13</v>
      </c>
      <c r="AO42">
        <v>1</v>
      </c>
      <c r="AP42">
        <v>1</v>
      </c>
      <c r="AQ42">
        <v>0.27</v>
      </c>
      <c r="AR42" s="24">
        <f>(AM42*AO42+AN42*AP42)*(1+AQ42)</f>
        <v>0.74930000000000008</v>
      </c>
      <c r="AS42" s="246"/>
      <c r="AT42" s="38" t="s">
        <v>127</v>
      </c>
      <c r="AU42" s="79"/>
      <c r="AV42" s="36" t="s">
        <v>162</v>
      </c>
      <c r="AW42" s="19" t="s">
        <v>9</v>
      </c>
      <c r="AX42" s="19">
        <v>0.46</v>
      </c>
      <c r="AY42" s="19">
        <v>0.13</v>
      </c>
      <c r="AZ42">
        <v>1</v>
      </c>
      <c r="BA42">
        <v>1</v>
      </c>
      <c r="BB42">
        <v>0.27</v>
      </c>
      <c r="BC42" s="24">
        <f>(AX42*AZ42+AY42*BA42)*(1+BB42)</f>
        <v>0.74930000000000008</v>
      </c>
      <c r="BD42" s="246"/>
      <c r="BE42" s="79">
        <v>72113101610</v>
      </c>
      <c r="BG42" s="31" t="s">
        <v>262</v>
      </c>
      <c r="BH42" t="s">
        <v>9</v>
      </c>
      <c r="BI42">
        <v>0.31</v>
      </c>
      <c r="BJ42">
        <v>0.38</v>
      </c>
      <c r="BK42">
        <v>1</v>
      </c>
      <c r="BL42">
        <v>1</v>
      </c>
      <c r="BM42">
        <v>0.40500000000000003</v>
      </c>
      <c r="BN42" s="24">
        <f>(BI42*BK42+BJ42*BL42)*(1+BM42)</f>
        <v>0.96944999999999992</v>
      </c>
    </row>
    <row r="43" spans="1:66" ht="28.8" x14ac:dyDescent="0.3">
      <c r="A43" s="244"/>
      <c r="B43" s="11">
        <v>72216101946</v>
      </c>
      <c r="C43" s="7"/>
      <c r="D43" s="31" t="s">
        <v>216</v>
      </c>
      <c r="E43" t="s">
        <v>9</v>
      </c>
      <c r="F43">
        <v>2.76</v>
      </c>
      <c r="G43">
        <v>0.2</v>
      </c>
      <c r="H43">
        <v>1</v>
      </c>
      <c r="I43">
        <v>1</v>
      </c>
      <c r="J43">
        <v>0.14899999999999999</v>
      </c>
      <c r="K43" s="24">
        <f>(F43*H43+G43*I43)*(1+J43)</f>
        <v>3.4010400000000001</v>
      </c>
      <c r="L43" s="244"/>
      <c r="M43" s="66">
        <v>72216101946</v>
      </c>
      <c r="N43" s="79"/>
      <c r="O43" s="31" t="s">
        <v>216</v>
      </c>
      <c r="P43" t="s">
        <v>9</v>
      </c>
      <c r="Q43">
        <v>2.76</v>
      </c>
      <c r="R43">
        <v>0.2</v>
      </c>
      <c r="S43">
        <v>1</v>
      </c>
      <c r="T43">
        <v>1</v>
      </c>
      <c r="U43">
        <v>0.14899999999999999</v>
      </c>
      <c r="V43" s="24">
        <f>(Q43*S43+R43*T43)*(1+U43)</f>
        <v>3.4010400000000001</v>
      </c>
      <c r="W43" s="244"/>
      <c r="X43" s="66">
        <v>72216101946</v>
      </c>
      <c r="Y43" s="79"/>
      <c r="Z43" s="31" t="s">
        <v>216</v>
      </c>
      <c r="AA43" t="s">
        <v>9</v>
      </c>
      <c r="AB43">
        <v>2.76</v>
      </c>
      <c r="AC43">
        <v>0.2</v>
      </c>
      <c r="AD43">
        <v>1</v>
      </c>
      <c r="AE43">
        <v>1</v>
      </c>
      <c r="AF43">
        <v>0.14899999999999999</v>
      </c>
      <c r="AG43" s="24">
        <f>(AB43*AD43+AC43*AE43)*(1+AF43)</f>
        <v>3.4010400000000001</v>
      </c>
      <c r="AH43" s="245"/>
      <c r="AI43" s="66">
        <v>72216101946</v>
      </c>
      <c r="AJ43" s="79"/>
      <c r="AK43" s="31" t="s">
        <v>216</v>
      </c>
      <c r="AL43" t="s">
        <v>9</v>
      </c>
      <c r="AM43">
        <v>2.76</v>
      </c>
      <c r="AN43">
        <v>0.2</v>
      </c>
      <c r="AO43">
        <v>1.77</v>
      </c>
      <c r="AP43">
        <v>1.53</v>
      </c>
      <c r="AQ43">
        <v>0.14899999999999999</v>
      </c>
      <c r="AR43" s="24">
        <f>(AM43*AO43+AN43*AP43)*(1+AQ43)</f>
        <v>5.9646887999999993</v>
      </c>
      <c r="AS43" s="246"/>
      <c r="AT43" s="66">
        <v>72216101946</v>
      </c>
      <c r="AU43" s="79"/>
      <c r="AV43" s="31" t="s">
        <v>216</v>
      </c>
      <c r="AW43" t="s">
        <v>9</v>
      </c>
      <c r="AX43">
        <v>2.76</v>
      </c>
      <c r="AY43">
        <v>0.2</v>
      </c>
      <c r="AZ43">
        <v>1.77</v>
      </c>
      <c r="BA43">
        <v>1.53</v>
      </c>
      <c r="BB43">
        <v>0.14899999999999999</v>
      </c>
      <c r="BC43" s="24">
        <f>(AX43*AZ43+AY43*BA43)*(1+BB43)</f>
        <v>5.9646887999999993</v>
      </c>
      <c r="BD43" s="246"/>
      <c r="BE43" s="66">
        <v>72216101946</v>
      </c>
      <c r="BF43" s="79"/>
      <c r="BG43" s="31" t="s">
        <v>216</v>
      </c>
      <c r="BH43" t="s">
        <v>9</v>
      </c>
      <c r="BI43">
        <v>2.76</v>
      </c>
      <c r="BJ43">
        <v>0.2</v>
      </c>
      <c r="BK43">
        <v>2</v>
      </c>
      <c r="BL43">
        <v>1.53</v>
      </c>
      <c r="BM43">
        <v>0.14899999999999999</v>
      </c>
      <c r="BN43" s="24">
        <f>(BI43*BK43+BJ43*BL43)*(1+BM43)</f>
        <v>6.6940739999999996</v>
      </c>
    </row>
    <row r="44" spans="1:66" x14ac:dyDescent="0.3">
      <c r="A44" s="244"/>
      <c r="B44" s="11">
        <v>61626100305</v>
      </c>
      <c r="C44" s="7"/>
      <c r="D44" s="31" t="s">
        <v>78</v>
      </c>
      <c r="E44" t="s">
        <v>9</v>
      </c>
      <c r="F44">
        <v>1.48</v>
      </c>
      <c r="G44">
        <v>0.38</v>
      </c>
      <c r="H44">
        <v>1</v>
      </c>
      <c r="I44">
        <v>1</v>
      </c>
      <c r="J44">
        <v>0.215</v>
      </c>
      <c r="K44" s="24">
        <f>(F44*H44+G44*I44)*(1+J44)</f>
        <v>2.2599</v>
      </c>
      <c r="L44" s="244"/>
      <c r="M44" s="66">
        <v>61626100305</v>
      </c>
      <c r="N44" s="79"/>
      <c r="O44" s="31" t="s">
        <v>78</v>
      </c>
      <c r="P44" t="s">
        <v>9</v>
      </c>
      <c r="Q44">
        <v>1.48</v>
      </c>
      <c r="R44">
        <v>0.38</v>
      </c>
      <c r="S44">
        <v>1</v>
      </c>
      <c r="T44">
        <v>1</v>
      </c>
      <c r="U44">
        <v>0.215</v>
      </c>
      <c r="V44" s="24">
        <f>(Q44*S44+R44*T44)*(1+U44)</f>
        <v>2.2599</v>
      </c>
      <c r="W44" s="244"/>
      <c r="X44" s="66">
        <v>61626100305</v>
      </c>
      <c r="Y44" s="79"/>
      <c r="Z44" s="31" t="s">
        <v>78</v>
      </c>
      <c r="AA44" t="s">
        <v>9</v>
      </c>
      <c r="AB44">
        <v>1.48</v>
      </c>
      <c r="AC44">
        <v>0.38</v>
      </c>
      <c r="AD44">
        <v>1</v>
      </c>
      <c r="AE44">
        <v>1</v>
      </c>
      <c r="AF44">
        <v>0.215</v>
      </c>
      <c r="AG44" s="24">
        <f>(AB44*AD44+AC44*AE44)*(1+AF44)</f>
        <v>2.2599</v>
      </c>
      <c r="AH44" s="245"/>
      <c r="AI44" s="66">
        <v>61626100305</v>
      </c>
      <c r="AJ44" s="79"/>
      <c r="AK44" s="31" t="s">
        <v>78</v>
      </c>
      <c r="AL44" t="s">
        <v>9</v>
      </c>
      <c r="AM44">
        <v>1.48</v>
      </c>
      <c r="AN44">
        <v>0.38</v>
      </c>
      <c r="AO44">
        <v>1</v>
      </c>
      <c r="AP44">
        <v>1</v>
      </c>
      <c r="AQ44">
        <v>0.215</v>
      </c>
      <c r="AR44" s="24">
        <f>(AM44*AO44+AN44*AP44)*(1+AQ44)</f>
        <v>2.2599</v>
      </c>
      <c r="AS44" s="246"/>
      <c r="AT44" s="66">
        <v>61626100305</v>
      </c>
      <c r="AU44" s="79"/>
      <c r="AV44" s="31" t="s">
        <v>78</v>
      </c>
      <c r="AW44" t="s">
        <v>9</v>
      </c>
      <c r="AX44">
        <v>1.48</v>
      </c>
      <c r="AY44">
        <v>0.38</v>
      </c>
      <c r="AZ44">
        <v>1</v>
      </c>
      <c r="BA44">
        <v>1</v>
      </c>
      <c r="BB44">
        <v>0.215</v>
      </c>
      <c r="BC44" s="24">
        <f>(AX44*AZ44+AY44*BA44)*(1+BB44)</f>
        <v>2.2599</v>
      </c>
      <c r="BD44" s="246"/>
      <c r="BE44" s="66">
        <v>61626100305</v>
      </c>
      <c r="BF44" s="79"/>
      <c r="BG44" s="31" t="s">
        <v>78</v>
      </c>
      <c r="BH44" t="s">
        <v>9</v>
      </c>
      <c r="BI44">
        <v>1.48</v>
      </c>
      <c r="BJ44">
        <v>0.38</v>
      </c>
      <c r="BK44">
        <v>1</v>
      </c>
      <c r="BL44">
        <v>1</v>
      </c>
      <c r="BM44">
        <v>0.215</v>
      </c>
      <c r="BN44" s="24">
        <f>(BI44*BK44+BJ44*BL44)*(1+BM44)</f>
        <v>2.2599</v>
      </c>
    </row>
    <row r="45" spans="1:66" x14ac:dyDescent="0.3">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3">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3">
      <c r="A47" s="243" t="s">
        <v>104</v>
      </c>
      <c r="B47" s="12">
        <v>76119101008</v>
      </c>
      <c r="C47" s="12">
        <v>7</v>
      </c>
      <c r="D47" s="31" t="s">
        <v>242</v>
      </c>
      <c r="E47" t="s">
        <v>9</v>
      </c>
      <c r="F47">
        <v>11</v>
      </c>
      <c r="G47">
        <v>2.82</v>
      </c>
      <c r="H47">
        <v>1</v>
      </c>
      <c r="I47">
        <v>1</v>
      </c>
      <c r="J47">
        <v>0.20799999999999999</v>
      </c>
      <c r="K47" s="24">
        <f t="shared" ref="K47:K52" si="6">(F47*H47+G47*I47)*(1+J47)</f>
        <v>16.694559999999999</v>
      </c>
      <c r="L47" s="243" t="s">
        <v>104</v>
      </c>
      <c r="M47" s="65">
        <v>76119101008</v>
      </c>
      <c r="N47" s="78">
        <v>7</v>
      </c>
      <c r="O47" s="31" t="s">
        <v>242</v>
      </c>
      <c r="P47" t="s">
        <v>9</v>
      </c>
      <c r="Q47">
        <v>11</v>
      </c>
      <c r="R47">
        <v>2.82</v>
      </c>
      <c r="S47">
        <v>1</v>
      </c>
      <c r="T47">
        <v>1</v>
      </c>
      <c r="U47">
        <v>0.20799999999999999</v>
      </c>
      <c r="V47" s="24">
        <f t="shared" ref="V47:V52" si="7">(Q47*S47+R47*T47)*(1+U47)</f>
        <v>16.694559999999999</v>
      </c>
      <c r="W47" s="243" t="s">
        <v>104</v>
      </c>
      <c r="X47" s="65">
        <v>76119101008</v>
      </c>
      <c r="Y47" s="78">
        <v>7</v>
      </c>
      <c r="Z47" s="31" t="s">
        <v>242</v>
      </c>
      <c r="AA47" t="s">
        <v>9</v>
      </c>
      <c r="AB47">
        <v>11</v>
      </c>
      <c r="AC47">
        <v>2.82</v>
      </c>
      <c r="AD47">
        <v>1</v>
      </c>
      <c r="AE47">
        <v>1</v>
      </c>
      <c r="AF47">
        <v>0.20799999999999999</v>
      </c>
      <c r="AG47" s="24">
        <f t="shared" ref="AG47:AG52" si="8">(AB47*AD47+AC47*AE47)*(1+AF47)</f>
        <v>16.694559999999999</v>
      </c>
      <c r="AH47" s="245"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5"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5"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x14ac:dyDescent="0.3">
      <c r="A48" s="243"/>
      <c r="B48" s="12">
        <v>72510100401</v>
      </c>
      <c r="C48" s="12"/>
      <c r="D48" s="31" t="s">
        <v>98</v>
      </c>
      <c r="E48" t="s">
        <v>9</v>
      </c>
      <c r="F48">
        <v>0.05</v>
      </c>
      <c r="G48">
        <v>0.08</v>
      </c>
      <c r="H48">
        <v>1</v>
      </c>
      <c r="I48">
        <v>1</v>
      </c>
      <c r="J48">
        <v>0.53800000000000003</v>
      </c>
      <c r="K48" s="24">
        <f t="shared" si="6"/>
        <v>0.19994000000000001</v>
      </c>
      <c r="L48" s="243"/>
      <c r="M48" s="65">
        <v>72510100401</v>
      </c>
      <c r="N48" s="78"/>
      <c r="O48" s="31" t="s">
        <v>98</v>
      </c>
      <c r="P48" t="s">
        <v>9</v>
      </c>
      <c r="Q48">
        <v>0.05</v>
      </c>
      <c r="R48">
        <v>0.08</v>
      </c>
      <c r="S48">
        <v>1</v>
      </c>
      <c r="T48">
        <v>1</v>
      </c>
      <c r="U48">
        <v>0.53800000000000003</v>
      </c>
      <c r="V48" s="24">
        <f t="shared" si="7"/>
        <v>0.19994000000000001</v>
      </c>
      <c r="W48" s="243"/>
      <c r="X48" s="65">
        <v>72510100401</v>
      </c>
      <c r="Y48" s="78"/>
      <c r="Z48" s="31" t="s">
        <v>98</v>
      </c>
      <c r="AA48" t="s">
        <v>9</v>
      </c>
      <c r="AB48">
        <v>0.05</v>
      </c>
      <c r="AC48">
        <v>0.08</v>
      </c>
      <c r="AD48">
        <v>1</v>
      </c>
      <c r="AE48">
        <v>1</v>
      </c>
      <c r="AF48">
        <v>0.53800000000000003</v>
      </c>
      <c r="AG48" s="24">
        <f t="shared" si="8"/>
        <v>0.19994000000000001</v>
      </c>
      <c r="AH48" s="245"/>
      <c r="AI48" s="65">
        <v>72510100401</v>
      </c>
      <c r="AJ48" s="78"/>
      <c r="AK48" s="31" t="s">
        <v>98</v>
      </c>
      <c r="AL48" t="s">
        <v>9</v>
      </c>
      <c r="AM48">
        <v>0.05</v>
      </c>
      <c r="AN48">
        <v>0.08</v>
      </c>
      <c r="AO48">
        <v>1</v>
      </c>
      <c r="AP48">
        <v>1</v>
      </c>
      <c r="AQ48">
        <v>0.53800000000000003</v>
      </c>
      <c r="AR48" s="24">
        <f t="shared" si="9"/>
        <v>0.19994000000000001</v>
      </c>
      <c r="AS48" s="245"/>
      <c r="AT48" s="65">
        <v>72510100401</v>
      </c>
      <c r="AU48" s="78"/>
      <c r="AV48" s="31" t="s">
        <v>98</v>
      </c>
      <c r="AW48" t="s">
        <v>9</v>
      </c>
      <c r="AX48">
        <v>0.05</v>
      </c>
      <c r="AY48">
        <v>0.08</v>
      </c>
      <c r="AZ48">
        <v>1</v>
      </c>
      <c r="BA48">
        <v>1</v>
      </c>
      <c r="BB48">
        <v>0.53800000000000003</v>
      </c>
      <c r="BC48" s="24">
        <f t="shared" si="10"/>
        <v>0.19994000000000001</v>
      </c>
      <c r="BD48" s="245"/>
      <c r="BE48" s="65">
        <v>72510100401</v>
      </c>
      <c r="BF48" s="78"/>
      <c r="BG48" s="31" t="s">
        <v>98</v>
      </c>
      <c r="BH48" t="s">
        <v>9</v>
      </c>
      <c r="BI48">
        <v>0.05</v>
      </c>
      <c r="BJ48">
        <v>0.08</v>
      </c>
      <c r="BK48">
        <v>1</v>
      </c>
      <c r="BL48">
        <v>1</v>
      </c>
      <c r="BM48">
        <v>0.53800000000000003</v>
      </c>
      <c r="BN48" s="24">
        <f t="shared" si="11"/>
        <v>0.19994000000000001</v>
      </c>
    </row>
    <row r="49" spans="1:66" x14ac:dyDescent="0.3">
      <c r="A49" s="244"/>
      <c r="B49" s="13">
        <v>61626100105</v>
      </c>
      <c r="C49" s="13"/>
      <c r="D49" s="31" t="s">
        <v>74</v>
      </c>
      <c r="E49" t="s">
        <v>9</v>
      </c>
      <c r="F49">
        <v>1.17</v>
      </c>
      <c r="G49">
        <v>0.34</v>
      </c>
      <c r="H49">
        <v>1</v>
      </c>
      <c r="I49">
        <v>1</v>
      </c>
      <c r="J49">
        <v>0.22500000000000001</v>
      </c>
      <c r="K49" s="24">
        <f t="shared" si="6"/>
        <v>1.8497500000000002</v>
      </c>
      <c r="L49" s="244"/>
      <c r="M49" s="66">
        <v>61626100105</v>
      </c>
      <c r="N49" s="79"/>
      <c r="O49" s="31" t="s">
        <v>74</v>
      </c>
      <c r="P49" t="s">
        <v>9</v>
      </c>
      <c r="Q49">
        <v>1.17</v>
      </c>
      <c r="R49">
        <v>0.34</v>
      </c>
      <c r="S49">
        <v>1</v>
      </c>
      <c r="T49">
        <v>1</v>
      </c>
      <c r="U49">
        <v>0.22500000000000001</v>
      </c>
      <c r="V49" s="24">
        <f t="shared" si="7"/>
        <v>1.8497500000000002</v>
      </c>
      <c r="W49" s="244"/>
      <c r="X49" s="66">
        <v>61626100105</v>
      </c>
      <c r="Y49" s="79"/>
      <c r="Z49" s="31" t="s">
        <v>74</v>
      </c>
      <c r="AA49" t="s">
        <v>9</v>
      </c>
      <c r="AB49">
        <v>1.17</v>
      </c>
      <c r="AC49">
        <v>0.34</v>
      </c>
      <c r="AD49">
        <v>1</v>
      </c>
      <c r="AE49">
        <v>1</v>
      </c>
      <c r="AF49">
        <v>0.22500000000000001</v>
      </c>
      <c r="AG49" s="24">
        <f t="shared" si="8"/>
        <v>1.8497500000000002</v>
      </c>
      <c r="AH49" s="245"/>
      <c r="AI49" s="66">
        <v>61626100105</v>
      </c>
      <c r="AJ49" s="79"/>
      <c r="AK49" s="31" t="s">
        <v>74</v>
      </c>
      <c r="AL49" t="s">
        <v>9</v>
      </c>
      <c r="AM49">
        <v>1.17</v>
      </c>
      <c r="AN49">
        <v>0.34</v>
      </c>
      <c r="AO49">
        <v>1</v>
      </c>
      <c r="AP49">
        <v>1</v>
      </c>
      <c r="AQ49">
        <v>0.22500000000000001</v>
      </c>
      <c r="AR49" s="24">
        <f t="shared" si="9"/>
        <v>1.8497500000000002</v>
      </c>
      <c r="AS49" s="246"/>
      <c r="AT49" s="66">
        <v>61626100105</v>
      </c>
      <c r="AU49" s="79"/>
      <c r="AV49" s="31" t="s">
        <v>74</v>
      </c>
      <c r="AW49" t="s">
        <v>9</v>
      </c>
      <c r="AX49">
        <v>1.17</v>
      </c>
      <c r="AY49">
        <v>0.34</v>
      </c>
      <c r="AZ49">
        <v>1</v>
      </c>
      <c r="BA49">
        <v>1</v>
      </c>
      <c r="BB49">
        <v>0.22500000000000001</v>
      </c>
      <c r="BC49" s="24">
        <f t="shared" si="10"/>
        <v>1.8497500000000002</v>
      </c>
      <c r="BD49" s="246"/>
      <c r="BE49" s="66">
        <v>61626100105</v>
      </c>
      <c r="BF49" s="79"/>
      <c r="BG49" s="31" t="s">
        <v>74</v>
      </c>
      <c r="BH49" t="s">
        <v>9</v>
      </c>
      <c r="BI49">
        <v>1.17</v>
      </c>
      <c r="BJ49">
        <v>0.34</v>
      </c>
      <c r="BK49">
        <v>1</v>
      </c>
      <c r="BL49">
        <v>1</v>
      </c>
      <c r="BM49">
        <v>0.22500000000000001</v>
      </c>
      <c r="BN49" s="24">
        <f t="shared" si="11"/>
        <v>1.8497500000000002</v>
      </c>
    </row>
    <row r="50" spans="1:66" ht="28.8" x14ac:dyDescent="0.3">
      <c r="A50" s="244"/>
      <c r="B50" s="13">
        <v>72116102210</v>
      </c>
      <c r="C50" s="13"/>
      <c r="D50" s="31" t="s">
        <v>141</v>
      </c>
      <c r="E50" t="s">
        <v>9</v>
      </c>
      <c r="F50">
        <v>0.73</v>
      </c>
      <c r="G50">
        <v>0.6</v>
      </c>
      <c r="H50">
        <v>1</v>
      </c>
      <c r="I50">
        <v>1</v>
      </c>
      <c r="J50">
        <v>0.36</v>
      </c>
      <c r="K50" s="24">
        <f t="shared" si="6"/>
        <v>1.8088</v>
      </c>
      <c r="L50" s="244"/>
      <c r="M50" s="21">
        <v>72116102220</v>
      </c>
      <c r="N50" s="79"/>
      <c r="O50" s="31" t="s">
        <v>143</v>
      </c>
      <c r="P50" t="s">
        <v>9</v>
      </c>
      <c r="Q50">
        <v>1.05</v>
      </c>
      <c r="R50">
        <v>0.64</v>
      </c>
      <c r="S50">
        <v>1</v>
      </c>
      <c r="T50">
        <v>1</v>
      </c>
      <c r="U50">
        <v>0.312</v>
      </c>
      <c r="V50" s="24">
        <f t="shared" si="7"/>
        <v>2.2172800000000001</v>
      </c>
      <c r="W50" s="244"/>
      <c r="X50" s="66">
        <v>72116102220</v>
      </c>
      <c r="Y50" s="79"/>
      <c r="Z50" s="31" t="s">
        <v>143</v>
      </c>
      <c r="AA50" t="s">
        <v>9</v>
      </c>
      <c r="AB50">
        <v>1.05</v>
      </c>
      <c r="AC50">
        <v>0.64</v>
      </c>
      <c r="AD50">
        <v>1</v>
      </c>
      <c r="AE50">
        <v>1</v>
      </c>
      <c r="AF50">
        <v>0.312</v>
      </c>
      <c r="AG50" s="24">
        <f t="shared" si="8"/>
        <v>2.2172800000000001</v>
      </c>
      <c r="AH50" s="245"/>
      <c r="AI50" s="38" t="s">
        <v>125</v>
      </c>
      <c r="AJ50" s="79"/>
      <c r="AK50" s="36" t="s">
        <v>163</v>
      </c>
      <c r="AL50" s="19" t="s">
        <v>9</v>
      </c>
      <c r="AM50" s="19">
        <v>0.68</v>
      </c>
      <c r="AN50" s="19">
        <v>0.63</v>
      </c>
      <c r="AO50">
        <v>1</v>
      </c>
      <c r="AP50">
        <v>1</v>
      </c>
      <c r="AQ50">
        <v>0.30499999999999999</v>
      </c>
      <c r="AR50" s="24">
        <f t="shared" si="9"/>
        <v>1.7095499999999999</v>
      </c>
      <c r="AS50" s="246"/>
      <c r="AT50" s="38" t="s">
        <v>125</v>
      </c>
      <c r="AU50" s="79"/>
      <c r="AV50" s="36" t="s">
        <v>163</v>
      </c>
      <c r="AW50" s="19" t="s">
        <v>9</v>
      </c>
      <c r="AX50" s="19">
        <v>0.68</v>
      </c>
      <c r="AY50" s="19">
        <v>1.08</v>
      </c>
      <c r="AZ50">
        <v>1</v>
      </c>
      <c r="BA50">
        <v>1</v>
      </c>
      <c r="BB50">
        <v>0.30499999999999999</v>
      </c>
      <c r="BC50" s="24">
        <f t="shared" si="10"/>
        <v>2.2968000000000002</v>
      </c>
      <c r="BD50" s="246"/>
      <c r="BE50" s="38" t="s">
        <v>126</v>
      </c>
      <c r="BF50" s="79"/>
      <c r="BG50" s="36" t="s">
        <v>164</v>
      </c>
      <c r="BH50" s="19" t="s">
        <v>9</v>
      </c>
      <c r="BI50" s="19">
        <v>0.89</v>
      </c>
      <c r="BJ50" s="19">
        <v>1.23</v>
      </c>
      <c r="BK50">
        <v>1</v>
      </c>
      <c r="BL50">
        <v>1</v>
      </c>
      <c r="BM50">
        <v>0.31</v>
      </c>
      <c r="BN50" s="24">
        <f t="shared" si="11"/>
        <v>2.7772000000000001</v>
      </c>
    </row>
    <row r="51" spans="1:66" x14ac:dyDescent="0.3">
      <c r="A51" s="244"/>
      <c r="B51" s="13">
        <v>72610100700</v>
      </c>
      <c r="C51" s="13"/>
      <c r="D51" s="31" t="s">
        <v>12</v>
      </c>
      <c r="E51" t="s">
        <v>9</v>
      </c>
      <c r="F51">
        <v>2.5000000000000001E-2</v>
      </c>
      <c r="G51">
        <v>8.2000000000000003E-2</v>
      </c>
      <c r="H51">
        <v>1</v>
      </c>
      <c r="I51">
        <v>1</v>
      </c>
      <c r="J51">
        <v>0.54300000000000004</v>
      </c>
      <c r="K51" s="24">
        <f t="shared" si="6"/>
        <v>0.16510100000000003</v>
      </c>
      <c r="L51" s="244"/>
      <c r="M51" s="66">
        <v>72610100700</v>
      </c>
      <c r="N51" s="79"/>
      <c r="O51" s="31" t="s">
        <v>12</v>
      </c>
      <c r="P51" t="s">
        <v>9</v>
      </c>
      <c r="Q51">
        <v>2.5000000000000001E-2</v>
      </c>
      <c r="R51">
        <v>8.2000000000000003E-2</v>
      </c>
      <c r="S51">
        <v>1</v>
      </c>
      <c r="T51">
        <v>1</v>
      </c>
      <c r="U51">
        <v>0.54300000000000004</v>
      </c>
      <c r="V51" s="24">
        <f t="shared" si="7"/>
        <v>0.16510100000000003</v>
      </c>
      <c r="W51" s="244"/>
      <c r="X51" s="66">
        <v>72610100700</v>
      </c>
      <c r="Y51" s="79"/>
      <c r="Z51" s="31" t="s">
        <v>12</v>
      </c>
      <c r="AA51" t="s">
        <v>9</v>
      </c>
      <c r="AB51">
        <v>2.5000000000000001E-2</v>
      </c>
      <c r="AC51">
        <v>8.2000000000000003E-2</v>
      </c>
      <c r="AD51">
        <v>1</v>
      </c>
      <c r="AE51">
        <v>1</v>
      </c>
      <c r="AF51">
        <v>0.54300000000000004</v>
      </c>
      <c r="AG51" s="24">
        <f t="shared" si="8"/>
        <v>0.16510100000000003</v>
      </c>
      <c r="AH51" s="245"/>
      <c r="AI51" s="66">
        <v>72610100700</v>
      </c>
      <c r="AJ51" s="79"/>
      <c r="AK51" s="31" t="s">
        <v>12</v>
      </c>
      <c r="AL51" t="s">
        <v>9</v>
      </c>
      <c r="AM51">
        <v>2.5000000000000001E-2</v>
      </c>
      <c r="AN51">
        <v>8.2000000000000003E-2</v>
      </c>
      <c r="AO51">
        <v>1</v>
      </c>
      <c r="AP51">
        <v>1</v>
      </c>
      <c r="AQ51">
        <v>0.54300000000000004</v>
      </c>
      <c r="AR51" s="24">
        <f t="shared" si="9"/>
        <v>0.16510100000000003</v>
      </c>
      <c r="AS51" s="246"/>
      <c r="AT51" s="66">
        <v>72610100700</v>
      </c>
      <c r="AU51" s="79"/>
      <c r="AV51" s="31" t="s">
        <v>12</v>
      </c>
      <c r="AW51" t="s">
        <v>9</v>
      </c>
      <c r="AX51">
        <v>2.5000000000000001E-2</v>
      </c>
      <c r="AY51">
        <v>8.2000000000000003E-2</v>
      </c>
      <c r="AZ51">
        <v>1</v>
      </c>
      <c r="BA51">
        <v>1</v>
      </c>
      <c r="BB51">
        <v>0.54300000000000004</v>
      </c>
      <c r="BC51" s="24">
        <f t="shared" si="10"/>
        <v>0.16510100000000003</v>
      </c>
      <c r="BD51" s="246"/>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x14ac:dyDescent="0.3">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x14ac:dyDescent="0.3">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x14ac:dyDescent="0.3">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3">
      <c r="A55" s="243" t="s">
        <v>105</v>
      </c>
      <c r="B55" s="12">
        <v>73113100500</v>
      </c>
      <c r="C55" s="12">
        <v>8</v>
      </c>
      <c r="D55" s="31" t="s">
        <v>241</v>
      </c>
      <c r="E55" t="s">
        <v>9</v>
      </c>
      <c r="F55">
        <v>2.41</v>
      </c>
      <c r="G55">
        <v>0.85499999999999998</v>
      </c>
      <c r="H55">
        <v>1</v>
      </c>
      <c r="I55">
        <v>1</v>
      </c>
      <c r="J55">
        <v>0.3</v>
      </c>
      <c r="K55" s="24">
        <f t="shared" ref="K55:K60" si="12">(F55*H55+G55*I55)*(1+J55)</f>
        <v>4.2445000000000004</v>
      </c>
      <c r="L55" s="243" t="s">
        <v>105</v>
      </c>
      <c r="M55" s="65">
        <v>73113100500</v>
      </c>
      <c r="N55" s="78">
        <v>8</v>
      </c>
      <c r="O55" s="31" t="s">
        <v>241</v>
      </c>
      <c r="P55" t="s">
        <v>9</v>
      </c>
      <c r="Q55">
        <v>2.41</v>
      </c>
      <c r="R55">
        <v>0.85499999999999998</v>
      </c>
      <c r="S55">
        <v>1</v>
      </c>
      <c r="T55">
        <v>1</v>
      </c>
      <c r="U55">
        <v>0.3</v>
      </c>
      <c r="V55" s="24">
        <f t="shared" ref="V55:V60" si="13">(Q55*S55+R55*T55)*(1+U55)</f>
        <v>4.2445000000000004</v>
      </c>
      <c r="W55" s="243" t="s">
        <v>105</v>
      </c>
      <c r="X55" s="65">
        <v>73113100500</v>
      </c>
      <c r="Y55" s="78">
        <v>8</v>
      </c>
      <c r="Z55" s="31" t="s">
        <v>241</v>
      </c>
      <c r="AA55" t="s">
        <v>9</v>
      </c>
      <c r="AB55">
        <v>2.41</v>
      </c>
      <c r="AC55">
        <v>0.85499999999999998</v>
      </c>
      <c r="AD55">
        <v>1</v>
      </c>
      <c r="AE55">
        <v>1</v>
      </c>
      <c r="AF55">
        <v>0.3</v>
      </c>
      <c r="AG55" s="24">
        <f t="shared" ref="AG55:AG60" si="14">(AB55*AD55+AC55*AE55)*(1+AF55)</f>
        <v>4.2445000000000004</v>
      </c>
      <c r="AH55" s="245"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5"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5" t="s">
        <v>105</v>
      </c>
      <c r="BE55" s="65">
        <v>73113100500</v>
      </c>
      <c r="BF55" s="78">
        <v>8</v>
      </c>
      <c r="BG55" s="31" t="s">
        <v>241</v>
      </c>
      <c r="BH55" t="s">
        <v>9</v>
      </c>
      <c r="BI55">
        <v>2.41</v>
      </c>
      <c r="BJ55">
        <v>0.85499999999999998</v>
      </c>
      <c r="BK55">
        <v>1</v>
      </c>
      <c r="BL55">
        <v>1</v>
      </c>
      <c r="BM55">
        <v>0.3</v>
      </c>
      <c r="BN55" s="24">
        <f>(BI55*BK55+BJ55*BL55)*(1+BM55)</f>
        <v>4.2445000000000004</v>
      </c>
    </row>
    <row r="56" spans="1:66" x14ac:dyDescent="0.3">
      <c r="A56" s="243"/>
      <c r="B56" s="65">
        <v>72510100401</v>
      </c>
      <c r="C56" s="65"/>
      <c r="D56" s="31" t="s">
        <v>98</v>
      </c>
      <c r="E56" t="s">
        <v>9</v>
      </c>
      <c r="F56">
        <v>0.05</v>
      </c>
      <c r="G56">
        <v>0.08</v>
      </c>
      <c r="H56">
        <v>1</v>
      </c>
      <c r="I56">
        <v>1</v>
      </c>
      <c r="J56">
        <v>0.53800000000000003</v>
      </c>
      <c r="K56" s="24">
        <f t="shared" si="12"/>
        <v>0.19994000000000001</v>
      </c>
      <c r="L56" s="243"/>
      <c r="M56" s="65">
        <v>72510100401</v>
      </c>
      <c r="N56" s="78"/>
      <c r="O56" s="31" t="s">
        <v>98</v>
      </c>
      <c r="P56" t="s">
        <v>9</v>
      </c>
      <c r="Q56">
        <v>0.05</v>
      </c>
      <c r="R56">
        <v>0.08</v>
      </c>
      <c r="S56">
        <v>1</v>
      </c>
      <c r="T56">
        <v>1</v>
      </c>
      <c r="U56">
        <v>0.53800000000000003</v>
      </c>
      <c r="V56" s="24">
        <f t="shared" si="13"/>
        <v>0.19994000000000001</v>
      </c>
      <c r="W56" s="243"/>
      <c r="X56" s="65">
        <v>72510100401</v>
      </c>
      <c r="Y56" s="78"/>
      <c r="Z56" s="31" t="s">
        <v>98</v>
      </c>
      <c r="AA56" t="s">
        <v>9</v>
      </c>
      <c r="AB56">
        <v>0.05</v>
      </c>
      <c r="AC56">
        <v>0.08</v>
      </c>
      <c r="AD56">
        <v>1</v>
      </c>
      <c r="AE56">
        <v>1</v>
      </c>
      <c r="AF56">
        <v>0.53800000000000003</v>
      </c>
      <c r="AG56" s="24">
        <f t="shared" si="14"/>
        <v>0.19994000000000001</v>
      </c>
      <c r="AH56" s="245"/>
      <c r="AI56" s="65">
        <v>72510100401</v>
      </c>
      <c r="AJ56" s="78"/>
      <c r="AK56" s="31" t="s">
        <v>98</v>
      </c>
      <c r="AL56" t="s">
        <v>9</v>
      </c>
      <c r="AM56">
        <v>0.05</v>
      </c>
      <c r="AN56">
        <v>0.08</v>
      </c>
      <c r="AO56">
        <v>1</v>
      </c>
      <c r="AP56">
        <v>1</v>
      </c>
      <c r="AQ56">
        <v>0.53800000000000003</v>
      </c>
      <c r="AR56" s="24">
        <f t="shared" si="15"/>
        <v>0.19994000000000001</v>
      </c>
      <c r="AS56" s="245"/>
      <c r="AT56" s="65">
        <v>72510100401</v>
      </c>
      <c r="AU56" s="78"/>
      <c r="AV56" s="31" t="s">
        <v>98</v>
      </c>
      <c r="AW56" t="s">
        <v>9</v>
      </c>
      <c r="AX56">
        <v>0.05</v>
      </c>
      <c r="AY56">
        <v>0.08</v>
      </c>
      <c r="AZ56">
        <v>1</v>
      </c>
      <c r="BA56">
        <v>1</v>
      </c>
      <c r="BB56">
        <v>0.53800000000000003</v>
      </c>
      <c r="BC56" s="24">
        <f t="shared" si="16"/>
        <v>0.19994000000000001</v>
      </c>
      <c r="BD56" s="245"/>
      <c r="BE56" s="65">
        <v>72510100401</v>
      </c>
      <c r="BF56" s="78"/>
      <c r="BG56" s="31" t="s">
        <v>98</v>
      </c>
      <c r="BH56" t="s">
        <v>9</v>
      </c>
      <c r="BI56">
        <v>0.05</v>
      </c>
      <c r="BJ56">
        <v>0.08</v>
      </c>
      <c r="BK56">
        <v>1</v>
      </c>
      <c r="BL56">
        <v>1</v>
      </c>
      <c r="BM56">
        <v>0.53800000000000003</v>
      </c>
      <c r="BN56" s="24">
        <f>(BI56*BK56+BJ56*BL56)*(1+BM56)</f>
        <v>0.19994000000000001</v>
      </c>
    </row>
    <row r="57" spans="1:66" x14ac:dyDescent="0.3">
      <c r="A57" s="244"/>
      <c r="B57" s="13">
        <v>61626100105</v>
      </c>
      <c r="C57" s="13"/>
      <c r="D57" s="31" t="s">
        <v>74</v>
      </c>
      <c r="E57" t="s">
        <v>9</v>
      </c>
      <c r="F57">
        <v>1.17</v>
      </c>
      <c r="G57">
        <v>0.34</v>
      </c>
      <c r="H57">
        <v>1</v>
      </c>
      <c r="I57">
        <v>1</v>
      </c>
      <c r="J57">
        <v>0.22500000000000001</v>
      </c>
      <c r="K57" s="24">
        <f t="shared" si="12"/>
        <v>1.8497500000000002</v>
      </c>
      <c r="L57" s="244"/>
      <c r="M57" s="66">
        <v>61626100105</v>
      </c>
      <c r="N57" s="79"/>
      <c r="O57" s="31" t="s">
        <v>74</v>
      </c>
      <c r="P57" t="s">
        <v>9</v>
      </c>
      <c r="Q57">
        <v>1.17</v>
      </c>
      <c r="R57">
        <v>0.34</v>
      </c>
      <c r="S57">
        <v>1</v>
      </c>
      <c r="T57">
        <v>1</v>
      </c>
      <c r="U57">
        <v>0.22500000000000001</v>
      </c>
      <c r="V57" s="24">
        <f t="shared" si="13"/>
        <v>1.8497500000000002</v>
      </c>
      <c r="W57" s="244"/>
      <c r="X57" s="66">
        <v>61626100105</v>
      </c>
      <c r="Y57" s="79"/>
      <c r="Z57" s="31" t="s">
        <v>74</v>
      </c>
      <c r="AA57" t="s">
        <v>9</v>
      </c>
      <c r="AB57">
        <v>1.17</v>
      </c>
      <c r="AC57">
        <v>0.34</v>
      </c>
      <c r="AD57">
        <v>1</v>
      </c>
      <c r="AE57">
        <v>1</v>
      </c>
      <c r="AF57">
        <v>0.22500000000000001</v>
      </c>
      <c r="AG57" s="24">
        <f t="shared" si="14"/>
        <v>1.8497500000000002</v>
      </c>
      <c r="AH57" s="245"/>
      <c r="AI57" s="66">
        <v>61626100105</v>
      </c>
      <c r="AJ57" s="79"/>
      <c r="AK57" s="31" t="s">
        <v>74</v>
      </c>
      <c r="AL57" t="s">
        <v>9</v>
      </c>
      <c r="AM57">
        <v>1.17</v>
      </c>
      <c r="AN57">
        <v>0.34</v>
      </c>
      <c r="AO57">
        <v>1</v>
      </c>
      <c r="AP57">
        <v>1</v>
      </c>
      <c r="AQ57">
        <v>0.22500000000000001</v>
      </c>
      <c r="AR57" s="24">
        <f t="shared" si="15"/>
        <v>1.8497500000000002</v>
      </c>
      <c r="AS57" s="246"/>
      <c r="AT57" s="66">
        <v>61626100105</v>
      </c>
      <c r="AU57" s="79"/>
      <c r="AV57" s="31" t="s">
        <v>74</v>
      </c>
      <c r="AW57" t="s">
        <v>9</v>
      </c>
      <c r="AX57">
        <v>1.17</v>
      </c>
      <c r="AY57">
        <v>0.34</v>
      </c>
      <c r="AZ57">
        <v>1</v>
      </c>
      <c r="BA57">
        <v>1</v>
      </c>
      <c r="BB57">
        <v>0.22500000000000001</v>
      </c>
      <c r="BC57" s="24">
        <f t="shared" si="16"/>
        <v>1.8497500000000002</v>
      </c>
      <c r="BD57" s="246"/>
      <c r="BE57" s="66">
        <v>61626100105</v>
      </c>
      <c r="BF57" s="79"/>
      <c r="BG57" s="31" t="s">
        <v>74</v>
      </c>
      <c r="BH57" t="s">
        <v>9</v>
      </c>
      <c r="BI57">
        <v>1.17</v>
      </c>
      <c r="BJ57">
        <v>0.34</v>
      </c>
      <c r="BK57">
        <v>1</v>
      </c>
      <c r="BL57">
        <v>1</v>
      </c>
      <c r="BM57">
        <v>0.22500000000000001</v>
      </c>
      <c r="BN57" s="24">
        <f>(BI57*BK57+BJ57*BL57)*(1+BM57)</f>
        <v>1.8497500000000002</v>
      </c>
    </row>
    <row r="58" spans="1:66" ht="28.8" x14ac:dyDescent="0.3">
      <c r="A58" s="244"/>
      <c r="B58" s="21">
        <v>72116102210</v>
      </c>
      <c r="C58" s="21"/>
      <c r="D58" s="31" t="s">
        <v>141</v>
      </c>
      <c r="E58" t="s">
        <v>9</v>
      </c>
      <c r="F58">
        <v>0.73</v>
      </c>
      <c r="G58">
        <v>0.6</v>
      </c>
      <c r="H58">
        <v>1</v>
      </c>
      <c r="I58">
        <v>1</v>
      </c>
      <c r="J58">
        <v>0.36</v>
      </c>
      <c r="K58" s="24">
        <f t="shared" si="12"/>
        <v>1.8088</v>
      </c>
      <c r="L58" s="244"/>
      <c r="M58" s="21">
        <v>72116102220</v>
      </c>
      <c r="N58" s="79"/>
      <c r="O58" s="31" t="s">
        <v>143</v>
      </c>
      <c r="P58" t="s">
        <v>9</v>
      </c>
      <c r="Q58">
        <v>1.05</v>
      </c>
      <c r="R58">
        <v>0.64</v>
      </c>
      <c r="S58">
        <v>1</v>
      </c>
      <c r="T58">
        <v>1</v>
      </c>
      <c r="U58">
        <v>0.312</v>
      </c>
      <c r="V58" s="24">
        <f t="shared" si="13"/>
        <v>2.2172800000000001</v>
      </c>
      <c r="W58" s="244"/>
      <c r="X58" s="66">
        <v>72116102220</v>
      </c>
      <c r="Y58" s="79"/>
      <c r="Z58" s="31" t="s">
        <v>143</v>
      </c>
      <c r="AA58" t="s">
        <v>9</v>
      </c>
      <c r="AB58">
        <v>1.05</v>
      </c>
      <c r="AC58">
        <v>0.64</v>
      </c>
      <c r="AD58">
        <v>1</v>
      </c>
      <c r="AE58">
        <v>1</v>
      </c>
      <c r="AF58">
        <v>0.312</v>
      </c>
      <c r="AG58" s="24">
        <f t="shared" si="14"/>
        <v>2.2172800000000001</v>
      </c>
      <c r="AH58" s="245"/>
      <c r="AI58" s="38" t="s">
        <v>125</v>
      </c>
      <c r="AJ58" s="79"/>
      <c r="AK58" s="36" t="s">
        <v>163</v>
      </c>
      <c r="AL58" s="19" t="s">
        <v>9</v>
      </c>
      <c r="AM58" s="19">
        <v>0.68</v>
      </c>
      <c r="AN58" s="19">
        <v>1.08</v>
      </c>
      <c r="AO58">
        <v>1</v>
      </c>
      <c r="AP58">
        <v>1</v>
      </c>
      <c r="AQ58">
        <v>0.30499999999999999</v>
      </c>
      <c r="AR58" s="24">
        <f t="shared" si="15"/>
        <v>2.2968000000000002</v>
      </c>
      <c r="AS58" s="246"/>
      <c r="AT58" s="38" t="s">
        <v>125</v>
      </c>
      <c r="AU58" s="79"/>
      <c r="AV58" s="36" t="s">
        <v>163</v>
      </c>
      <c r="AW58" s="19" t="s">
        <v>9</v>
      </c>
      <c r="AX58" s="19">
        <v>0.68</v>
      </c>
      <c r="AY58" s="19">
        <v>1.08</v>
      </c>
      <c r="AZ58">
        <v>1</v>
      </c>
      <c r="BA58">
        <v>1</v>
      </c>
      <c r="BB58">
        <v>0.30499999999999999</v>
      </c>
      <c r="BC58" s="24">
        <f t="shared" si="16"/>
        <v>2.2968000000000002</v>
      </c>
      <c r="BD58" s="246"/>
      <c r="BE58" s="38" t="s">
        <v>126</v>
      </c>
      <c r="BF58" s="79"/>
      <c r="BG58" s="36" t="s">
        <v>164</v>
      </c>
      <c r="BH58" s="19" t="s">
        <v>9</v>
      </c>
      <c r="BI58" s="19">
        <v>0.89</v>
      </c>
      <c r="BJ58" s="19">
        <v>1.23</v>
      </c>
      <c r="BK58">
        <v>1</v>
      </c>
      <c r="BL58">
        <v>1</v>
      </c>
      <c r="BM58">
        <v>0.31</v>
      </c>
      <c r="BN58" s="24">
        <f>(BI58*BK58+BJ58*BL58)*(1+BM58)</f>
        <v>2.7772000000000001</v>
      </c>
    </row>
    <row r="59" spans="1:66" x14ac:dyDescent="0.3">
      <c r="A59" s="244"/>
      <c r="B59" s="66">
        <v>72610100700</v>
      </c>
      <c r="C59" s="66"/>
      <c r="D59" s="31" t="s">
        <v>12</v>
      </c>
      <c r="E59" t="s">
        <v>9</v>
      </c>
      <c r="F59">
        <v>2.5000000000000001E-2</v>
      </c>
      <c r="G59">
        <v>8.2000000000000003E-2</v>
      </c>
      <c r="H59">
        <v>1</v>
      </c>
      <c r="I59">
        <v>1</v>
      </c>
      <c r="J59">
        <v>0.54300000000000004</v>
      </c>
      <c r="K59" s="24">
        <f t="shared" si="12"/>
        <v>0.16510100000000003</v>
      </c>
      <c r="L59" s="244"/>
      <c r="M59" s="66">
        <v>72610100700</v>
      </c>
      <c r="N59" s="79"/>
      <c r="O59" s="31" t="s">
        <v>12</v>
      </c>
      <c r="P59" t="s">
        <v>9</v>
      </c>
      <c r="Q59">
        <v>2.5000000000000001E-2</v>
      </c>
      <c r="R59">
        <v>8.2000000000000003E-2</v>
      </c>
      <c r="S59">
        <v>1</v>
      </c>
      <c r="T59">
        <v>1</v>
      </c>
      <c r="U59">
        <v>0.54300000000000004</v>
      </c>
      <c r="V59" s="24">
        <f t="shared" si="13"/>
        <v>0.16510100000000003</v>
      </c>
      <c r="W59" s="244"/>
      <c r="X59" s="66">
        <v>72610100700</v>
      </c>
      <c r="Y59" s="79"/>
      <c r="Z59" s="31" t="s">
        <v>12</v>
      </c>
      <c r="AA59" t="s">
        <v>9</v>
      </c>
      <c r="AB59">
        <v>2.5000000000000001E-2</v>
      </c>
      <c r="AC59">
        <v>8.2000000000000003E-2</v>
      </c>
      <c r="AD59">
        <v>1</v>
      </c>
      <c r="AE59">
        <v>1</v>
      </c>
      <c r="AF59">
        <v>0.54300000000000004</v>
      </c>
      <c r="AG59" s="24">
        <f t="shared" si="14"/>
        <v>0.16510100000000003</v>
      </c>
      <c r="AH59" s="245"/>
      <c r="AI59" s="66">
        <v>72610100700</v>
      </c>
      <c r="AJ59" s="79"/>
      <c r="AK59" s="31" t="s">
        <v>12</v>
      </c>
      <c r="AL59" t="s">
        <v>9</v>
      </c>
      <c r="AM59">
        <v>2.5000000000000001E-2</v>
      </c>
      <c r="AN59">
        <v>8.2000000000000003E-2</v>
      </c>
      <c r="AO59">
        <v>1</v>
      </c>
      <c r="AP59">
        <v>1</v>
      </c>
      <c r="AQ59">
        <v>0.54300000000000004</v>
      </c>
      <c r="AR59" s="24">
        <f t="shared" si="15"/>
        <v>0.16510100000000003</v>
      </c>
      <c r="AS59" s="246"/>
      <c r="AT59" s="66">
        <v>72610100700</v>
      </c>
      <c r="AU59" s="79"/>
      <c r="AV59" s="31" t="s">
        <v>12</v>
      </c>
      <c r="AW59" t="s">
        <v>9</v>
      </c>
      <c r="AX59">
        <v>2.5000000000000001E-2</v>
      </c>
      <c r="AY59">
        <v>8.2000000000000003E-2</v>
      </c>
      <c r="AZ59">
        <v>1</v>
      </c>
      <c r="BA59">
        <v>1</v>
      </c>
      <c r="BB59">
        <v>0.54300000000000004</v>
      </c>
      <c r="BC59" s="24">
        <f t="shared" si="16"/>
        <v>0.16510100000000003</v>
      </c>
      <c r="BD59" s="246"/>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x14ac:dyDescent="0.3">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x14ac:dyDescent="0.3">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x14ac:dyDescent="0.3">
      <c r="AH62" s="19"/>
      <c r="AI62" s="19"/>
      <c r="AK62" s="36"/>
      <c r="AL62" s="19"/>
      <c r="AM62" s="19"/>
      <c r="AN62" s="19"/>
    </row>
    <row r="63" spans="1:66" x14ac:dyDescent="0.3">
      <c r="AH63" s="19"/>
      <c r="AI63" s="19"/>
      <c r="AK63" s="36"/>
      <c r="AL63" s="19"/>
      <c r="AM63" s="19"/>
      <c r="AN63" s="19"/>
    </row>
    <row r="64" spans="1:66" x14ac:dyDescent="0.3">
      <c r="AH64" s="19"/>
      <c r="AI64" s="19"/>
      <c r="AK64" s="36"/>
      <c r="AL64" s="19"/>
      <c r="AM64" s="19"/>
      <c r="AN64" s="19"/>
    </row>
    <row r="65" spans="34:40" x14ac:dyDescent="0.3">
      <c r="AH65" s="19"/>
      <c r="AI65" s="19"/>
      <c r="AK65" s="36"/>
      <c r="AL65" s="19"/>
      <c r="AM65" s="19"/>
      <c r="AN65" s="19"/>
    </row>
    <row r="66" spans="34:40" x14ac:dyDescent="0.3">
      <c r="AH66" s="19"/>
      <c r="AI66" s="19"/>
      <c r="AK66" s="36"/>
      <c r="AL66" s="19"/>
      <c r="AM66" s="19"/>
      <c r="AN66" s="19"/>
    </row>
    <row r="67" spans="34:40" x14ac:dyDescent="0.3">
      <c r="AH67" s="19"/>
      <c r="AI67" s="19"/>
      <c r="AK67" s="36"/>
      <c r="AL67" s="19"/>
      <c r="AM67" s="19"/>
      <c r="AN67" s="19"/>
    </row>
    <row r="68" spans="34:40" x14ac:dyDescent="0.3">
      <c r="AH68" s="19"/>
      <c r="AI68" s="19"/>
      <c r="AK68" s="36"/>
      <c r="AL68" s="19"/>
      <c r="AM68" s="19"/>
      <c r="AN68" s="19"/>
    </row>
    <row r="69" spans="34:40" x14ac:dyDescent="0.3">
      <c r="AH69" s="19"/>
      <c r="AI69" s="19"/>
      <c r="AK69" s="36"/>
      <c r="AL69" s="19"/>
      <c r="AM69" s="19"/>
      <c r="AN69" s="19"/>
    </row>
    <row r="70" spans="34:40" x14ac:dyDescent="0.3">
      <c r="AH70" s="19"/>
      <c r="AI70" s="19"/>
      <c r="AK70" s="36"/>
      <c r="AL70" s="19"/>
      <c r="AM70" s="19"/>
      <c r="AN70" s="19"/>
    </row>
    <row r="71" spans="34:40" x14ac:dyDescent="0.3">
      <c r="AH71" s="19"/>
      <c r="AI71" s="19"/>
      <c r="AK71" s="36"/>
      <c r="AL71" s="19"/>
      <c r="AM71" s="19"/>
      <c r="AN71" s="19"/>
    </row>
    <row r="72" spans="34:40" x14ac:dyDescent="0.3">
      <c r="AH72" s="19"/>
      <c r="AI72" s="19"/>
      <c r="AK72" s="36"/>
      <c r="AL72" s="19"/>
      <c r="AM72" s="19"/>
      <c r="AN72" s="19"/>
    </row>
    <row r="73" spans="34:40" x14ac:dyDescent="0.3">
      <c r="AH73" s="19"/>
      <c r="AI73" s="19"/>
      <c r="AK73" s="36"/>
      <c r="AL73" s="19"/>
      <c r="AM73" s="19"/>
      <c r="AN73" s="19"/>
    </row>
    <row r="74" spans="34:40" x14ac:dyDescent="0.3">
      <c r="AH74" s="19"/>
      <c r="AI74" s="19"/>
      <c r="AK74" s="36"/>
      <c r="AL74" s="19"/>
      <c r="AM74" s="19"/>
      <c r="AN74" s="19"/>
    </row>
    <row r="75" spans="34:40" x14ac:dyDescent="0.3">
      <c r="AH75" s="19"/>
      <c r="AI75" s="19"/>
      <c r="AK75" s="36"/>
      <c r="AL75" s="19"/>
      <c r="AM75" s="19"/>
      <c r="AN75" s="19"/>
    </row>
    <row r="76" spans="34:40" x14ac:dyDescent="0.3">
      <c r="AH76" s="19"/>
      <c r="AI76" s="19"/>
      <c r="AK76" s="36"/>
      <c r="AL76" s="19"/>
      <c r="AM76" s="19"/>
      <c r="AN76" s="19"/>
    </row>
    <row r="77" spans="34:40" x14ac:dyDescent="0.3">
      <c r="AH77" s="19"/>
      <c r="AI77" s="19"/>
      <c r="AK77" s="36"/>
      <c r="AL77" s="19"/>
      <c r="AM77" s="19"/>
      <c r="AN77" s="19"/>
    </row>
    <row r="78" spans="34:40" x14ac:dyDescent="0.3">
      <c r="AH78" s="19"/>
      <c r="AI78" s="19"/>
      <c r="AK78" s="36"/>
      <c r="AL78" s="19"/>
      <c r="AM78" s="19"/>
      <c r="AN78" s="19"/>
    </row>
    <row r="79" spans="34:40" x14ac:dyDescent="0.3">
      <c r="AH79" s="19"/>
      <c r="AI79" s="19"/>
      <c r="AK79" s="36"/>
      <c r="AL79" s="19"/>
      <c r="AM79" s="19"/>
      <c r="AN79" s="19"/>
    </row>
    <row r="80" spans="34:40" x14ac:dyDescent="0.3">
      <c r="AH80" s="19"/>
      <c r="AI80" s="19"/>
      <c r="AK80" s="36"/>
      <c r="AL80" s="19"/>
      <c r="AM80" s="19"/>
      <c r="AN80" s="19"/>
    </row>
    <row r="81" spans="34:40" x14ac:dyDescent="0.3">
      <c r="AH81" s="19"/>
      <c r="AI81" s="19"/>
      <c r="AK81" s="36"/>
      <c r="AL81" s="19"/>
      <c r="AM81" s="19"/>
      <c r="AN81" s="19"/>
    </row>
    <row r="82" spans="34:40" x14ac:dyDescent="0.3">
      <c r="AH82" s="19"/>
      <c r="AI82" s="19"/>
      <c r="AK82" s="36"/>
      <c r="AL82" s="19"/>
      <c r="AM82" s="19"/>
      <c r="AN82" s="19"/>
    </row>
    <row r="83" spans="34:40" x14ac:dyDescent="0.3">
      <c r="AH83" s="19"/>
      <c r="AI83" s="19"/>
      <c r="AK83" s="36"/>
      <c r="AL83" s="19"/>
      <c r="AM83" s="19"/>
      <c r="AN83" s="19"/>
    </row>
    <row r="84" spans="34:40" x14ac:dyDescent="0.3">
      <c r="AH84" s="19"/>
      <c r="AI84" s="19"/>
      <c r="AK84" s="36"/>
      <c r="AL84" s="19"/>
      <c r="AM84" s="19"/>
      <c r="AN84" s="19"/>
    </row>
    <row r="85" spans="34:40" x14ac:dyDescent="0.3">
      <c r="AH85" s="19"/>
      <c r="AI85" s="19"/>
      <c r="AK85" s="36"/>
      <c r="AL85" s="19"/>
      <c r="AM85" s="19"/>
      <c r="AN85" s="19"/>
    </row>
    <row r="86" spans="34:40" x14ac:dyDescent="0.3">
      <c r="AH86" s="19"/>
      <c r="AI86" s="19"/>
      <c r="AK86" s="36"/>
      <c r="AL86" s="19"/>
      <c r="AM86" s="19"/>
      <c r="AN86" s="19"/>
    </row>
    <row r="87" spans="34:40" x14ac:dyDescent="0.3">
      <c r="AH87" s="19"/>
      <c r="AI87" s="19"/>
      <c r="AK87" s="36"/>
      <c r="AL87" s="19"/>
      <c r="AM87" s="19"/>
      <c r="AN87" s="19"/>
    </row>
    <row r="88" spans="34:40" x14ac:dyDescent="0.3">
      <c r="AH88" s="19"/>
      <c r="AI88" s="19"/>
      <c r="AK88" s="36"/>
      <c r="AL88" s="19"/>
      <c r="AM88" s="19"/>
      <c r="AN88" s="19"/>
    </row>
    <row r="89" spans="34:40" x14ac:dyDescent="0.3">
      <c r="AH89" s="19"/>
      <c r="AI89" s="19"/>
      <c r="AK89" s="36"/>
      <c r="AL89" s="19"/>
      <c r="AM89" s="19"/>
      <c r="AN89" s="19"/>
    </row>
    <row r="90" spans="34:40" x14ac:dyDescent="0.3">
      <c r="AH90" s="19"/>
      <c r="AI90" s="19"/>
      <c r="AK90" s="36"/>
      <c r="AL90" s="19"/>
      <c r="AM90" s="19"/>
      <c r="AN90" s="19"/>
    </row>
    <row r="91" spans="34:40" x14ac:dyDescent="0.3">
      <c r="AH91" s="19"/>
      <c r="AI91" s="19"/>
      <c r="AK91" s="36"/>
      <c r="AL91" s="19"/>
      <c r="AM91" s="19"/>
      <c r="AN91" s="19"/>
    </row>
    <row r="92" spans="34:40" x14ac:dyDescent="0.3">
      <c r="AH92" s="19"/>
      <c r="AI92" s="19"/>
      <c r="AK92" s="36"/>
      <c r="AL92" s="19"/>
      <c r="AM92" s="19"/>
      <c r="AN92" s="19"/>
    </row>
    <row r="93" spans="34:40" x14ac:dyDescent="0.3">
      <c r="AH93" s="19"/>
      <c r="AI93" s="19"/>
      <c r="AK93" s="36"/>
      <c r="AL93" s="19"/>
      <c r="AM93" s="19"/>
      <c r="AN93" s="19"/>
    </row>
    <row r="94" spans="34:40" x14ac:dyDescent="0.3">
      <c r="AH94" s="19"/>
      <c r="AI94" s="19"/>
      <c r="AK94" s="36"/>
      <c r="AL94" s="19"/>
      <c r="AM94" s="19"/>
      <c r="AN94" s="19"/>
    </row>
    <row r="95" spans="34:40" x14ac:dyDescent="0.3">
      <c r="AH95" s="19"/>
      <c r="AI95" s="19"/>
      <c r="AK95" s="36"/>
      <c r="AL95" s="19"/>
      <c r="AM95" s="19"/>
      <c r="AN95" s="19"/>
    </row>
    <row r="96" spans="34:40" x14ac:dyDescent="0.3">
      <c r="AH96" s="19"/>
      <c r="AI96" s="19"/>
      <c r="AK96" s="36"/>
      <c r="AL96" s="19"/>
      <c r="AM96" s="19"/>
      <c r="AN96" s="19"/>
    </row>
    <row r="97" spans="34:40" x14ac:dyDescent="0.3">
      <c r="AH97" s="19"/>
      <c r="AI97" s="19"/>
      <c r="AK97" s="36"/>
      <c r="AL97" s="19"/>
      <c r="AM97" s="19"/>
      <c r="AN97" s="19"/>
    </row>
    <row r="98" spans="34:40" x14ac:dyDescent="0.3">
      <c r="AH98" s="19"/>
      <c r="AI98" s="19"/>
      <c r="AK98" s="36"/>
      <c r="AL98" s="19"/>
      <c r="AM98" s="19"/>
      <c r="AN98" s="19"/>
    </row>
    <row r="99" spans="34:40" x14ac:dyDescent="0.3">
      <c r="AH99" s="19"/>
      <c r="AI99" s="19"/>
      <c r="AK99" s="36"/>
      <c r="AL99" s="19"/>
      <c r="AM99" s="19"/>
      <c r="AN99" s="19"/>
    </row>
    <row r="100" spans="34:40" x14ac:dyDescent="0.3">
      <c r="AH100" s="19"/>
      <c r="AI100" s="19"/>
      <c r="AK100" s="36"/>
      <c r="AL100" s="19"/>
      <c r="AM100" s="19"/>
      <c r="AN100" s="19"/>
    </row>
    <row r="101" spans="34:40" x14ac:dyDescent="0.3">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4.4" x14ac:dyDescent="0.3"/>
  <cols>
    <col min="1" max="2" width="15.6640625" customWidth="1"/>
    <col min="3" max="3" width="6.6640625" customWidth="1"/>
    <col min="4" max="4" width="36.6640625" style="31" customWidth="1"/>
    <col min="5" max="5" width="6.6640625" customWidth="1"/>
    <col min="6" max="11" width="8.6640625" customWidth="1"/>
    <col min="12" max="13" width="15.6640625" customWidth="1"/>
    <col min="14" max="14" width="6.6640625" customWidth="1"/>
    <col min="15" max="15" width="36.6640625" style="31" customWidth="1"/>
    <col min="16" max="16" width="6.6640625" customWidth="1"/>
    <col min="17" max="22" width="8.6640625" customWidth="1"/>
    <col min="23" max="24" width="15.6640625" customWidth="1"/>
    <col min="25" max="25" width="6.6640625" customWidth="1"/>
    <col min="26" max="26" width="36.6640625" style="31" customWidth="1"/>
    <col min="27" max="27" width="6.6640625" customWidth="1"/>
    <col min="28" max="33" width="8.6640625" customWidth="1"/>
    <col min="34" max="35" width="15.6640625" customWidth="1"/>
    <col min="36" max="36" width="6.6640625" customWidth="1"/>
    <col min="37" max="37" width="36.6640625" style="31" customWidth="1"/>
    <col min="38" max="38" width="6.6640625" customWidth="1"/>
    <col min="39" max="44" width="8.6640625" customWidth="1"/>
    <col min="45" max="46" width="15.6640625" customWidth="1"/>
    <col min="47" max="47" width="6.6640625" customWidth="1"/>
    <col min="48" max="48" width="36.6640625" style="31" customWidth="1"/>
    <col min="49" max="49" width="6.6640625" customWidth="1"/>
    <col min="50" max="55" width="8.6640625" customWidth="1"/>
    <col min="56" max="57" width="15.6640625" style="19" customWidth="1"/>
    <col min="58" max="58" width="6.6640625" customWidth="1"/>
    <col min="59" max="59" width="36.6640625" style="36" customWidth="1"/>
    <col min="60" max="60" width="6.6640625" style="19" customWidth="1"/>
    <col min="61" max="62" width="8.6640625" style="19" customWidth="1"/>
    <col min="63" max="66" width="8.6640625" customWidth="1"/>
  </cols>
  <sheetData>
    <row r="1" spans="1:88" s="26" customFormat="1" ht="21" x14ac:dyDescent="0.4">
      <c r="A1" s="17" t="s">
        <v>108</v>
      </c>
      <c r="D1" s="49"/>
      <c r="L1" s="17" t="s">
        <v>108</v>
      </c>
      <c r="O1" s="49"/>
      <c r="W1" s="17" t="s">
        <v>108</v>
      </c>
      <c r="Z1" s="49"/>
      <c r="AH1" s="17" t="s">
        <v>108</v>
      </c>
      <c r="AK1" s="49"/>
      <c r="AS1" s="17" t="s">
        <v>108</v>
      </c>
      <c r="AV1" s="49"/>
      <c r="BD1" s="32" t="s">
        <v>108</v>
      </c>
      <c r="BE1" s="33"/>
      <c r="BG1" s="52"/>
      <c r="BH1" s="33"/>
      <c r="BI1" s="33"/>
      <c r="BJ1" s="33"/>
    </row>
    <row r="2" spans="1:88" ht="18" x14ac:dyDescent="0.3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3">
      <c r="A4" s="243" t="s">
        <v>5</v>
      </c>
      <c r="B4" s="65">
        <v>92910300300</v>
      </c>
      <c r="C4" s="65">
        <v>1</v>
      </c>
      <c r="D4" s="31" t="s">
        <v>11</v>
      </c>
      <c r="E4" t="s">
        <v>9</v>
      </c>
      <c r="F4">
        <v>0.33</v>
      </c>
      <c r="G4">
        <v>0.3</v>
      </c>
      <c r="H4">
        <v>1</v>
      </c>
      <c r="I4">
        <v>1</v>
      </c>
      <c r="J4">
        <v>0.38100000000000001</v>
      </c>
      <c r="K4" s="24">
        <f t="shared" ref="K4:K14" si="0">(F4*H4+G4*I4)*(1+J4)</f>
        <v>0.87002999999999997</v>
      </c>
      <c r="L4" s="243" t="s">
        <v>5</v>
      </c>
      <c r="M4" s="69">
        <v>92910300300</v>
      </c>
      <c r="N4" s="69">
        <v>1</v>
      </c>
      <c r="O4" s="31" t="s">
        <v>11</v>
      </c>
      <c r="P4" t="s">
        <v>9</v>
      </c>
      <c r="Q4">
        <v>0.33</v>
      </c>
      <c r="R4">
        <v>0.3</v>
      </c>
      <c r="S4">
        <v>1</v>
      </c>
      <c r="T4">
        <v>1</v>
      </c>
      <c r="U4">
        <v>0.38100000000000001</v>
      </c>
      <c r="V4" s="24">
        <f>(Q4*S4+R4*T4)*(1+U4)</f>
        <v>0.87002999999999997</v>
      </c>
      <c r="W4" s="243" t="s">
        <v>5</v>
      </c>
      <c r="X4" s="75">
        <v>92910300300</v>
      </c>
      <c r="Y4" s="75">
        <v>1</v>
      </c>
      <c r="Z4" s="31" t="s">
        <v>11</v>
      </c>
      <c r="AA4" t="s">
        <v>9</v>
      </c>
      <c r="AB4">
        <v>0.33</v>
      </c>
      <c r="AC4">
        <v>0.3</v>
      </c>
      <c r="AD4">
        <v>1</v>
      </c>
      <c r="AE4">
        <v>1</v>
      </c>
      <c r="AF4">
        <v>0.38100000000000001</v>
      </c>
      <c r="AG4" s="24">
        <f t="shared" ref="AG4:AG14" si="1">(AB4*AD4+AC4*AE4)*(1+AF4)</f>
        <v>0.87002999999999997</v>
      </c>
      <c r="AH4" s="243" t="s">
        <v>5</v>
      </c>
      <c r="AI4" s="75">
        <v>92910300300</v>
      </c>
      <c r="AJ4" s="78">
        <v>1</v>
      </c>
      <c r="AK4" s="31" t="s">
        <v>11</v>
      </c>
      <c r="AL4" t="s">
        <v>9</v>
      </c>
      <c r="AM4">
        <v>0.33</v>
      </c>
      <c r="AN4">
        <v>0.3</v>
      </c>
      <c r="AO4">
        <v>1</v>
      </c>
      <c r="AP4">
        <v>1</v>
      </c>
      <c r="AQ4">
        <v>0.38100000000000001</v>
      </c>
      <c r="AR4" s="24">
        <f t="shared" ref="AR4:AR14" si="2">(AM4*AO4+AN4*AP4)*(1+AQ4)</f>
        <v>0.87002999999999997</v>
      </c>
      <c r="AS4" s="243" t="s">
        <v>5</v>
      </c>
      <c r="AT4" s="75">
        <v>92910300300</v>
      </c>
      <c r="AU4" s="78">
        <v>1</v>
      </c>
      <c r="AV4" s="31" t="s">
        <v>11</v>
      </c>
      <c r="AW4" t="s">
        <v>9</v>
      </c>
      <c r="AX4">
        <v>0.33</v>
      </c>
      <c r="AY4">
        <v>0.3</v>
      </c>
      <c r="AZ4">
        <v>1</v>
      </c>
      <c r="BA4">
        <v>1</v>
      </c>
      <c r="BB4">
        <v>0.38100000000000001</v>
      </c>
      <c r="BC4" s="24">
        <f t="shared" ref="BC4:BC14" si="3">(AX4*AZ4+AY4*BA4)*(1+BB4)</f>
        <v>0.87002999999999997</v>
      </c>
      <c r="BD4" s="245"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x14ac:dyDescent="0.3">
      <c r="A5" s="244"/>
      <c r="B5" s="66" t="s">
        <v>88</v>
      </c>
      <c r="C5" s="9"/>
      <c r="D5" s="31" t="s">
        <v>245</v>
      </c>
      <c r="E5" t="s">
        <v>6</v>
      </c>
      <c r="F5">
        <v>0.71</v>
      </c>
      <c r="G5">
        <v>1.1299999999999999</v>
      </c>
      <c r="H5">
        <v>1</v>
      </c>
      <c r="I5">
        <v>1</v>
      </c>
      <c r="J5">
        <v>0</v>
      </c>
      <c r="K5" s="24">
        <f t="shared" si="0"/>
        <v>1.8399999999999999</v>
      </c>
      <c r="L5" s="244"/>
      <c r="M5" s="70" t="s">
        <v>88</v>
      </c>
      <c r="N5" s="70"/>
      <c r="O5" s="31" t="s">
        <v>245</v>
      </c>
      <c r="P5" t="s">
        <v>6</v>
      </c>
      <c r="Q5">
        <v>0.71</v>
      </c>
      <c r="R5">
        <v>1.1299999999999999</v>
      </c>
      <c r="S5">
        <v>1</v>
      </c>
      <c r="T5">
        <v>1</v>
      </c>
      <c r="U5">
        <v>0</v>
      </c>
      <c r="V5" s="24">
        <f>(Q5*S5+R5*T5)*(1+U5)</f>
        <v>1.8399999999999999</v>
      </c>
      <c r="W5" s="244"/>
      <c r="X5" s="76" t="s">
        <v>88</v>
      </c>
      <c r="Y5" s="76"/>
      <c r="Z5" s="31" t="s">
        <v>245</v>
      </c>
      <c r="AA5" t="s">
        <v>6</v>
      </c>
      <c r="AB5">
        <v>0.71</v>
      </c>
      <c r="AC5">
        <v>1.1299999999999999</v>
      </c>
      <c r="AD5">
        <v>1</v>
      </c>
      <c r="AE5">
        <v>1</v>
      </c>
      <c r="AF5">
        <v>0</v>
      </c>
      <c r="AG5" s="24">
        <f t="shared" si="1"/>
        <v>1.8399999999999999</v>
      </c>
      <c r="AH5" s="244"/>
      <c r="AI5" s="76" t="s">
        <v>88</v>
      </c>
      <c r="AJ5" s="79"/>
      <c r="AK5" s="31" t="s">
        <v>245</v>
      </c>
      <c r="AL5" t="s">
        <v>6</v>
      </c>
      <c r="AM5">
        <v>0.71</v>
      </c>
      <c r="AN5">
        <v>1.1299999999999999</v>
      </c>
      <c r="AO5">
        <v>1</v>
      </c>
      <c r="AP5">
        <v>1</v>
      </c>
      <c r="AQ5">
        <v>0</v>
      </c>
      <c r="AR5" s="24">
        <f t="shared" si="2"/>
        <v>1.8399999999999999</v>
      </c>
      <c r="AS5" s="244"/>
      <c r="AT5" s="76" t="s">
        <v>88</v>
      </c>
      <c r="AU5" s="79"/>
      <c r="AV5" s="31" t="s">
        <v>245</v>
      </c>
      <c r="AW5" t="s">
        <v>6</v>
      </c>
      <c r="AX5">
        <v>0.71</v>
      </c>
      <c r="AY5">
        <v>1.1299999999999999</v>
      </c>
      <c r="AZ5">
        <v>1</v>
      </c>
      <c r="BA5">
        <v>1</v>
      </c>
      <c r="BB5">
        <v>0</v>
      </c>
      <c r="BC5" s="24">
        <f t="shared" si="3"/>
        <v>1.8399999999999999</v>
      </c>
      <c r="BD5" s="246"/>
      <c r="BE5" s="76" t="s">
        <v>88</v>
      </c>
      <c r="BF5" s="79"/>
      <c r="BG5" s="31" t="s">
        <v>245</v>
      </c>
      <c r="BH5" t="s">
        <v>6</v>
      </c>
      <c r="BI5">
        <v>0.71</v>
      </c>
      <c r="BJ5">
        <v>1.1299999999999999</v>
      </c>
      <c r="BK5">
        <v>1</v>
      </c>
      <c r="BL5">
        <v>1</v>
      </c>
      <c r="BM5">
        <v>0</v>
      </c>
      <c r="BN5" s="24">
        <f t="shared" si="4"/>
        <v>1.8399999999999999</v>
      </c>
    </row>
    <row r="6" spans="1:88" x14ac:dyDescent="0.3">
      <c r="A6" s="244"/>
      <c r="B6" s="66">
        <v>72610100700</v>
      </c>
      <c r="C6" s="66"/>
      <c r="D6" s="31" t="s">
        <v>12</v>
      </c>
      <c r="E6" t="s">
        <v>9</v>
      </c>
      <c r="F6">
        <v>2.5000000000000001E-2</v>
      </c>
      <c r="G6">
        <v>8.2000000000000003E-2</v>
      </c>
      <c r="H6">
        <v>1</v>
      </c>
      <c r="I6">
        <v>1</v>
      </c>
      <c r="J6">
        <v>0.54300000000000004</v>
      </c>
      <c r="K6" s="24">
        <f t="shared" si="0"/>
        <v>0.16510100000000003</v>
      </c>
      <c r="L6" s="244"/>
      <c r="M6" s="70">
        <v>72610100700</v>
      </c>
      <c r="N6" s="70"/>
      <c r="O6" s="31" t="s">
        <v>12</v>
      </c>
      <c r="P6" t="s">
        <v>9</v>
      </c>
      <c r="Q6">
        <v>2.5000000000000001E-2</v>
      </c>
      <c r="R6">
        <v>8.2000000000000003E-2</v>
      </c>
      <c r="S6">
        <v>1</v>
      </c>
      <c r="T6">
        <v>1</v>
      </c>
      <c r="U6">
        <v>0.54300000000000004</v>
      </c>
      <c r="V6" s="24">
        <f>(Q6*S6+R6*T6)*(1+U6)</f>
        <v>0.16510100000000003</v>
      </c>
      <c r="W6" s="244"/>
      <c r="X6" s="76">
        <v>72610100700</v>
      </c>
      <c r="Y6" s="76"/>
      <c r="Z6" s="31" t="s">
        <v>12</v>
      </c>
      <c r="AA6" t="s">
        <v>9</v>
      </c>
      <c r="AB6">
        <v>2.5000000000000001E-2</v>
      </c>
      <c r="AC6">
        <v>8.2000000000000003E-2</v>
      </c>
      <c r="AD6">
        <v>1</v>
      </c>
      <c r="AE6">
        <v>1</v>
      </c>
      <c r="AF6">
        <v>0.54300000000000004</v>
      </c>
      <c r="AG6" s="24">
        <f t="shared" si="1"/>
        <v>0.16510100000000003</v>
      </c>
      <c r="AH6" s="244"/>
      <c r="AI6" s="76">
        <v>72610100700</v>
      </c>
      <c r="AJ6" s="79"/>
      <c r="AK6" s="31" t="s">
        <v>12</v>
      </c>
      <c r="AL6" t="s">
        <v>9</v>
      </c>
      <c r="AM6">
        <v>2.5000000000000001E-2</v>
      </c>
      <c r="AN6">
        <v>8.2000000000000003E-2</v>
      </c>
      <c r="AO6">
        <v>1</v>
      </c>
      <c r="AP6">
        <v>1</v>
      </c>
      <c r="AQ6">
        <v>0.54300000000000004</v>
      </c>
      <c r="AR6" s="24">
        <f t="shared" si="2"/>
        <v>0.16510100000000003</v>
      </c>
      <c r="AS6" s="244"/>
      <c r="AT6" s="76">
        <v>72610100700</v>
      </c>
      <c r="AU6" s="79"/>
      <c r="AV6" s="31" t="s">
        <v>12</v>
      </c>
      <c r="AW6" t="s">
        <v>9</v>
      </c>
      <c r="AX6">
        <v>2.5000000000000001E-2</v>
      </c>
      <c r="AY6">
        <v>8.2000000000000003E-2</v>
      </c>
      <c r="AZ6">
        <v>1</v>
      </c>
      <c r="BA6">
        <v>1</v>
      </c>
      <c r="BB6">
        <v>0.54300000000000004</v>
      </c>
      <c r="BC6" s="24">
        <f t="shared" si="3"/>
        <v>0.16510100000000003</v>
      </c>
      <c r="BD6" s="246"/>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x14ac:dyDescent="0.3">
      <c r="A7" s="244"/>
      <c r="B7" s="9">
        <v>72116200444</v>
      </c>
      <c r="C7" s="9"/>
      <c r="D7" s="31" t="s">
        <v>136</v>
      </c>
      <c r="E7" t="s">
        <v>9</v>
      </c>
      <c r="F7">
        <v>0.48</v>
      </c>
      <c r="G7">
        <v>0.22</v>
      </c>
      <c r="H7">
        <v>1.33</v>
      </c>
      <c r="I7">
        <v>1</v>
      </c>
      <c r="J7">
        <v>0.3</v>
      </c>
      <c r="K7" s="24">
        <f t="shared" si="0"/>
        <v>1.11592</v>
      </c>
      <c r="L7" s="244"/>
      <c r="M7" s="21">
        <v>72116200486</v>
      </c>
      <c r="N7" s="21"/>
      <c r="O7" s="31" t="s">
        <v>8</v>
      </c>
      <c r="P7" t="s">
        <v>9</v>
      </c>
      <c r="Q7">
        <v>0.64</v>
      </c>
      <c r="R7">
        <v>0.19</v>
      </c>
      <c r="S7">
        <v>1</v>
      </c>
      <c r="T7">
        <v>1</v>
      </c>
      <c r="U7">
        <v>0.22900000000000001</v>
      </c>
      <c r="V7" s="24">
        <f>(Q7*S7+R7*T7)*(1+U7)</f>
        <v>1.0200700000000003</v>
      </c>
      <c r="W7" s="244"/>
      <c r="X7" s="76">
        <v>72116200486</v>
      </c>
      <c r="Y7" s="76"/>
      <c r="Z7" s="31" t="s">
        <v>8</v>
      </c>
      <c r="AA7" t="s">
        <v>9</v>
      </c>
      <c r="AB7">
        <v>0.64</v>
      </c>
      <c r="AC7">
        <v>0.19</v>
      </c>
      <c r="AD7">
        <v>1</v>
      </c>
      <c r="AE7">
        <v>1</v>
      </c>
      <c r="AF7">
        <v>0.22900000000000001</v>
      </c>
      <c r="AG7" s="24">
        <f t="shared" si="1"/>
        <v>1.0200700000000003</v>
      </c>
      <c r="AH7" s="244"/>
      <c r="AI7" s="76">
        <v>72116200486</v>
      </c>
      <c r="AJ7" s="79"/>
      <c r="AK7" s="31" t="s">
        <v>8</v>
      </c>
      <c r="AL7" t="s">
        <v>9</v>
      </c>
      <c r="AM7">
        <v>0.64</v>
      </c>
      <c r="AN7">
        <v>0.19</v>
      </c>
      <c r="AO7">
        <v>1</v>
      </c>
      <c r="AP7">
        <v>1</v>
      </c>
      <c r="AQ7">
        <v>0.22900000000000001</v>
      </c>
      <c r="AR7" s="24">
        <f t="shared" si="2"/>
        <v>1.0200700000000003</v>
      </c>
      <c r="AS7" s="244"/>
      <c r="AT7" s="76">
        <v>72116200486</v>
      </c>
      <c r="AU7" s="79"/>
      <c r="AV7" s="31" t="s">
        <v>8</v>
      </c>
      <c r="AW7" t="s">
        <v>9</v>
      </c>
      <c r="AX7">
        <v>0.64</v>
      </c>
      <c r="AY7">
        <v>0.19</v>
      </c>
      <c r="AZ7">
        <v>1</v>
      </c>
      <c r="BA7">
        <v>1</v>
      </c>
      <c r="BB7">
        <v>0.22900000000000001</v>
      </c>
      <c r="BC7" s="24">
        <f t="shared" si="3"/>
        <v>1.0200700000000003</v>
      </c>
      <c r="BD7" s="246"/>
      <c r="BE7" s="76">
        <v>72116200486</v>
      </c>
      <c r="BF7" s="79"/>
      <c r="BG7" s="31" t="s">
        <v>8</v>
      </c>
      <c r="BH7" t="s">
        <v>9</v>
      </c>
      <c r="BI7">
        <v>0.64</v>
      </c>
      <c r="BJ7">
        <v>0.19</v>
      </c>
      <c r="BK7">
        <v>1</v>
      </c>
      <c r="BL7">
        <v>1</v>
      </c>
      <c r="BM7">
        <v>0.22900000000000001</v>
      </c>
      <c r="BN7" s="24">
        <f t="shared" si="4"/>
        <v>1.0200700000000003</v>
      </c>
    </row>
    <row r="8" spans="1:88" ht="28.8" x14ac:dyDescent="0.3">
      <c r="A8" s="244"/>
      <c r="B8" s="9">
        <v>61636100605</v>
      </c>
      <c r="C8" s="9"/>
      <c r="D8" s="31" t="s">
        <v>244</v>
      </c>
      <c r="E8" t="s">
        <v>7</v>
      </c>
      <c r="F8">
        <v>0.68</v>
      </c>
      <c r="G8">
        <v>0.43</v>
      </c>
      <c r="H8">
        <v>1</v>
      </c>
      <c r="I8">
        <v>1</v>
      </c>
      <c r="J8">
        <v>0.33</v>
      </c>
      <c r="K8" s="24">
        <f t="shared" si="0"/>
        <v>1.4763000000000002</v>
      </c>
      <c r="L8" s="244"/>
      <c r="M8" s="70">
        <v>61636100605</v>
      </c>
      <c r="N8" s="70"/>
      <c r="O8" s="31" t="s">
        <v>244</v>
      </c>
      <c r="P8" t="s">
        <v>7</v>
      </c>
      <c r="Q8">
        <v>0.68</v>
      </c>
      <c r="R8">
        <v>0.43</v>
      </c>
      <c r="S8">
        <v>1</v>
      </c>
      <c r="T8">
        <v>1</v>
      </c>
      <c r="U8">
        <v>0.33</v>
      </c>
      <c r="V8" s="24">
        <f t="shared" ref="V8:V14" si="5">(Q8*S8+R8*T8)*(1+U8)</f>
        <v>1.4763000000000002</v>
      </c>
      <c r="W8" s="244"/>
      <c r="X8" s="79">
        <v>61636100605</v>
      </c>
      <c r="Y8" s="79"/>
      <c r="Z8" s="31" t="s">
        <v>244</v>
      </c>
      <c r="AA8" t="s">
        <v>7</v>
      </c>
      <c r="AB8">
        <v>0.68</v>
      </c>
      <c r="AC8">
        <v>0.43</v>
      </c>
      <c r="AD8">
        <v>1</v>
      </c>
      <c r="AE8">
        <v>1</v>
      </c>
      <c r="AF8">
        <v>0.33</v>
      </c>
      <c r="AG8" s="24">
        <f t="shared" si="1"/>
        <v>1.4763000000000002</v>
      </c>
      <c r="AH8" s="244"/>
      <c r="AI8" s="79">
        <v>61636100605</v>
      </c>
      <c r="AJ8" s="79"/>
      <c r="AK8" s="31" t="s">
        <v>244</v>
      </c>
      <c r="AL8" t="s">
        <v>7</v>
      </c>
      <c r="AM8">
        <v>0.68</v>
      </c>
      <c r="AN8">
        <v>0.43</v>
      </c>
      <c r="AO8">
        <v>1</v>
      </c>
      <c r="AP8">
        <v>1</v>
      </c>
      <c r="AQ8">
        <v>0.33</v>
      </c>
      <c r="AR8" s="24">
        <f t="shared" si="2"/>
        <v>1.4763000000000002</v>
      </c>
      <c r="AS8" s="244"/>
      <c r="AT8" s="79">
        <v>61636100605</v>
      </c>
      <c r="AU8" s="79"/>
      <c r="AV8" s="31" t="s">
        <v>244</v>
      </c>
      <c r="AW8" t="s">
        <v>7</v>
      </c>
      <c r="AX8">
        <v>0.68</v>
      </c>
      <c r="AY8">
        <v>0.43</v>
      </c>
      <c r="AZ8">
        <v>1</v>
      </c>
      <c r="BA8">
        <v>1</v>
      </c>
      <c r="BB8">
        <v>0.33</v>
      </c>
      <c r="BC8" s="24">
        <f t="shared" si="3"/>
        <v>1.4763000000000002</v>
      </c>
      <c r="BD8" s="246"/>
      <c r="BE8" s="79">
        <v>61636100605</v>
      </c>
      <c r="BF8" s="79"/>
      <c r="BG8" s="31" t="s">
        <v>244</v>
      </c>
      <c r="BH8" t="s">
        <v>7</v>
      </c>
      <c r="BI8">
        <v>0.68</v>
      </c>
      <c r="BJ8">
        <v>0.43</v>
      </c>
      <c r="BK8">
        <v>1</v>
      </c>
      <c r="BL8">
        <v>1</v>
      </c>
      <c r="BM8">
        <v>0.33</v>
      </c>
      <c r="BN8" s="24">
        <f t="shared" si="4"/>
        <v>1.4763000000000002</v>
      </c>
    </row>
    <row r="9" spans="1:88" ht="28.8" x14ac:dyDescent="0.3">
      <c r="A9" s="244"/>
      <c r="B9" s="79"/>
      <c r="C9" s="79"/>
      <c r="K9" s="24"/>
      <c r="L9" s="244"/>
      <c r="M9" s="79">
        <v>72113101610</v>
      </c>
      <c r="O9" s="31" t="s">
        <v>262</v>
      </c>
      <c r="P9" t="s">
        <v>9</v>
      </c>
      <c r="Q9">
        <v>0.31</v>
      </c>
      <c r="R9">
        <v>0.38</v>
      </c>
      <c r="S9">
        <v>1</v>
      </c>
      <c r="T9">
        <v>1</v>
      </c>
      <c r="U9">
        <v>0.40500000000000003</v>
      </c>
      <c r="V9" s="24">
        <f t="shared" si="5"/>
        <v>0.96944999999999992</v>
      </c>
      <c r="W9" s="244"/>
      <c r="X9" s="20" t="s">
        <v>109</v>
      </c>
      <c r="Y9" s="21"/>
      <c r="Z9" s="31" t="s">
        <v>225</v>
      </c>
      <c r="AA9" t="s">
        <v>9</v>
      </c>
      <c r="AB9">
        <v>0.51</v>
      </c>
      <c r="AC9">
        <v>0.38</v>
      </c>
      <c r="AD9">
        <v>1</v>
      </c>
      <c r="AE9">
        <v>1</v>
      </c>
      <c r="AF9">
        <v>0.33700000000000002</v>
      </c>
      <c r="AG9" s="24">
        <f t="shared" si="1"/>
        <v>1.1899299999999999</v>
      </c>
      <c r="AH9" s="244"/>
      <c r="AI9" s="20" t="s">
        <v>110</v>
      </c>
      <c r="AJ9" s="79"/>
      <c r="AK9" s="31" t="s">
        <v>250</v>
      </c>
      <c r="AL9" t="s">
        <v>9</v>
      </c>
      <c r="AM9">
        <v>0.59</v>
      </c>
      <c r="AN9">
        <v>0.41</v>
      </c>
      <c r="AO9">
        <v>1</v>
      </c>
      <c r="AP9">
        <v>1</v>
      </c>
      <c r="AQ9">
        <v>0.34</v>
      </c>
      <c r="AR9" s="24">
        <f>(AM9*AO9+AN9*AP9)*(1+AQ9)</f>
        <v>1.34</v>
      </c>
      <c r="AS9" s="244"/>
      <c r="AT9" s="20" t="s">
        <v>110</v>
      </c>
      <c r="AU9" s="79"/>
      <c r="AV9" s="31" t="s">
        <v>250</v>
      </c>
      <c r="AW9" t="s">
        <v>9</v>
      </c>
      <c r="AX9">
        <v>0.59</v>
      </c>
      <c r="AY9">
        <v>0.41</v>
      </c>
      <c r="AZ9">
        <v>1</v>
      </c>
      <c r="BA9">
        <v>1</v>
      </c>
      <c r="BB9">
        <v>0.34</v>
      </c>
      <c r="BC9" s="24">
        <f>(AX9*AZ9+AY9*BA9)*(1+BB9)</f>
        <v>1.34</v>
      </c>
      <c r="BD9" s="246"/>
      <c r="BE9" s="20" t="s">
        <v>111</v>
      </c>
      <c r="BF9" s="79"/>
      <c r="BG9" s="31" t="s">
        <v>218</v>
      </c>
      <c r="BH9" s="19" t="s">
        <v>7</v>
      </c>
      <c r="BI9" s="19">
        <v>0.75</v>
      </c>
      <c r="BJ9" s="19">
        <v>0.41</v>
      </c>
      <c r="BK9">
        <v>1</v>
      </c>
      <c r="BL9">
        <v>1</v>
      </c>
      <c r="BM9">
        <v>0.31</v>
      </c>
      <c r="BN9" s="24">
        <f t="shared" si="4"/>
        <v>1.5196000000000001</v>
      </c>
    </row>
    <row r="10" spans="1:88" ht="30" customHeight="1" x14ac:dyDescent="0.3">
      <c r="A10" s="244"/>
      <c r="B10" s="9">
        <v>72510103000</v>
      </c>
      <c r="C10" s="9"/>
      <c r="D10" s="31" t="s">
        <v>14</v>
      </c>
      <c r="E10" t="s">
        <v>9</v>
      </c>
      <c r="F10">
        <v>0.16</v>
      </c>
      <c r="G10">
        <v>0.08</v>
      </c>
      <c r="H10">
        <v>1</v>
      </c>
      <c r="I10">
        <v>1</v>
      </c>
      <c r="J10">
        <v>0.28999999999999998</v>
      </c>
      <c r="K10" s="24">
        <f t="shared" si="0"/>
        <v>0.30959999999999999</v>
      </c>
      <c r="L10" s="244"/>
      <c r="M10" s="70">
        <v>72510103000</v>
      </c>
      <c r="N10" s="70"/>
      <c r="O10" s="31" t="s">
        <v>14</v>
      </c>
      <c r="P10" t="s">
        <v>9</v>
      </c>
      <c r="Q10">
        <v>0.16</v>
      </c>
      <c r="R10">
        <v>0.08</v>
      </c>
      <c r="S10">
        <v>1</v>
      </c>
      <c r="T10">
        <v>1</v>
      </c>
      <c r="U10">
        <v>0.28999999999999998</v>
      </c>
      <c r="V10" s="24">
        <f t="shared" si="5"/>
        <v>0.30959999999999999</v>
      </c>
      <c r="W10" s="244"/>
      <c r="X10" s="76">
        <v>72510103000</v>
      </c>
      <c r="Y10" s="76"/>
      <c r="Z10" s="31" t="s">
        <v>14</v>
      </c>
      <c r="AA10" t="s">
        <v>9</v>
      </c>
      <c r="AB10">
        <v>0.16</v>
      </c>
      <c r="AC10">
        <v>0.08</v>
      </c>
      <c r="AD10">
        <v>1</v>
      </c>
      <c r="AE10">
        <v>1</v>
      </c>
      <c r="AF10">
        <v>0.28999999999999998</v>
      </c>
      <c r="AG10" s="24">
        <f t="shared" si="1"/>
        <v>0.30959999999999999</v>
      </c>
      <c r="AH10" s="244"/>
      <c r="AI10" s="76">
        <v>72510103000</v>
      </c>
      <c r="AJ10" s="79"/>
      <c r="AK10" s="31" t="s">
        <v>14</v>
      </c>
      <c r="AL10" t="s">
        <v>9</v>
      </c>
      <c r="AM10">
        <v>0.16</v>
      </c>
      <c r="AN10">
        <v>0.08</v>
      </c>
      <c r="AO10">
        <v>1</v>
      </c>
      <c r="AP10">
        <v>1</v>
      </c>
      <c r="AQ10">
        <v>0.28999999999999998</v>
      </c>
      <c r="AR10" s="24">
        <f t="shared" si="2"/>
        <v>0.30959999999999999</v>
      </c>
      <c r="AS10" s="244"/>
      <c r="AT10" s="76">
        <v>72510103000</v>
      </c>
      <c r="AU10" s="79"/>
      <c r="AV10" s="31" t="s">
        <v>14</v>
      </c>
      <c r="AW10" t="s">
        <v>9</v>
      </c>
      <c r="AX10">
        <v>0.16</v>
      </c>
      <c r="AY10">
        <v>0.08</v>
      </c>
      <c r="AZ10">
        <v>1</v>
      </c>
      <c r="BA10">
        <v>1</v>
      </c>
      <c r="BB10">
        <v>0.28999999999999998</v>
      </c>
      <c r="BC10" s="24">
        <f t="shared" si="3"/>
        <v>0.30959999999999999</v>
      </c>
      <c r="BD10" s="246"/>
      <c r="BE10" s="76">
        <v>72510103000</v>
      </c>
      <c r="BF10" s="79"/>
      <c r="BG10" s="31" t="s">
        <v>14</v>
      </c>
      <c r="BH10" t="s">
        <v>9</v>
      </c>
      <c r="BI10">
        <v>0.16</v>
      </c>
      <c r="BJ10">
        <v>0.08</v>
      </c>
      <c r="BK10">
        <v>1</v>
      </c>
      <c r="BL10">
        <v>1</v>
      </c>
      <c r="BM10">
        <v>0.28999999999999998</v>
      </c>
      <c r="BN10" s="24">
        <f t="shared" si="4"/>
        <v>0.30959999999999999</v>
      </c>
    </row>
    <row r="11" spans="1:88" x14ac:dyDescent="0.3">
      <c r="A11" s="244"/>
      <c r="B11" s="9">
        <v>74623105270</v>
      </c>
      <c r="C11" s="3"/>
      <c r="D11" s="31" t="s">
        <v>10</v>
      </c>
      <c r="E11" t="s">
        <v>9</v>
      </c>
      <c r="F11">
        <v>5.2</v>
      </c>
      <c r="G11">
        <v>0.92</v>
      </c>
      <c r="H11">
        <v>1</v>
      </c>
      <c r="I11">
        <v>1</v>
      </c>
      <c r="J11">
        <v>0.18</v>
      </c>
      <c r="K11" s="24">
        <f t="shared" si="0"/>
        <v>7.2215999999999996</v>
      </c>
      <c r="L11" s="244"/>
      <c r="M11" s="70">
        <v>74623105270</v>
      </c>
      <c r="N11" s="70"/>
      <c r="O11" s="31" t="s">
        <v>10</v>
      </c>
      <c r="P11" t="s">
        <v>9</v>
      </c>
      <c r="Q11">
        <v>5.2</v>
      </c>
      <c r="R11">
        <v>0.92</v>
      </c>
      <c r="S11">
        <v>1</v>
      </c>
      <c r="T11">
        <v>1</v>
      </c>
      <c r="U11">
        <v>0.18</v>
      </c>
      <c r="V11" s="24">
        <f t="shared" si="5"/>
        <v>7.2215999999999996</v>
      </c>
      <c r="W11" s="244"/>
      <c r="X11" s="76">
        <v>74623105270</v>
      </c>
      <c r="Y11" s="76"/>
      <c r="Z11" s="31" t="s">
        <v>10</v>
      </c>
      <c r="AA11" t="s">
        <v>9</v>
      </c>
      <c r="AB11">
        <v>5.2</v>
      </c>
      <c r="AC11">
        <v>0.92</v>
      </c>
      <c r="AD11">
        <v>1</v>
      </c>
      <c r="AE11">
        <v>1</v>
      </c>
      <c r="AF11">
        <v>0.18</v>
      </c>
      <c r="AG11" s="24">
        <f t="shared" si="1"/>
        <v>7.2215999999999996</v>
      </c>
      <c r="AH11" s="244"/>
      <c r="AI11" s="76">
        <v>74623105270</v>
      </c>
      <c r="AJ11" s="79"/>
      <c r="AK11" s="31" t="s">
        <v>10</v>
      </c>
      <c r="AL11" t="s">
        <v>9</v>
      </c>
      <c r="AM11">
        <v>5.2</v>
      </c>
      <c r="AN11">
        <v>0.92</v>
      </c>
      <c r="AO11">
        <v>1</v>
      </c>
      <c r="AP11">
        <v>1</v>
      </c>
      <c r="AQ11">
        <v>0.18</v>
      </c>
      <c r="AR11" s="24">
        <f t="shared" si="2"/>
        <v>7.2215999999999996</v>
      </c>
      <c r="AS11" s="244"/>
      <c r="AT11" s="76">
        <v>74623105270</v>
      </c>
      <c r="AU11" s="79"/>
      <c r="AV11" s="31" t="s">
        <v>10</v>
      </c>
      <c r="AW11" t="s">
        <v>9</v>
      </c>
      <c r="AX11">
        <v>5.2</v>
      </c>
      <c r="AY11">
        <v>0.92</v>
      </c>
      <c r="AZ11">
        <v>1</v>
      </c>
      <c r="BA11">
        <v>1</v>
      </c>
      <c r="BB11">
        <v>0.18</v>
      </c>
      <c r="BC11" s="24">
        <f t="shared" si="3"/>
        <v>7.2215999999999996</v>
      </c>
      <c r="BD11" s="246"/>
      <c r="BE11" s="76">
        <v>74623105270</v>
      </c>
      <c r="BF11" s="79"/>
      <c r="BG11" s="31" t="s">
        <v>10</v>
      </c>
      <c r="BH11" t="s">
        <v>9</v>
      </c>
      <c r="BI11">
        <v>5.2</v>
      </c>
      <c r="BJ11">
        <v>0.92</v>
      </c>
      <c r="BK11">
        <v>1</v>
      </c>
      <c r="BL11">
        <v>1</v>
      </c>
      <c r="BM11">
        <v>0.18</v>
      </c>
      <c r="BN11" s="24">
        <f t="shared" si="4"/>
        <v>7.2215999999999996</v>
      </c>
    </row>
    <row r="12" spans="1:88" ht="15" customHeight="1" x14ac:dyDescent="0.3">
      <c r="A12" s="244"/>
      <c r="B12" s="9" t="s">
        <v>88</v>
      </c>
      <c r="C12" s="3"/>
      <c r="D12" s="31" t="s">
        <v>22</v>
      </c>
      <c r="E12" t="s">
        <v>21</v>
      </c>
      <c r="F12">
        <v>0.03</v>
      </c>
      <c r="G12">
        <v>0.21</v>
      </c>
      <c r="H12">
        <v>1</v>
      </c>
      <c r="I12">
        <v>1</v>
      </c>
      <c r="J12">
        <v>0</v>
      </c>
      <c r="K12" s="24">
        <f t="shared" si="0"/>
        <v>0.24</v>
      </c>
      <c r="L12" s="244"/>
      <c r="M12" s="70" t="s">
        <v>88</v>
      </c>
      <c r="N12" s="70"/>
      <c r="O12" s="31" t="s">
        <v>22</v>
      </c>
      <c r="P12" t="s">
        <v>21</v>
      </c>
      <c r="Q12">
        <v>0.03</v>
      </c>
      <c r="R12">
        <v>0.21</v>
      </c>
      <c r="S12">
        <v>1</v>
      </c>
      <c r="T12">
        <v>1</v>
      </c>
      <c r="U12">
        <v>0</v>
      </c>
      <c r="V12" s="24">
        <f t="shared" si="5"/>
        <v>0.24</v>
      </c>
      <c r="W12" s="244"/>
      <c r="X12" s="76" t="s">
        <v>88</v>
      </c>
      <c r="Y12" s="76"/>
      <c r="Z12" s="31" t="s">
        <v>22</v>
      </c>
      <c r="AA12" t="s">
        <v>21</v>
      </c>
      <c r="AB12">
        <v>0.03</v>
      </c>
      <c r="AC12">
        <v>0.21</v>
      </c>
      <c r="AD12">
        <v>1</v>
      </c>
      <c r="AE12">
        <v>1</v>
      </c>
      <c r="AF12">
        <v>0</v>
      </c>
      <c r="AG12" s="24">
        <f t="shared" si="1"/>
        <v>0.24</v>
      </c>
      <c r="AH12" s="244"/>
      <c r="AI12" s="76" t="s">
        <v>88</v>
      </c>
      <c r="AJ12" s="79"/>
      <c r="AK12" s="31" t="s">
        <v>22</v>
      </c>
      <c r="AL12" t="s">
        <v>21</v>
      </c>
      <c r="AM12">
        <v>0.03</v>
      </c>
      <c r="AN12">
        <v>0.21</v>
      </c>
      <c r="AO12">
        <v>1</v>
      </c>
      <c r="AP12">
        <v>1</v>
      </c>
      <c r="AQ12">
        <v>0</v>
      </c>
      <c r="AR12" s="24">
        <f t="shared" si="2"/>
        <v>0.24</v>
      </c>
      <c r="AS12" s="244"/>
      <c r="AT12" s="76" t="s">
        <v>88</v>
      </c>
      <c r="AU12" s="79"/>
      <c r="AV12" s="31" t="s">
        <v>22</v>
      </c>
      <c r="AW12" t="s">
        <v>21</v>
      </c>
      <c r="AX12">
        <v>0.03</v>
      </c>
      <c r="AY12">
        <v>0.21</v>
      </c>
      <c r="AZ12">
        <v>1</v>
      </c>
      <c r="BA12">
        <v>1</v>
      </c>
      <c r="BB12">
        <v>0</v>
      </c>
      <c r="BC12" s="24">
        <f t="shared" si="3"/>
        <v>0.24</v>
      </c>
      <c r="BD12" s="246"/>
      <c r="BE12" s="76" t="s">
        <v>88</v>
      </c>
      <c r="BF12" s="79"/>
      <c r="BG12" s="31" t="s">
        <v>22</v>
      </c>
      <c r="BH12" t="s">
        <v>21</v>
      </c>
      <c r="BI12">
        <v>0.03</v>
      </c>
      <c r="BJ12">
        <v>0.21</v>
      </c>
      <c r="BK12">
        <v>1</v>
      </c>
      <c r="BL12">
        <v>1</v>
      </c>
      <c r="BM12">
        <v>0</v>
      </c>
      <c r="BN12" s="24">
        <f t="shared" si="4"/>
        <v>0.24</v>
      </c>
    </row>
    <row r="13" spans="1:88" ht="15" customHeight="1" x14ac:dyDescent="0.3">
      <c r="A13" s="244"/>
      <c r="B13" s="66">
        <v>99113620580</v>
      </c>
      <c r="C13" s="66"/>
      <c r="D13" s="31" t="s">
        <v>246</v>
      </c>
      <c r="E13" t="s">
        <v>9</v>
      </c>
      <c r="F13">
        <v>0.1</v>
      </c>
      <c r="G13">
        <v>0.1</v>
      </c>
      <c r="H13">
        <v>1</v>
      </c>
      <c r="I13">
        <v>1</v>
      </c>
      <c r="J13">
        <v>0.35</v>
      </c>
      <c r="K13" s="24">
        <f t="shared" si="0"/>
        <v>0.27</v>
      </c>
      <c r="L13" s="244"/>
      <c r="M13" s="70">
        <v>99113620580</v>
      </c>
      <c r="N13" s="70"/>
      <c r="O13" s="31" t="s">
        <v>246</v>
      </c>
      <c r="P13" t="s">
        <v>9</v>
      </c>
      <c r="Q13">
        <v>0.1</v>
      </c>
      <c r="R13">
        <v>0.1</v>
      </c>
      <c r="S13">
        <v>1</v>
      </c>
      <c r="T13">
        <v>1</v>
      </c>
      <c r="U13">
        <v>0.35</v>
      </c>
      <c r="V13" s="24">
        <f t="shared" si="5"/>
        <v>0.27</v>
      </c>
      <c r="W13" s="244"/>
      <c r="X13" s="76">
        <v>99113620580</v>
      </c>
      <c r="Y13" s="76"/>
      <c r="Z13" s="31" t="s">
        <v>246</v>
      </c>
      <c r="AA13" t="s">
        <v>9</v>
      </c>
      <c r="AB13">
        <v>0.1</v>
      </c>
      <c r="AC13">
        <v>0.1</v>
      </c>
      <c r="AD13">
        <v>1</v>
      </c>
      <c r="AE13">
        <v>1</v>
      </c>
      <c r="AF13">
        <v>0.35</v>
      </c>
      <c r="AG13" s="24">
        <f t="shared" si="1"/>
        <v>0.27</v>
      </c>
      <c r="AH13" s="244"/>
      <c r="AI13" s="76">
        <v>99113620580</v>
      </c>
      <c r="AJ13" s="79"/>
      <c r="AK13" s="31" t="s">
        <v>246</v>
      </c>
      <c r="AL13" t="s">
        <v>9</v>
      </c>
      <c r="AM13">
        <v>0.1</v>
      </c>
      <c r="AN13">
        <v>0.1</v>
      </c>
      <c r="AO13">
        <v>1</v>
      </c>
      <c r="AP13">
        <v>1</v>
      </c>
      <c r="AQ13">
        <v>0.35</v>
      </c>
      <c r="AR13" s="24">
        <f t="shared" si="2"/>
        <v>0.27</v>
      </c>
      <c r="AS13" s="244"/>
      <c r="AT13" s="76">
        <v>99113620580</v>
      </c>
      <c r="AU13" s="79"/>
      <c r="AV13" s="31" t="s">
        <v>246</v>
      </c>
      <c r="AW13" t="s">
        <v>9</v>
      </c>
      <c r="AX13">
        <v>0.1</v>
      </c>
      <c r="AY13">
        <v>0.1</v>
      </c>
      <c r="AZ13">
        <v>1</v>
      </c>
      <c r="BA13">
        <v>1</v>
      </c>
      <c r="BB13">
        <v>0.35</v>
      </c>
      <c r="BC13" s="24">
        <f t="shared" si="3"/>
        <v>0.27</v>
      </c>
      <c r="BD13" s="246"/>
      <c r="BE13" s="76">
        <v>99113620580</v>
      </c>
      <c r="BF13" s="79"/>
      <c r="BG13" s="31" t="s">
        <v>246</v>
      </c>
      <c r="BH13" t="s">
        <v>9</v>
      </c>
      <c r="BI13">
        <v>0.1</v>
      </c>
      <c r="BJ13">
        <v>0.1</v>
      </c>
      <c r="BK13">
        <v>1</v>
      </c>
      <c r="BL13">
        <v>1</v>
      </c>
      <c r="BM13">
        <v>0.35</v>
      </c>
      <c r="BN13" s="24">
        <f t="shared" si="4"/>
        <v>0.27</v>
      </c>
    </row>
    <row r="14" spans="1:88" ht="15" customHeight="1" x14ac:dyDescent="0.3">
      <c r="A14" s="244"/>
      <c r="B14" s="9">
        <v>99113604000</v>
      </c>
      <c r="C14" s="3"/>
      <c r="D14" s="31" t="s">
        <v>247</v>
      </c>
      <c r="E14" t="s">
        <v>9</v>
      </c>
      <c r="F14">
        <v>0.19</v>
      </c>
      <c r="G14">
        <v>0.17</v>
      </c>
      <c r="H14">
        <v>1</v>
      </c>
      <c r="I14">
        <v>1</v>
      </c>
      <c r="J14">
        <v>0.36</v>
      </c>
      <c r="K14" s="24">
        <f t="shared" si="0"/>
        <v>0.48959999999999992</v>
      </c>
      <c r="L14" s="244"/>
      <c r="M14" s="70">
        <v>99113604000</v>
      </c>
      <c r="N14" s="70"/>
      <c r="O14" s="31" t="s">
        <v>247</v>
      </c>
      <c r="P14" t="s">
        <v>9</v>
      </c>
      <c r="Q14">
        <v>0.19</v>
      </c>
      <c r="R14">
        <v>0.17</v>
      </c>
      <c r="S14">
        <v>1</v>
      </c>
      <c r="T14">
        <v>1</v>
      </c>
      <c r="U14">
        <v>0.36</v>
      </c>
      <c r="V14" s="24">
        <f t="shared" si="5"/>
        <v>0.48959999999999992</v>
      </c>
      <c r="W14" s="244"/>
      <c r="X14" s="76">
        <v>99113604000</v>
      </c>
      <c r="Y14" s="76"/>
      <c r="Z14" s="31" t="s">
        <v>247</v>
      </c>
      <c r="AA14" t="s">
        <v>9</v>
      </c>
      <c r="AB14">
        <v>0.19</v>
      </c>
      <c r="AC14">
        <v>0.17</v>
      </c>
      <c r="AD14">
        <v>1</v>
      </c>
      <c r="AE14">
        <v>1</v>
      </c>
      <c r="AF14">
        <v>0.36</v>
      </c>
      <c r="AG14" s="24">
        <f t="shared" si="1"/>
        <v>0.48959999999999992</v>
      </c>
      <c r="AH14" s="244"/>
      <c r="AI14" s="76">
        <v>99113604000</v>
      </c>
      <c r="AJ14" s="79"/>
      <c r="AK14" s="31" t="s">
        <v>247</v>
      </c>
      <c r="AL14" t="s">
        <v>9</v>
      </c>
      <c r="AM14">
        <v>0.19</v>
      </c>
      <c r="AN14">
        <v>0.17</v>
      </c>
      <c r="AO14">
        <v>1</v>
      </c>
      <c r="AP14">
        <v>1</v>
      </c>
      <c r="AQ14">
        <v>0.36</v>
      </c>
      <c r="AR14" s="24">
        <f t="shared" si="2"/>
        <v>0.48959999999999992</v>
      </c>
      <c r="AS14" s="244"/>
      <c r="AT14" s="76">
        <v>99113604000</v>
      </c>
      <c r="AU14" s="79"/>
      <c r="AV14" s="31" t="s">
        <v>247</v>
      </c>
      <c r="AW14" t="s">
        <v>9</v>
      </c>
      <c r="AX14">
        <v>0.19</v>
      </c>
      <c r="AY14">
        <v>0.17</v>
      </c>
      <c r="AZ14">
        <v>1</v>
      </c>
      <c r="BA14">
        <v>1</v>
      </c>
      <c r="BB14">
        <v>0.36</v>
      </c>
      <c r="BC14" s="24">
        <f t="shared" si="3"/>
        <v>0.48959999999999992</v>
      </c>
      <c r="BD14" s="246"/>
      <c r="BE14" s="76">
        <v>99113604000</v>
      </c>
      <c r="BF14" s="79"/>
      <c r="BG14" s="31" t="s">
        <v>247</v>
      </c>
      <c r="BH14" t="s">
        <v>9</v>
      </c>
      <c r="BI14">
        <v>0.19</v>
      </c>
      <c r="BJ14">
        <v>0.17</v>
      </c>
      <c r="BK14">
        <v>1</v>
      </c>
      <c r="BL14">
        <v>1</v>
      </c>
      <c r="BM14">
        <v>0.36</v>
      </c>
      <c r="BN14" s="24">
        <f t="shared" si="4"/>
        <v>0.48959999999999992</v>
      </c>
    </row>
    <row r="15" spans="1:88" x14ac:dyDescent="0.3">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28.8" x14ac:dyDescent="0.3">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3">
      <c r="A17" s="243" t="s">
        <v>56</v>
      </c>
      <c r="B17" s="8">
        <v>92910300300</v>
      </c>
      <c r="C17" s="2">
        <v>2</v>
      </c>
      <c r="D17" s="31" t="s">
        <v>11</v>
      </c>
      <c r="E17" t="s">
        <v>9</v>
      </c>
      <c r="F17">
        <v>0.33</v>
      </c>
      <c r="G17">
        <v>0.3</v>
      </c>
      <c r="H17">
        <v>1</v>
      </c>
      <c r="I17">
        <v>1</v>
      </c>
      <c r="J17">
        <v>0.38100000000000001</v>
      </c>
      <c r="K17" s="24">
        <f t="shared" ref="K17:K27" si="6">(F17*H17+G17*I17)*(1+J17)</f>
        <v>0.87002999999999997</v>
      </c>
      <c r="L17" s="243" t="s">
        <v>56</v>
      </c>
      <c r="M17" s="69">
        <v>92910300300</v>
      </c>
      <c r="N17" s="69">
        <v>2</v>
      </c>
      <c r="O17" s="31" t="s">
        <v>11</v>
      </c>
      <c r="P17" t="s">
        <v>9</v>
      </c>
      <c r="Q17">
        <v>0.33</v>
      </c>
      <c r="R17">
        <v>0.3</v>
      </c>
      <c r="S17">
        <v>1</v>
      </c>
      <c r="T17">
        <v>1</v>
      </c>
      <c r="U17">
        <v>0.38100000000000001</v>
      </c>
      <c r="V17" s="24">
        <f>(Q17*S17+R17*T17)*(1+U17)</f>
        <v>0.87002999999999997</v>
      </c>
      <c r="W17" s="243" t="s">
        <v>56</v>
      </c>
      <c r="X17" s="75">
        <v>92910300300</v>
      </c>
      <c r="Y17" s="75">
        <v>2</v>
      </c>
      <c r="Z17" s="31" t="s">
        <v>11</v>
      </c>
      <c r="AA17" t="s">
        <v>9</v>
      </c>
      <c r="AB17">
        <v>0.33</v>
      </c>
      <c r="AC17">
        <v>0.3</v>
      </c>
      <c r="AD17">
        <v>1</v>
      </c>
      <c r="AE17">
        <v>1</v>
      </c>
      <c r="AF17">
        <v>0.38100000000000001</v>
      </c>
      <c r="AG17" s="24">
        <f t="shared" ref="AG17:AG27" si="7">(AB17*AD17+AC17*AE17)*(1+AF17)</f>
        <v>0.87002999999999997</v>
      </c>
      <c r="AH17" s="243"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3"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5"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x14ac:dyDescent="0.3">
      <c r="A18" s="244"/>
      <c r="B18" s="9" t="s">
        <v>90</v>
      </c>
      <c r="C18" s="3"/>
      <c r="D18" s="31" t="s">
        <v>57</v>
      </c>
      <c r="E18" t="s">
        <v>6</v>
      </c>
      <c r="F18">
        <v>1.35</v>
      </c>
      <c r="G18">
        <v>1.54</v>
      </c>
      <c r="H18">
        <v>1</v>
      </c>
      <c r="I18">
        <v>1</v>
      </c>
      <c r="J18">
        <v>0</v>
      </c>
      <c r="K18" s="24">
        <f t="shared" si="6"/>
        <v>2.89</v>
      </c>
      <c r="L18" s="244"/>
      <c r="M18" s="70" t="s">
        <v>90</v>
      </c>
      <c r="N18" s="70"/>
      <c r="O18" s="31" t="s">
        <v>57</v>
      </c>
      <c r="P18" t="s">
        <v>6</v>
      </c>
      <c r="Q18">
        <v>1.35</v>
      </c>
      <c r="R18">
        <v>1.54</v>
      </c>
      <c r="S18">
        <v>1</v>
      </c>
      <c r="T18">
        <v>1</v>
      </c>
      <c r="U18">
        <v>0</v>
      </c>
      <c r="V18" s="24">
        <f>(Q18*S18+R18*T18)*(1+U18)</f>
        <v>2.89</v>
      </c>
      <c r="W18" s="244"/>
      <c r="X18" s="76" t="s">
        <v>90</v>
      </c>
      <c r="Y18" s="76"/>
      <c r="Z18" s="31" t="s">
        <v>57</v>
      </c>
      <c r="AA18" t="s">
        <v>6</v>
      </c>
      <c r="AB18">
        <v>1.35</v>
      </c>
      <c r="AC18">
        <v>1.54</v>
      </c>
      <c r="AD18">
        <v>1</v>
      </c>
      <c r="AE18">
        <v>1</v>
      </c>
      <c r="AF18">
        <v>0</v>
      </c>
      <c r="AG18" s="24">
        <f t="shared" si="7"/>
        <v>2.89</v>
      </c>
      <c r="AH18" s="244"/>
      <c r="AI18" s="76" t="s">
        <v>90</v>
      </c>
      <c r="AJ18" s="79"/>
      <c r="AK18" s="31" t="s">
        <v>57</v>
      </c>
      <c r="AL18" t="s">
        <v>6</v>
      </c>
      <c r="AM18">
        <v>1.35</v>
      </c>
      <c r="AN18">
        <v>1.54</v>
      </c>
      <c r="AO18">
        <v>1</v>
      </c>
      <c r="AP18">
        <v>1</v>
      </c>
      <c r="AQ18">
        <v>0</v>
      </c>
      <c r="AR18" s="24">
        <f t="shared" si="8"/>
        <v>2.89</v>
      </c>
      <c r="AS18" s="244"/>
      <c r="AT18" s="76" t="s">
        <v>90</v>
      </c>
      <c r="AU18" s="79"/>
      <c r="AV18" s="31" t="s">
        <v>57</v>
      </c>
      <c r="AW18" t="s">
        <v>6</v>
      </c>
      <c r="AX18">
        <v>1.35</v>
      </c>
      <c r="AY18">
        <v>1.54</v>
      </c>
      <c r="AZ18">
        <v>1</v>
      </c>
      <c r="BA18">
        <v>1</v>
      </c>
      <c r="BB18">
        <v>0</v>
      </c>
      <c r="BC18" s="24">
        <f t="shared" si="9"/>
        <v>2.89</v>
      </c>
      <c r="BD18" s="246"/>
      <c r="BE18" s="76" t="s">
        <v>90</v>
      </c>
      <c r="BF18" s="79"/>
      <c r="BG18" s="31" t="s">
        <v>57</v>
      </c>
      <c r="BH18" t="s">
        <v>6</v>
      </c>
      <c r="BI18">
        <v>1.35</v>
      </c>
      <c r="BJ18">
        <v>1.54</v>
      </c>
      <c r="BK18">
        <v>1</v>
      </c>
      <c r="BL18">
        <v>1</v>
      </c>
      <c r="BM18">
        <v>0</v>
      </c>
      <c r="BN18" s="24">
        <f t="shared" si="10"/>
        <v>2.89</v>
      </c>
    </row>
    <row r="19" spans="1:66" x14ac:dyDescent="0.3">
      <c r="A19" s="244"/>
      <c r="B19" s="66">
        <v>72610100700</v>
      </c>
      <c r="C19" s="66"/>
      <c r="D19" s="31" t="s">
        <v>12</v>
      </c>
      <c r="E19" t="s">
        <v>9</v>
      </c>
      <c r="F19">
        <v>2.5000000000000001E-2</v>
      </c>
      <c r="G19">
        <v>8.2000000000000003E-2</v>
      </c>
      <c r="H19">
        <v>1</v>
      </c>
      <c r="I19">
        <v>1</v>
      </c>
      <c r="J19">
        <v>0.54300000000000004</v>
      </c>
      <c r="K19" s="24">
        <f t="shared" si="6"/>
        <v>0.16510100000000003</v>
      </c>
      <c r="L19" s="244"/>
      <c r="M19" s="70">
        <v>72610100700</v>
      </c>
      <c r="N19" s="70"/>
      <c r="O19" s="31" t="s">
        <v>12</v>
      </c>
      <c r="P19" t="s">
        <v>9</v>
      </c>
      <c r="Q19">
        <v>2.5000000000000001E-2</v>
      </c>
      <c r="R19">
        <v>8.2000000000000003E-2</v>
      </c>
      <c r="S19">
        <v>1</v>
      </c>
      <c r="T19">
        <v>1</v>
      </c>
      <c r="U19">
        <v>0.54300000000000004</v>
      </c>
      <c r="V19" s="24">
        <f>(Q19*S19+R19*T19)*(1+U19)</f>
        <v>0.16510100000000003</v>
      </c>
      <c r="W19" s="244"/>
      <c r="X19" s="76">
        <v>72610100700</v>
      </c>
      <c r="Y19" s="76"/>
      <c r="Z19" s="31" t="s">
        <v>12</v>
      </c>
      <c r="AA19" t="s">
        <v>9</v>
      </c>
      <c r="AB19">
        <v>2.5000000000000001E-2</v>
      </c>
      <c r="AC19">
        <v>8.2000000000000003E-2</v>
      </c>
      <c r="AD19">
        <v>1</v>
      </c>
      <c r="AE19">
        <v>1</v>
      </c>
      <c r="AF19">
        <v>0.54300000000000004</v>
      </c>
      <c r="AG19" s="24">
        <f t="shared" si="7"/>
        <v>0.16510100000000003</v>
      </c>
      <c r="AH19" s="244"/>
      <c r="AI19" s="76">
        <v>72610100700</v>
      </c>
      <c r="AJ19" s="79"/>
      <c r="AK19" s="31" t="s">
        <v>12</v>
      </c>
      <c r="AL19" t="s">
        <v>9</v>
      </c>
      <c r="AM19">
        <v>2.5000000000000001E-2</v>
      </c>
      <c r="AN19">
        <v>8.2000000000000003E-2</v>
      </c>
      <c r="AO19">
        <v>1</v>
      </c>
      <c r="AP19">
        <v>1</v>
      </c>
      <c r="AQ19">
        <v>0.54300000000000004</v>
      </c>
      <c r="AR19" s="24">
        <f t="shared" si="8"/>
        <v>0.16510100000000003</v>
      </c>
      <c r="AS19" s="244"/>
      <c r="AT19" s="76">
        <v>72610100700</v>
      </c>
      <c r="AU19" s="79"/>
      <c r="AV19" s="31" t="s">
        <v>12</v>
      </c>
      <c r="AW19" t="s">
        <v>9</v>
      </c>
      <c r="AX19">
        <v>2.5000000000000001E-2</v>
      </c>
      <c r="AY19">
        <v>8.2000000000000003E-2</v>
      </c>
      <c r="AZ19">
        <v>1</v>
      </c>
      <c r="BA19">
        <v>1</v>
      </c>
      <c r="BB19">
        <v>0.54300000000000004</v>
      </c>
      <c r="BC19" s="24">
        <f t="shared" si="9"/>
        <v>0.16510100000000003</v>
      </c>
      <c r="BD19" s="246"/>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x14ac:dyDescent="0.3">
      <c r="A20" s="244"/>
      <c r="B20" s="21">
        <v>72116200444</v>
      </c>
      <c r="C20" s="3"/>
      <c r="D20" s="31" t="s">
        <v>136</v>
      </c>
      <c r="E20" t="s">
        <v>9</v>
      </c>
      <c r="F20">
        <v>0.48</v>
      </c>
      <c r="G20">
        <v>0.22</v>
      </c>
      <c r="H20">
        <v>1.33</v>
      </c>
      <c r="I20">
        <v>1</v>
      </c>
      <c r="J20">
        <v>0.3</v>
      </c>
      <c r="K20" s="24">
        <f t="shared" si="6"/>
        <v>1.11592</v>
      </c>
      <c r="L20" s="244"/>
      <c r="M20" s="70">
        <v>72116200486</v>
      </c>
      <c r="N20" s="70"/>
      <c r="O20" s="31" t="s">
        <v>8</v>
      </c>
      <c r="P20" t="s">
        <v>9</v>
      </c>
      <c r="Q20">
        <v>0.64</v>
      </c>
      <c r="R20">
        <v>0.19</v>
      </c>
      <c r="S20">
        <v>1</v>
      </c>
      <c r="T20">
        <v>1</v>
      </c>
      <c r="U20">
        <v>0.22900000000000001</v>
      </c>
      <c r="V20" s="24">
        <f>(Q20*S20+R20*T20)*(1+U20)</f>
        <v>1.0200700000000003</v>
      </c>
      <c r="W20" s="244"/>
      <c r="X20" s="76">
        <v>72116200486</v>
      </c>
      <c r="Y20" s="76"/>
      <c r="Z20" s="31" t="s">
        <v>8</v>
      </c>
      <c r="AA20" t="s">
        <v>9</v>
      </c>
      <c r="AB20">
        <v>0.64</v>
      </c>
      <c r="AC20">
        <v>0.19</v>
      </c>
      <c r="AD20">
        <v>1</v>
      </c>
      <c r="AE20">
        <v>1</v>
      </c>
      <c r="AF20">
        <v>0.22900000000000001</v>
      </c>
      <c r="AG20" s="24">
        <f t="shared" si="7"/>
        <v>1.0200700000000003</v>
      </c>
      <c r="AH20" s="244"/>
      <c r="AI20" s="76">
        <v>72116200486</v>
      </c>
      <c r="AJ20" s="79"/>
      <c r="AK20" s="31" t="s">
        <v>8</v>
      </c>
      <c r="AL20" t="s">
        <v>9</v>
      </c>
      <c r="AM20">
        <v>0.64</v>
      </c>
      <c r="AN20">
        <v>0.19</v>
      </c>
      <c r="AO20">
        <v>1</v>
      </c>
      <c r="AP20">
        <v>1</v>
      </c>
      <c r="AQ20">
        <v>0.22900000000000001</v>
      </c>
      <c r="AR20" s="24">
        <f t="shared" si="8"/>
        <v>1.0200700000000003</v>
      </c>
      <c r="AS20" s="244"/>
      <c r="AT20" s="76">
        <v>72116200486</v>
      </c>
      <c r="AU20" s="79"/>
      <c r="AV20" s="31" t="s">
        <v>8</v>
      </c>
      <c r="AW20" t="s">
        <v>9</v>
      </c>
      <c r="AX20">
        <v>0.64</v>
      </c>
      <c r="AY20">
        <v>0.19</v>
      </c>
      <c r="AZ20">
        <v>1</v>
      </c>
      <c r="BA20">
        <v>1</v>
      </c>
      <c r="BB20">
        <v>0.22900000000000001</v>
      </c>
      <c r="BC20" s="24">
        <f t="shared" si="9"/>
        <v>1.0200700000000003</v>
      </c>
      <c r="BD20" s="246"/>
      <c r="BE20" s="76">
        <v>72116200486</v>
      </c>
      <c r="BF20" s="79"/>
      <c r="BG20" s="31" t="s">
        <v>8</v>
      </c>
      <c r="BH20" t="s">
        <v>9</v>
      </c>
      <c r="BI20">
        <v>0.64</v>
      </c>
      <c r="BJ20">
        <v>0.19</v>
      </c>
      <c r="BK20">
        <v>1</v>
      </c>
      <c r="BL20">
        <v>1</v>
      </c>
      <c r="BM20">
        <v>0.22900000000000001</v>
      </c>
      <c r="BN20" s="24">
        <f t="shared" si="10"/>
        <v>1.0200700000000003</v>
      </c>
    </row>
    <row r="21" spans="1:66" ht="28.8" x14ac:dyDescent="0.3">
      <c r="A21" s="244"/>
      <c r="B21" s="66">
        <v>61636100605</v>
      </c>
      <c r="C21" s="66"/>
      <c r="D21" s="31" t="s">
        <v>244</v>
      </c>
      <c r="E21" t="s">
        <v>7</v>
      </c>
      <c r="F21">
        <v>0.68</v>
      </c>
      <c r="G21">
        <v>0.43</v>
      </c>
      <c r="H21">
        <v>1</v>
      </c>
      <c r="I21">
        <v>1</v>
      </c>
      <c r="J21">
        <v>0.33</v>
      </c>
      <c r="K21" s="24">
        <f t="shared" si="6"/>
        <v>1.4763000000000002</v>
      </c>
      <c r="L21" s="244"/>
      <c r="M21" s="70">
        <v>61636100605</v>
      </c>
      <c r="N21" s="70"/>
      <c r="O21" s="31" t="s">
        <v>244</v>
      </c>
      <c r="P21" t="s">
        <v>7</v>
      </c>
      <c r="Q21">
        <v>0.68</v>
      </c>
      <c r="R21">
        <v>0.43</v>
      </c>
      <c r="S21">
        <v>1</v>
      </c>
      <c r="T21">
        <v>1</v>
      </c>
      <c r="U21">
        <v>0.33</v>
      </c>
      <c r="V21" s="24">
        <f t="shared" ref="V21:V27" si="11">(Q21*S21+R21*T21)*(1+U21)</f>
        <v>1.4763000000000002</v>
      </c>
      <c r="W21" s="244"/>
      <c r="X21" s="79">
        <v>61636100605</v>
      </c>
      <c r="Y21" s="79"/>
      <c r="Z21" s="31" t="s">
        <v>244</v>
      </c>
      <c r="AA21" t="s">
        <v>7</v>
      </c>
      <c r="AB21">
        <v>0.68</v>
      </c>
      <c r="AC21">
        <v>0.43</v>
      </c>
      <c r="AD21">
        <v>1</v>
      </c>
      <c r="AE21">
        <v>1</v>
      </c>
      <c r="AF21">
        <v>0.33</v>
      </c>
      <c r="AG21" s="24">
        <f t="shared" si="7"/>
        <v>1.4763000000000002</v>
      </c>
      <c r="AH21" s="244"/>
      <c r="AI21" s="79">
        <v>61636100605</v>
      </c>
      <c r="AJ21" s="79"/>
      <c r="AK21" s="31" t="s">
        <v>244</v>
      </c>
      <c r="AL21" t="s">
        <v>7</v>
      </c>
      <c r="AM21">
        <v>0.68</v>
      </c>
      <c r="AN21">
        <v>0.43</v>
      </c>
      <c r="AO21">
        <v>1</v>
      </c>
      <c r="AP21">
        <v>1</v>
      </c>
      <c r="AQ21">
        <v>0.33</v>
      </c>
      <c r="AR21" s="24">
        <f t="shared" si="8"/>
        <v>1.4763000000000002</v>
      </c>
      <c r="AS21" s="244"/>
      <c r="AT21" s="79">
        <v>61636100605</v>
      </c>
      <c r="AU21" s="79"/>
      <c r="AV21" s="31" t="s">
        <v>244</v>
      </c>
      <c r="AW21" t="s">
        <v>7</v>
      </c>
      <c r="AX21">
        <v>0.68</v>
      </c>
      <c r="AY21">
        <v>0.43</v>
      </c>
      <c r="AZ21">
        <v>1</v>
      </c>
      <c r="BA21">
        <v>1</v>
      </c>
      <c r="BB21">
        <v>0.33</v>
      </c>
      <c r="BC21" s="24">
        <f t="shared" si="9"/>
        <v>1.4763000000000002</v>
      </c>
      <c r="BD21" s="246"/>
      <c r="BE21" s="79">
        <v>61636100605</v>
      </c>
      <c r="BF21" s="79"/>
      <c r="BG21" s="31" t="s">
        <v>244</v>
      </c>
      <c r="BH21" t="s">
        <v>7</v>
      </c>
      <c r="BI21">
        <v>0.68</v>
      </c>
      <c r="BJ21">
        <v>0.43</v>
      </c>
      <c r="BK21">
        <v>1</v>
      </c>
      <c r="BL21">
        <v>1</v>
      </c>
      <c r="BM21">
        <v>0.33</v>
      </c>
      <c r="BN21" s="24">
        <f t="shared" si="10"/>
        <v>1.4763000000000002</v>
      </c>
    </row>
    <row r="22" spans="1:66" ht="28.8" x14ac:dyDescent="0.3">
      <c r="A22" s="244"/>
      <c r="B22" s="79"/>
      <c r="C22" s="79"/>
      <c r="K22" s="24"/>
      <c r="L22" s="244"/>
      <c r="M22" s="79">
        <v>72113101610</v>
      </c>
      <c r="O22" s="31" t="s">
        <v>262</v>
      </c>
      <c r="P22" t="s">
        <v>9</v>
      </c>
      <c r="Q22">
        <v>0.31</v>
      </c>
      <c r="R22">
        <v>0.38</v>
      </c>
      <c r="S22">
        <v>1</v>
      </c>
      <c r="T22">
        <v>1</v>
      </c>
      <c r="U22">
        <v>0.40500000000000003</v>
      </c>
      <c r="V22" s="24">
        <f t="shared" si="11"/>
        <v>0.96944999999999992</v>
      </c>
      <c r="W22" s="244"/>
      <c r="X22" s="20" t="s">
        <v>109</v>
      </c>
      <c r="Y22" s="79"/>
      <c r="Z22" s="31" t="s">
        <v>225</v>
      </c>
      <c r="AA22" t="s">
        <v>9</v>
      </c>
      <c r="AB22">
        <v>0.51</v>
      </c>
      <c r="AC22">
        <v>0.38</v>
      </c>
      <c r="AD22">
        <v>1</v>
      </c>
      <c r="AE22">
        <v>1</v>
      </c>
      <c r="AF22">
        <v>0.33700000000000002</v>
      </c>
      <c r="AG22" s="24">
        <f t="shared" si="7"/>
        <v>1.1899299999999999</v>
      </c>
      <c r="AH22" s="244"/>
      <c r="AI22" s="20" t="s">
        <v>110</v>
      </c>
      <c r="AJ22" s="79"/>
      <c r="AK22" s="31" t="s">
        <v>250</v>
      </c>
      <c r="AL22" t="s">
        <v>9</v>
      </c>
      <c r="AM22">
        <v>0.59</v>
      </c>
      <c r="AN22">
        <v>0.41</v>
      </c>
      <c r="AO22">
        <v>1</v>
      </c>
      <c r="AP22">
        <v>1</v>
      </c>
      <c r="AQ22">
        <v>0.34</v>
      </c>
      <c r="AR22" s="24">
        <f t="shared" si="8"/>
        <v>1.34</v>
      </c>
      <c r="AS22" s="244"/>
      <c r="AT22" s="20" t="s">
        <v>110</v>
      </c>
      <c r="AU22" s="79"/>
      <c r="AV22" s="31" t="s">
        <v>250</v>
      </c>
      <c r="AW22" t="s">
        <v>9</v>
      </c>
      <c r="AX22">
        <v>0.59</v>
      </c>
      <c r="AY22">
        <v>0.41</v>
      </c>
      <c r="AZ22">
        <v>1</v>
      </c>
      <c r="BA22">
        <v>1</v>
      </c>
      <c r="BB22">
        <v>0.34</v>
      </c>
      <c r="BC22" s="24">
        <f>(AX22*AZ22+AY22*BA22)*(1+BB22)</f>
        <v>1.34</v>
      </c>
      <c r="BD22" s="246"/>
      <c r="BE22" s="20" t="s">
        <v>111</v>
      </c>
      <c r="BF22" s="79"/>
      <c r="BG22" s="31" t="s">
        <v>218</v>
      </c>
      <c r="BH22" s="19" t="s">
        <v>7</v>
      </c>
      <c r="BI22" s="19">
        <v>0.75</v>
      </c>
      <c r="BJ22" s="19">
        <v>0.41</v>
      </c>
      <c r="BK22">
        <v>1</v>
      </c>
      <c r="BL22">
        <v>1</v>
      </c>
      <c r="BM22">
        <v>0.31</v>
      </c>
      <c r="BN22" s="24">
        <f>(BI22*BK22+BJ22*BL22)*(1+BM22)</f>
        <v>1.5196000000000001</v>
      </c>
    </row>
    <row r="23" spans="1:66" ht="30" customHeight="1" x14ac:dyDescent="0.3">
      <c r="A23" s="244"/>
      <c r="B23" s="66">
        <v>72510103000</v>
      </c>
      <c r="C23" s="66"/>
      <c r="D23" s="31" t="s">
        <v>14</v>
      </c>
      <c r="E23" t="s">
        <v>9</v>
      </c>
      <c r="F23">
        <v>0.16</v>
      </c>
      <c r="G23">
        <v>0.08</v>
      </c>
      <c r="H23">
        <v>1</v>
      </c>
      <c r="I23">
        <v>1</v>
      </c>
      <c r="J23">
        <v>0.28999999999999998</v>
      </c>
      <c r="K23" s="24">
        <f t="shared" si="6"/>
        <v>0.30959999999999999</v>
      </c>
      <c r="L23" s="244"/>
      <c r="M23" s="70">
        <v>72510103000</v>
      </c>
      <c r="N23" s="70"/>
      <c r="O23" s="31" t="s">
        <v>14</v>
      </c>
      <c r="P23" t="s">
        <v>9</v>
      </c>
      <c r="Q23">
        <v>0.16</v>
      </c>
      <c r="R23">
        <v>0.08</v>
      </c>
      <c r="S23">
        <v>1</v>
      </c>
      <c r="T23">
        <v>1</v>
      </c>
      <c r="U23">
        <v>0.28999999999999998</v>
      </c>
      <c r="V23" s="24">
        <f t="shared" si="11"/>
        <v>0.30959999999999999</v>
      </c>
      <c r="W23" s="244"/>
      <c r="X23" s="76">
        <v>72510103000</v>
      </c>
      <c r="Y23" s="76"/>
      <c r="Z23" s="31" t="s">
        <v>14</v>
      </c>
      <c r="AA23" t="s">
        <v>9</v>
      </c>
      <c r="AB23">
        <v>0.16</v>
      </c>
      <c r="AC23">
        <v>0.08</v>
      </c>
      <c r="AD23">
        <v>1</v>
      </c>
      <c r="AE23">
        <v>1</v>
      </c>
      <c r="AF23">
        <v>0.28999999999999998</v>
      </c>
      <c r="AG23" s="24">
        <f t="shared" si="7"/>
        <v>0.30959999999999999</v>
      </c>
      <c r="AH23" s="244"/>
      <c r="AI23" s="76">
        <v>72510103000</v>
      </c>
      <c r="AJ23" s="79"/>
      <c r="AK23" s="31" t="s">
        <v>14</v>
      </c>
      <c r="AL23" t="s">
        <v>9</v>
      </c>
      <c r="AM23">
        <v>0.16</v>
      </c>
      <c r="AN23">
        <v>0.08</v>
      </c>
      <c r="AO23">
        <v>1</v>
      </c>
      <c r="AP23">
        <v>1</v>
      </c>
      <c r="AQ23">
        <v>0.28999999999999998</v>
      </c>
      <c r="AR23" s="24">
        <f t="shared" si="8"/>
        <v>0.30959999999999999</v>
      </c>
      <c r="AS23" s="244"/>
      <c r="AT23" s="76">
        <v>72510103000</v>
      </c>
      <c r="AU23" s="79"/>
      <c r="AV23" s="31" t="s">
        <v>14</v>
      </c>
      <c r="AW23" t="s">
        <v>9</v>
      </c>
      <c r="AX23">
        <v>0.16</v>
      </c>
      <c r="AY23">
        <v>0.08</v>
      </c>
      <c r="AZ23">
        <v>1</v>
      </c>
      <c r="BA23">
        <v>1</v>
      </c>
      <c r="BB23">
        <v>0.28999999999999998</v>
      </c>
      <c r="BC23" s="24">
        <f t="shared" si="9"/>
        <v>0.30959999999999999</v>
      </c>
      <c r="BD23" s="246"/>
      <c r="BE23" s="76">
        <v>72510103000</v>
      </c>
      <c r="BF23" s="79"/>
      <c r="BG23" s="31" t="s">
        <v>14</v>
      </c>
      <c r="BH23" t="s">
        <v>9</v>
      </c>
      <c r="BI23">
        <v>0.16</v>
      </c>
      <c r="BJ23">
        <v>0.08</v>
      </c>
      <c r="BK23">
        <v>1</v>
      </c>
      <c r="BL23">
        <v>1</v>
      </c>
      <c r="BM23">
        <v>0.28999999999999998</v>
      </c>
      <c r="BN23" s="24">
        <f t="shared" si="10"/>
        <v>0.30959999999999999</v>
      </c>
    </row>
    <row r="24" spans="1:66" x14ac:dyDescent="0.3">
      <c r="A24" s="244"/>
      <c r="B24" s="66">
        <v>74623105270</v>
      </c>
      <c r="C24" s="66"/>
      <c r="D24" s="31" t="s">
        <v>10</v>
      </c>
      <c r="E24" t="s">
        <v>9</v>
      </c>
      <c r="F24">
        <v>5.2</v>
      </c>
      <c r="G24">
        <v>0.92</v>
      </c>
      <c r="H24">
        <v>1</v>
      </c>
      <c r="I24">
        <v>1</v>
      </c>
      <c r="J24">
        <v>0.18</v>
      </c>
      <c r="K24" s="24">
        <f t="shared" si="6"/>
        <v>7.2215999999999996</v>
      </c>
      <c r="L24" s="244"/>
      <c r="M24" s="70">
        <v>74623105270</v>
      </c>
      <c r="N24" s="70"/>
      <c r="O24" s="31" t="s">
        <v>10</v>
      </c>
      <c r="P24" t="s">
        <v>9</v>
      </c>
      <c r="Q24">
        <v>5.2</v>
      </c>
      <c r="R24">
        <v>0.92</v>
      </c>
      <c r="S24">
        <v>1</v>
      </c>
      <c r="T24">
        <v>1</v>
      </c>
      <c r="U24">
        <v>0.18</v>
      </c>
      <c r="V24" s="24">
        <f t="shared" si="11"/>
        <v>7.2215999999999996</v>
      </c>
      <c r="W24" s="244"/>
      <c r="X24" s="76">
        <v>74623105270</v>
      </c>
      <c r="Y24" s="76"/>
      <c r="Z24" s="31" t="s">
        <v>10</v>
      </c>
      <c r="AA24" t="s">
        <v>9</v>
      </c>
      <c r="AB24">
        <v>5.2</v>
      </c>
      <c r="AC24">
        <v>0.92</v>
      </c>
      <c r="AD24">
        <v>1</v>
      </c>
      <c r="AE24">
        <v>1</v>
      </c>
      <c r="AF24">
        <v>0.18</v>
      </c>
      <c r="AG24" s="24">
        <f t="shared" si="7"/>
        <v>7.2215999999999996</v>
      </c>
      <c r="AH24" s="244"/>
      <c r="AI24" s="76">
        <v>74623105270</v>
      </c>
      <c r="AJ24" s="79"/>
      <c r="AK24" s="31" t="s">
        <v>10</v>
      </c>
      <c r="AL24" t="s">
        <v>9</v>
      </c>
      <c r="AM24">
        <v>5.2</v>
      </c>
      <c r="AN24">
        <v>0.92</v>
      </c>
      <c r="AO24">
        <v>1</v>
      </c>
      <c r="AP24">
        <v>1</v>
      </c>
      <c r="AQ24">
        <v>0.18</v>
      </c>
      <c r="AR24" s="24">
        <f t="shared" si="8"/>
        <v>7.2215999999999996</v>
      </c>
      <c r="AS24" s="244"/>
      <c r="AT24" s="76">
        <v>74623105270</v>
      </c>
      <c r="AU24" s="79"/>
      <c r="AV24" s="31" t="s">
        <v>10</v>
      </c>
      <c r="AW24" t="s">
        <v>9</v>
      </c>
      <c r="AX24">
        <v>5.2</v>
      </c>
      <c r="AY24">
        <v>0.92</v>
      </c>
      <c r="AZ24">
        <v>1</v>
      </c>
      <c r="BA24">
        <v>1</v>
      </c>
      <c r="BB24">
        <v>0.18</v>
      </c>
      <c r="BC24" s="24">
        <f t="shared" si="9"/>
        <v>7.2215999999999996</v>
      </c>
      <c r="BD24" s="246"/>
      <c r="BE24" s="76">
        <v>74623105270</v>
      </c>
      <c r="BF24" s="79"/>
      <c r="BG24" s="31" t="s">
        <v>10</v>
      </c>
      <c r="BH24" t="s">
        <v>9</v>
      </c>
      <c r="BI24">
        <v>5.2</v>
      </c>
      <c r="BJ24">
        <v>0.92</v>
      </c>
      <c r="BK24">
        <v>1</v>
      </c>
      <c r="BL24">
        <v>1</v>
      </c>
      <c r="BM24">
        <v>0.18</v>
      </c>
      <c r="BN24" s="24">
        <f t="shared" si="10"/>
        <v>7.2215999999999996</v>
      </c>
    </row>
    <row r="25" spans="1:66" ht="15" customHeight="1" x14ac:dyDescent="0.3">
      <c r="A25" s="244"/>
      <c r="B25" s="66" t="s">
        <v>88</v>
      </c>
      <c r="C25" s="66"/>
      <c r="D25" s="31" t="s">
        <v>22</v>
      </c>
      <c r="E25" t="s">
        <v>21</v>
      </c>
      <c r="F25">
        <v>0.03</v>
      </c>
      <c r="G25">
        <v>0.21</v>
      </c>
      <c r="H25">
        <v>1</v>
      </c>
      <c r="I25">
        <v>1</v>
      </c>
      <c r="J25">
        <v>0</v>
      </c>
      <c r="K25" s="24">
        <f t="shared" si="6"/>
        <v>0.24</v>
      </c>
      <c r="L25" s="244"/>
      <c r="M25" s="70" t="s">
        <v>88</v>
      </c>
      <c r="N25" s="70"/>
      <c r="O25" s="31" t="s">
        <v>22</v>
      </c>
      <c r="P25" t="s">
        <v>21</v>
      </c>
      <c r="Q25">
        <v>0.03</v>
      </c>
      <c r="R25">
        <v>0.21</v>
      </c>
      <c r="S25">
        <v>1</v>
      </c>
      <c r="T25">
        <v>1</v>
      </c>
      <c r="U25">
        <v>0</v>
      </c>
      <c r="V25" s="24">
        <f t="shared" si="11"/>
        <v>0.24</v>
      </c>
      <c r="W25" s="244"/>
      <c r="X25" s="76" t="s">
        <v>88</v>
      </c>
      <c r="Y25" s="76"/>
      <c r="Z25" s="31" t="s">
        <v>22</v>
      </c>
      <c r="AA25" t="s">
        <v>21</v>
      </c>
      <c r="AB25">
        <v>0.03</v>
      </c>
      <c r="AC25">
        <v>0.21</v>
      </c>
      <c r="AD25">
        <v>1</v>
      </c>
      <c r="AE25">
        <v>1</v>
      </c>
      <c r="AF25">
        <v>0</v>
      </c>
      <c r="AG25" s="24">
        <f t="shared" si="7"/>
        <v>0.24</v>
      </c>
      <c r="AH25" s="244"/>
      <c r="AI25" s="76" t="s">
        <v>88</v>
      </c>
      <c r="AJ25" s="79"/>
      <c r="AK25" s="31" t="s">
        <v>22</v>
      </c>
      <c r="AL25" t="s">
        <v>21</v>
      </c>
      <c r="AM25">
        <v>0.03</v>
      </c>
      <c r="AN25">
        <v>0.21</v>
      </c>
      <c r="AO25">
        <v>1</v>
      </c>
      <c r="AP25">
        <v>1</v>
      </c>
      <c r="AQ25">
        <v>0</v>
      </c>
      <c r="AR25" s="24">
        <f t="shared" si="8"/>
        <v>0.24</v>
      </c>
      <c r="AS25" s="244"/>
      <c r="AT25" s="76" t="s">
        <v>88</v>
      </c>
      <c r="AU25" s="79"/>
      <c r="AV25" s="31" t="s">
        <v>22</v>
      </c>
      <c r="AW25" t="s">
        <v>21</v>
      </c>
      <c r="AX25">
        <v>0.03</v>
      </c>
      <c r="AY25">
        <v>0.21</v>
      </c>
      <c r="AZ25">
        <v>1</v>
      </c>
      <c r="BA25">
        <v>1</v>
      </c>
      <c r="BB25">
        <v>0</v>
      </c>
      <c r="BC25" s="24">
        <f t="shared" si="9"/>
        <v>0.24</v>
      </c>
      <c r="BD25" s="246"/>
      <c r="BE25" s="76" t="s">
        <v>88</v>
      </c>
      <c r="BF25" s="79"/>
      <c r="BG25" s="31" t="s">
        <v>22</v>
      </c>
      <c r="BH25" t="s">
        <v>21</v>
      </c>
      <c r="BI25">
        <v>0.03</v>
      </c>
      <c r="BJ25">
        <v>0.21</v>
      </c>
      <c r="BK25">
        <v>1</v>
      </c>
      <c r="BL25">
        <v>1</v>
      </c>
      <c r="BM25">
        <v>0</v>
      </c>
      <c r="BN25" s="24">
        <f t="shared" si="10"/>
        <v>0.24</v>
      </c>
    </row>
    <row r="26" spans="1:66" ht="15" customHeight="1" x14ac:dyDescent="0.3">
      <c r="A26" s="244"/>
      <c r="B26" s="66">
        <v>99113620580</v>
      </c>
      <c r="C26" s="66"/>
      <c r="D26" s="31" t="s">
        <v>246</v>
      </c>
      <c r="E26" t="s">
        <v>9</v>
      </c>
      <c r="F26">
        <v>0.1</v>
      </c>
      <c r="G26">
        <v>0.1</v>
      </c>
      <c r="H26">
        <v>1</v>
      </c>
      <c r="I26">
        <v>1</v>
      </c>
      <c r="J26">
        <v>0.35</v>
      </c>
      <c r="K26" s="24">
        <f t="shared" si="6"/>
        <v>0.27</v>
      </c>
      <c r="L26" s="244"/>
      <c r="M26" s="70">
        <v>99113620580</v>
      </c>
      <c r="N26" s="70"/>
      <c r="O26" s="31" t="s">
        <v>246</v>
      </c>
      <c r="P26" t="s">
        <v>9</v>
      </c>
      <c r="Q26">
        <v>0.1</v>
      </c>
      <c r="R26">
        <v>0.1</v>
      </c>
      <c r="S26">
        <v>1</v>
      </c>
      <c r="T26">
        <v>1</v>
      </c>
      <c r="U26">
        <v>0.35</v>
      </c>
      <c r="V26" s="24">
        <f t="shared" si="11"/>
        <v>0.27</v>
      </c>
      <c r="W26" s="244"/>
      <c r="X26" s="76">
        <v>99113620580</v>
      </c>
      <c r="Y26" s="76"/>
      <c r="Z26" s="31" t="s">
        <v>246</v>
      </c>
      <c r="AA26" t="s">
        <v>9</v>
      </c>
      <c r="AB26">
        <v>0.1</v>
      </c>
      <c r="AC26">
        <v>0.1</v>
      </c>
      <c r="AD26">
        <v>1</v>
      </c>
      <c r="AE26">
        <v>1</v>
      </c>
      <c r="AF26">
        <v>0.35</v>
      </c>
      <c r="AG26" s="24">
        <f t="shared" si="7"/>
        <v>0.27</v>
      </c>
      <c r="AH26" s="244"/>
      <c r="AI26" s="76">
        <v>99113620580</v>
      </c>
      <c r="AJ26" s="79"/>
      <c r="AK26" s="31" t="s">
        <v>246</v>
      </c>
      <c r="AL26" t="s">
        <v>9</v>
      </c>
      <c r="AM26">
        <v>0.1</v>
      </c>
      <c r="AN26">
        <v>0.1</v>
      </c>
      <c r="AO26">
        <v>1</v>
      </c>
      <c r="AP26">
        <v>1</v>
      </c>
      <c r="AQ26">
        <v>0.35</v>
      </c>
      <c r="AR26" s="24">
        <f t="shared" si="8"/>
        <v>0.27</v>
      </c>
      <c r="AS26" s="244"/>
      <c r="AT26" s="76">
        <v>99113620580</v>
      </c>
      <c r="AU26" s="79"/>
      <c r="AV26" s="31" t="s">
        <v>246</v>
      </c>
      <c r="AW26" t="s">
        <v>9</v>
      </c>
      <c r="AX26">
        <v>0.1</v>
      </c>
      <c r="AY26">
        <v>0.1</v>
      </c>
      <c r="AZ26">
        <v>1</v>
      </c>
      <c r="BA26">
        <v>1</v>
      </c>
      <c r="BB26">
        <v>0.35</v>
      </c>
      <c r="BC26" s="24">
        <f t="shared" si="9"/>
        <v>0.27</v>
      </c>
      <c r="BD26" s="246"/>
      <c r="BE26" s="76">
        <v>99113620580</v>
      </c>
      <c r="BF26" s="79"/>
      <c r="BG26" s="31" t="s">
        <v>246</v>
      </c>
      <c r="BH26" t="s">
        <v>9</v>
      </c>
      <c r="BI26">
        <v>0.1</v>
      </c>
      <c r="BJ26">
        <v>0.1</v>
      </c>
      <c r="BK26">
        <v>1</v>
      </c>
      <c r="BL26">
        <v>1</v>
      </c>
      <c r="BM26">
        <v>0.35</v>
      </c>
      <c r="BN26" s="24">
        <f t="shared" si="10"/>
        <v>0.27</v>
      </c>
    </row>
    <row r="27" spans="1:66" ht="15" customHeight="1" x14ac:dyDescent="0.3">
      <c r="A27" s="244"/>
      <c r="B27" s="66">
        <v>99113604000</v>
      </c>
      <c r="C27" s="66"/>
      <c r="D27" s="31" t="s">
        <v>247</v>
      </c>
      <c r="E27" t="s">
        <v>9</v>
      </c>
      <c r="F27">
        <v>0.19</v>
      </c>
      <c r="G27">
        <v>0.17</v>
      </c>
      <c r="H27">
        <v>1</v>
      </c>
      <c r="I27">
        <v>1</v>
      </c>
      <c r="J27">
        <v>0.36</v>
      </c>
      <c r="K27" s="24">
        <f t="shared" si="6"/>
        <v>0.48959999999999992</v>
      </c>
      <c r="L27" s="244"/>
      <c r="M27" s="70">
        <v>99113604000</v>
      </c>
      <c r="N27" s="70"/>
      <c r="O27" s="31" t="s">
        <v>247</v>
      </c>
      <c r="P27" t="s">
        <v>9</v>
      </c>
      <c r="Q27">
        <v>0.19</v>
      </c>
      <c r="R27">
        <v>0.17</v>
      </c>
      <c r="S27">
        <v>1</v>
      </c>
      <c r="T27">
        <v>1</v>
      </c>
      <c r="U27">
        <v>0.36</v>
      </c>
      <c r="V27" s="24">
        <f t="shared" si="11"/>
        <v>0.48959999999999992</v>
      </c>
      <c r="W27" s="244"/>
      <c r="X27" s="76">
        <v>99113604000</v>
      </c>
      <c r="Y27" s="76"/>
      <c r="Z27" s="31" t="s">
        <v>247</v>
      </c>
      <c r="AA27" t="s">
        <v>9</v>
      </c>
      <c r="AB27">
        <v>0.19</v>
      </c>
      <c r="AC27">
        <v>0.17</v>
      </c>
      <c r="AD27">
        <v>1</v>
      </c>
      <c r="AE27">
        <v>1</v>
      </c>
      <c r="AF27">
        <v>0.36</v>
      </c>
      <c r="AG27" s="24">
        <f t="shared" si="7"/>
        <v>0.48959999999999992</v>
      </c>
      <c r="AH27" s="244"/>
      <c r="AI27" s="76">
        <v>99113604000</v>
      </c>
      <c r="AJ27" s="79"/>
      <c r="AK27" s="31" t="s">
        <v>247</v>
      </c>
      <c r="AL27" t="s">
        <v>9</v>
      </c>
      <c r="AM27">
        <v>0.19</v>
      </c>
      <c r="AN27">
        <v>0.17</v>
      </c>
      <c r="AO27">
        <v>1</v>
      </c>
      <c r="AP27">
        <v>1</v>
      </c>
      <c r="AQ27">
        <v>0.36</v>
      </c>
      <c r="AR27" s="24">
        <f t="shared" si="8"/>
        <v>0.48959999999999992</v>
      </c>
      <c r="AS27" s="244"/>
      <c r="AT27" s="76">
        <v>99113604000</v>
      </c>
      <c r="AU27" s="79"/>
      <c r="AV27" s="31" t="s">
        <v>247</v>
      </c>
      <c r="AW27" t="s">
        <v>9</v>
      </c>
      <c r="AX27">
        <v>0.19</v>
      </c>
      <c r="AY27">
        <v>0.17</v>
      </c>
      <c r="AZ27">
        <v>1</v>
      </c>
      <c r="BA27">
        <v>1</v>
      </c>
      <c r="BB27">
        <v>0.36</v>
      </c>
      <c r="BC27" s="24">
        <f t="shared" si="9"/>
        <v>0.48959999999999992</v>
      </c>
      <c r="BD27" s="246"/>
      <c r="BE27" s="76">
        <v>99113604000</v>
      </c>
      <c r="BF27" s="79"/>
      <c r="BG27" s="31" t="s">
        <v>247</v>
      </c>
      <c r="BH27" t="s">
        <v>9</v>
      </c>
      <c r="BI27">
        <v>0.19</v>
      </c>
      <c r="BJ27">
        <v>0.17</v>
      </c>
      <c r="BK27">
        <v>1</v>
      </c>
      <c r="BL27">
        <v>1</v>
      </c>
      <c r="BM27">
        <v>0.36</v>
      </c>
      <c r="BN27" s="24">
        <f t="shared" si="10"/>
        <v>0.48959999999999992</v>
      </c>
    </row>
    <row r="28" spans="1:66" x14ac:dyDescent="0.3">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3">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3">
      <c r="A30" s="243" t="s">
        <v>91</v>
      </c>
      <c r="B30" s="65">
        <v>92910300300</v>
      </c>
      <c r="C30" s="65">
        <v>3</v>
      </c>
      <c r="D30" s="31" t="s">
        <v>11</v>
      </c>
      <c r="E30" t="s">
        <v>9</v>
      </c>
      <c r="F30">
        <v>0.33</v>
      </c>
      <c r="G30">
        <v>0.3</v>
      </c>
      <c r="H30">
        <v>1</v>
      </c>
      <c r="I30">
        <v>1</v>
      </c>
      <c r="J30">
        <v>0.38100000000000001</v>
      </c>
      <c r="K30" s="24">
        <f t="shared" ref="K30:K36" si="12">(F30*H30+G30*I30)*(1+J30)</f>
        <v>0.87002999999999997</v>
      </c>
      <c r="L30" s="243" t="s">
        <v>91</v>
      </c>
      <c r="M30" s="69">
        <v>92910300300</v>
      </c>
      <c r="N30" s="69">
        <v>3</v>
      </c>
      <c r="O30" s="31" t="s">
        <v>11</v>
      </c>
      <c r="P30" t="s">
        <v>9</v>
      </c>
      <c r="Q30">
        <v>0.33</v>
      </c>
      <c r="R30">
        <v>0.3</v>
      </c>
      <c r="S30">
        <v>1</v>
      </c>
      <c r="T30">
        <v>1</v>
      </c>
      <c r="U30">
        <v>0.38100000000000001</v>
      </c>
      <c r="V30" s="24">
        <f t="shared" ref="V30:V36" si="13">(Q30*S30+R30*T30)*(1+U30)</f>
        <v>0.87002999999999997</v>
      </c>
      <c r="W30" s="243" t="s">
        <v>91</v>
      </c>
      <c r="X30" s="75">
        <v>92910300300</v>
      </c>
      <c r="Y30" s="75">
        <v>3</v>
      </c>
      <c r="Z30" s="31" t="s">
        <v>11</v>
      </c>
      <c r="AA30" t="s">
        <v>9</v>
      </c>
      <c r="AB30">
        <v>0.33</v>
      </c>
      <c r="AC30">
        <v>0.3</v>
      </c>
      <c r="AD30">
        <v>1</v>
      </c>
      <c r="AE30">
        <v>1</v>
      </c>
      <c r="AF30">
        <v>0.38100000000000001</v>
      </c>
      <c r="AG30" s="24">
        <f t="shared" ref="AG30:AG37" si="14">(AB30*AD30+AC30*AE30)*(1+AF30)</f>
        <v>0.87002999999999997</v>
      </c>
      <c r="AH30" s="243" t="s">
        <v>91</v>
      </c>
      <c r="AI30" s="75">
        <v>92910300300</v>
      </c>
      <c r="AJ30" s="78">
        <v>3</v>
      </c>
      <c r="AK30" s="31" t="s">
        <v>11</v>
      </c>
      <c r="AL30" t="s">
        <v>9</v>
      </c>
      <c r="AM30">
        <v>0.33</v>
      </c>
      <c r="AN30">
        <v>0.3</v>
      </c>
      <c r="AO30">
        <v>1</v>
      </c>
      <c r="AP30">
        <v>1</v>
      </c>
      <c r="AQ30">
        <v>0.38100000000000001</v>
      </c>
      <c r="AR30" s="24">
        <f>(AM30*AO30+AN30*AP30)*(1+AQ30)</f>
        <v>0.87002999999999997</v>
      </c>
      <c r="AS30" s="243"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5"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x14ac:dyDescent="0.3">
      <c r="A31" s="244"/>
      <c r="B31" s="66" t="s">
        <v>88</v>
      </c>
      <c r="C31" s="66"/>
      <c r="D31" s="31" t="s">
        <v>245</v>
      </c>
      <c r="E31" t="s">
        <v>6</v>
      </c>
      <c r="F31">
        <v>0.71</v>
      </c>
      <c r="G31">
        <v>1.1299999999999999</v>
      </c>
      <c r="H31">
        <v>1</v>
      </c>
      <c r="I31">
        <v>1</v>
      </c>
      <c r="J31">
        <v>0</v>
      </c>
      <c r="K31" s="24">
        <f t="shared" si="12"/>
        <v>1.8399999999999999</v>
      </c>
      <c r="L31" s="244"/>
      <c r="M31" s="70" t="s">
        <v>88</v>
      </c>
      <c r="N31" s="70"/>
      <c r="O31" s="31" t="s">
        <v>245</v>
      </c>
      <c r="P31" t="s">
        <v>6</v>
      </c>
      <c r="Q31">
        <v>0.71</v>
      </c>
      <c r="R31">
        <v>1.1299999999999999</v>
      </c>
      <c r="S31">
        <v>1</v>
      </c>
      <c r="T31">
        <v>1</v>
      </c>
      <c r="U31">
        <v>0</v>
      </c>
      <c r="V31" s="24">
        <f t="shared" si="13"/>
        <v>1.8399999999999999</v>
      </c>
      <c r="W31" s="244"/>
      <c r="X31" s="76" t="s">
        <v>88</v>
      </c>
      <c r="Y31" s="76"/>
      <c r="Z31" s="31" t="s">
        <v>245</v>
      </c>
      <c r="AA31" t="s">
        <v>6</v>
      </c>
      <c r="AB31">
        <v>0.71</v>
      </c>
      <c r="AC31">
        <v>1.1299999999999999</v>
      </c>
      <c r="AD31">
        <v>1</v>
      </c>
      <c r="AE31">
        <v>1</v>
      </c>
      <c r="AF31">
        <v>0</v>
      </c>
      <c r="AG31" s="24">
        <f t="shared" si="14"/>
        <v>1.8399999999999999</v>
      </c>
      <c r="AH31" s="244"/>
      <c r="AI31" s="76" t="s">
        <v>88</v>
      </c>
      <c r="AJ31" s="79"/>
      <c r="AK31" s="31" t="s">
        <v>245</v>
      </c>
      <c r="AL31" t="s">
        <v>6</v>
      </c>
      <c r="AM31">
        <v>0.71</v>
      </c>
      <c r="AN31">
        <v>1.1299999999999999</v>
      </c>
      <c r="AO31">
        <v>1</v>
      </c>
      <c r="AP31">
        <v>1</v>
      </c>
      <c r="AQ31">
        <v>0</v>
      </c>
      <c r="AR31" s="24">
        <f>(AM31*AO31+AN31*AP31)*(1+AQ31)</f>
        <v>1.8399999999999999</v>
      </c>
      <c r="AS31" s="244"/>
      <c r="AT31" s="76" t="s">
        <v>88</v>
      </c>
      <c r="AU31" s="79"/>
      <c r="AV31" s="31" t="s">
        <v>245</v>
      </c>
      <c r="AW31" t="s">
        <v>6</v>
      </c>
      <c r="AX31">
        <v>0.71</v>
      </c>
      <c r="AY31">
        <v>1.1299999999999999</v>
      </c>
      <c r="AZ31">
        <v>1</v>
      </c>
      <c r="BA31">
        <v>1</v>
      </c>
      <c r="BB31">
        <v>0</v>
      </c>
      <c r="BC31" s="24">
        <f t="shared" si="15"/>
        <v>1.8399999999999999</v>
      </c>
      <c r="BD31" s="246"/>
      <c r="BE31" s="76" t="s">
        <v>88</v>
      </c>
      <c r="BF31" s="79"/>
      <c r="BG31" s="31" t="s">
        <v>245</v>
      </c>
      <c r="BH31" t="s">
        <v>6</v>
      </c>
      <c r="BI31">
        <v>0.71</v>
      </c>
      <c r="BJ31">
        <v>1.1299999999999999</v>
      </c>
      <c r="BK31">
        <v>1</v>
      </c>
      <c r="BL31">
        <v>1</v>
      </c>
      <c r="BM31">
        <v>0</v>
      </c>
      <c r="BN31" s="24">
        <f t="shared" si="16"/>
        <v>1.8399999999999999</v>
      </c>
    </row>
    <row r="32" spans="1:66" x14ac:dyDescent="0.3">
      <c r="A32" s="244"/>
      <c r="B32" s="66">
        <v>72610100700</v>
      </c>
      <c r="C32" s="66"/>
      <c r="D32" s="31" t="s">
        <v>12</v>
      </c>
      <c r="E32" t="s">
        <v>9</v>
      </c>
      <c r="F32">
        <v>2.5000000000000001E-2</v>
      </c>
      <c r="G32">
        <v>8.2000000000000003E-2</v>
      </c>
      <c r="H32">
        <v>1</v>
      </c>
      <c r="I32">
        <v>1</v>
      </c>
      <c r="J32">
        <v>0.54300000000000004</v>
      </c>
      <c r="K32" s="24">
        <f t="shared" si="12"/>
        <v>0.16510100000000003</v>
      </c>
      <c r="L32" s="244"/>
      <c r="M32" s="70">
        <v>72610100700</v>
      </c>
      <c r="N32" s="70"/>
      <c r="O32" s="31" t="s">
        <v>12</v>
      </c>
      <c r="P32" t="s">
        <v>9</v>
      </c>
      <c r="Q32">
        <v>2.5000000000000001E-2</v>
      </c>
      <c r="R32">
        <v>8.2000000000000003E-2</v>
      </c>
      <c r="S32">
        <v>1</v>
      </c>
      <c r="T32">
        <v>1</v>
      </c>
      <c r="U32">
        <v>0.54300000000000004</v>
      </c>
      <c r="V32" s="24">
        <f t="shared" si="13"/>
        <v>0.16510100000000003</v>
      </c>
      <c r="W32" s="244"/>
      <c r="X32" s="76">
        <v>72610100700</v>
      </c>
      <c r="Y32" s="76"/>
      <c r="Z32" s="31" t="s">
        <v>12</v>
      </c>
      <c r="AA32" t="s">
        <v>9</v>
      </c>
      <c r="AB32">
        <v>2.5000000000000001E-2</v>
      </c>
      <c r="AC32">
        <v>8.2000000000000003E-2</v>
      </c>
      <c r="AD32">
        <v>1</v>
      </c>
      <c r="AE32">
        <v>1</v>
      </c>
      <c r="AF32">
        <v>0.54300000000000004</v>
      </c>
      <c r="AG32" s="24">
        <f t="shared" si="14"/>
        <v>0.16510100000000003</v>
      </c>
      <c r="AH32" s="244"/>
      <c r="AI32" s="76">
        <v>72610100700</v>
      </c>
      <c r="AJ32" s="79"/>
      <c r="AK32" s="31" t="s">
        <v>12</v>
      </c>
      <c r="AL32" t="s">
        <v>9</v>
      </c>
      <c r="AM32">
        <v>2.5000000000000001E-2</v>
      </c>
      <c r="AN32">
        <v>8.2000000000000003E-2</v>
      </c>
      <c r="AO32">
        <v>1</v>
      </c>
      <c r="AP32">
        <v>1</v>
      </c>
      <c r="AQ32">
        <v>0.54300000000000004</v>
      </c>
      <c r="AR32" s="24">
        <f>(AM32*AO32+AN32*AP32)*(1+AQ32)</f>
        <v>0.16510100000000003</v>
      </c>
      <c r="AS32" s="244"/>
      <c r="AT32" s="76">
        <v>72610100700</v>
      </c>
      <c r="AU32" s="79"/>
      <c r="AV32" s="31" t="s">
        <v>12</v>
      </c>
      <c r="AW32" t="s">
        <v>9</v>
      </c>
      <c r="AX32">
        <v>2.5000000000000001E-2</v>
      </c>
      <c r="AY32">
        <v>8.2000000000000003E-2</v>
      </c>
      <c r="AZ32">
        <v>1</v>
      </c>
      <c r="BA32">
        <v>1</v>
      </c>
      <c r="BB32">
        <v>0.54300000000000004</v>
      </c>
      <c r="BC32" s="24">
        <f t="shared" si="15"/>
        <v>0.16510100000000003</v>
      </c>
      <c r="BD32" s="246"/>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x14ac:dyDescent="0.3">
      <c r="A33" s="244"/>
      <c r="B33" s="21">
        <v>72116200444</v>
      </c>
      <c r="C33" s="3"/>
      <c r="D33" s="31" t="s">
        <v>136</v>
      </c>
      <c r="E33" t="s">
        <v>9</v>
      </c>
      <c r="F33">
        <v>0.48</v>
      </c>
      <c r="G33">
        <v>0.22</v>
      </c>
      <c r="H33">
        <v>1.33</v>
      </c>
      <c r="I33">
        <v>1</v>
      </c>
      <c r="J33">
        <v>0.3</v>
      </c>
      <c r="K33" s="24">
        <f t="shared" si="12"/>
        <v>1.11592</v>
      </c>
      <c r="L33" s="244"/>
      <c r="M33" s="70">
        <v>72116200486</v>
      </c>
      <c r="N33" s="70"/>
      <c r="O33" s="31" t="s">
        <v>8</v>
      </c>
      <c r="P33" t="s">
        <v>9</v>
      </c>
      <c r="Q33">
        <v>0.64</v>
      </c>
      <c r="R33">
        <v>0.19</v>
      </c>
      <c r="S33">
        <v>1</v>
      </c>
      <c r="T33">
        <v>1</v>
      </c>
      <c r="U33">
        <v>0.22900000000000001</v>
      </c>
      <c r="V33" s="24">
        <f t="shared" si="13"/>
        <v>1.0200700000000003</v>
      </c>
      <c r="W33" s="244"/>
      <c r="X33" s="76">
        <v>72116200486</v>
      </c>
      <c r="Y33" s="76"/>
      <c r="Z33" s="31" t="s">
        <v>8</v>
      </c>
      <c r="AA33" t="s">
        <v>9</v>
      </c>
      <c r="AB33">
        <v>0.64</v>
      </c>
      <c r="AC33">
        <v>0.19</v>
      </c>
      <c r="AD33">
        <v>1</v>
      </c>
      <c r="AE33">
        <v>1</v>
      </c>
      <c r="AF33">
        <v>0.22900000000000001</v>
      </c>
      <c r="AG33" s="24">
        <f t="shared" si="14"/>
        <v>1.0200700000000003</v>
      </c>
      <c r="AH33" s="244"/>
      <c r="AI33" s="76">
        <v>72116200486</v>
      </c>
      <c r="AJ33" s="79"/>
      <c r="AK33" s="31" t="s">
        <v>8</v>
      </c>
      <c r="AL33" t="s">
        <v>9</v>
      </c>
      <c r="AM33">
        <v>0.64</v>
      </c>
      <c r="AN33">
        <v>0.19</v>
      </c>
      <c r="AO33">
        <v>1</v>
      </c>
      <c r="AP33">
        <v>1</v>
      </c>
      <c r="AQ33">
        <v>0.22900000000000001</v>
      </c>
      <c r="AR33" s="24">
        <f>(AM33*AO33+AN33*AP33)*(1+AQ33)</f>
        <v>1.0200700000000003</v>
      </c>
      <c r="AS33" s="244"/>
      <c r="AT33" s="76">
        <v>72116200486</v>
      </c>
      <c r="AU33" s="79"/>
      <c r="AV33" s="31" t="s">
        <v>8</v>
      </c>
      <c r="AW33" t="s">
        <v>9</v>
      </c>
      <c r="AX33">
        <v>0.64</v>
      </c>
      <c r="AY33">
        <v>0.19</v>
      </c>
      <c r="AZ33">
        <v>1</v>
      </c>
      <c r="BA33">
        <v>1</v>
      </c>
      <c r="BB33">
        <v>0.22900000000000001</v>
      </c>
      <c r="BC33" s="24">
        <f t="shared" si="15"/>
        <v>1.0200700000000003</v>
      </c>
      <c r="BD33" s="246"/>
      <c r="BE33" s="76">
        <v>72116200486</v>
      </c>
      <c r="BF33" s="79"/>
      <c r="BG33" s="31" t="s">
        <v>8</v>
      </c>
      <c r="BH33" t="s">
        <v>9</v>
      </c>
      <c r="BI33">
        <v>0.64</v>
      </c>
      <c r="BJ33">
        <v>0.19</v>
      </c>
      <c r="BK33">
        <v>1</v>
      </c>
      <c r="BL33">
        <v>1</v>
      </c>
      <c r="BM33">
        <v>0.22900000000000001</v>
      </c>
      <c r="BN33" s="24">
        <f t="shared" si="16"/>
        <v>1.0200700000000003</v>
      </c>
    </row>
    <row r="34" spans="1:66" ht="28.8" x14ac:dyDescent="0.3">
      <c r="A34" s="244"/>
      <c r="B34" s="66">
        <v>61636100605</v>
      </c>
      <c r="C34" s="66"/>
      <c r="D34" s="31" t="s">
        <v>244</v>
      </c>
      <c r="E34" t="s">
        <v>7</v>
      </c>
      <c r="F34">
        <v>0.68</v>
      </c>
      <c r="G34">
        <v>0.43</v>
      </c>
      <c r="H34">
        <v>1</v>
      </c>
      <c r="I34">
        <v>1</v>
      </c>
      <c r="J34">
        <v>0.33</v>
      </c>
      <c r="K34" s="24">
        <f t="shared" si="12"/>
        <v>1.4763000000000002</v>
      </c>
      <c r="L34" s="244"/>
      <c r="M34" s="70">
        <v>61636100605</v>
      </c>
      <c r="N34" s="70"/>
      <c r="O34" s="31" t="s">
        <v>244</v>
      </c>
      <c r="P34" t="s">
        <v>7</v>
      </c>
      <c r="Q34">
        <v>0.68</v>
      </c>
      <c r="R34">
        <v>0.43</v>
      </c>
      <c r="S34">
        <v>1</v>
      </c>
      <c r="T34">
        <v>1</v>
      </c>
      <c r="U34">
        <v>0.33</v>
      </c>
      <c r="V34" s="24">
        <f t="shared" si="13"/>
        <v>1.4763000000000002</v>
      </c>
      <c r="W34" s="244"/>
      <c r="X34" s="20" t="s">
        <v>109</v>
      </c>
      <c r="Y34" s="76"/>
      <c r="Z34" s="31" t="s">
        <v>225</v>
      </c>
      <c r="AA34" t="s">
        <v>9</v>
      </c>
      <c r="AB34">
        <v>0.51</v>
      </c>
      <c r="AC34">
        <v>0.38</v>
      </c>
      <c r="AD34">
        <v>1</v>
      </c>
      <c r="AE34">
        <v>1</v>
      </c>
      <c r="AF34">
        <v>0.33700000000000002</v>
      </c>
      <c r="AG34" s="24">
        <f t="shared" si="14"/>
        <v>1.1899299999999999</v>
      </c>
      <c r="AH34" s="244"/>
      <c r="AI34" s="79"/>
      <c r="AJ34" s="79"/>
      <c r="AR34" s="24"/>
      <c r="AS34" s="244"/>
      <c r="AT34" s="20" t="s">
        <v>110</v>
      </c>
      <c r="AU34" s="79"/>
      <c r="AV34" s="31" t="s">
        <v>250</v>
      </c>
      <c r="AW34" t="s">
        <v>9</v>
      </c>
      <c r="AX34">
        <v>0.59</v>
      </c>
      <c r="AY34">
        <v>0.41</v>
      </c>
      <c r="AZ34">
        <v>1</v>
      </c>
      <c r="BA34">
        <v>1</v>
      </c>
      <c r="BB34">
        <v>0.34</v>
      </c>
      <c r="BC34" s="24">
        <f t="shared" si="15"/>
        <v>1.34</v>
      </c>
      <c r="BD34" s="246"/>
      <c r="BE34" s="20" t="s">
        <v>111</v>
      </c>
      <c r="BF34" s="79"/>
      <c r="BG34" s="31" t="s">
        <v>218</v>
      </c>
      <c r="BH34" s="19" t="s">
        <v>7</v>
      </c>
      <c r="BI34" s="19">
        <v>0.75</v>
      </c>
      <c r="BJ34" s="19">
        <v>0.41</v>
      </c>
      <c r="BK34">
        <v>1</v>
      </c>
      <c r="BL34">
        <v>1</v>
      </c>
      <c r="BM34">
        <v>0.31</v>
      </c>
      <c r="BN34" s="24">
        <f t="shared" si="16"/>
        <v>1.5196000000000001</v>
      </c>
    </row>
    <row r="35" spans="1:66" ht="28.8" x14ac:dyDescent="0.3">
      <c r="A35" s="244"/>
      <c r="B35" s="79"/>
      <c r="C35" s="79"/>
      <c r="K35" s="24"/>
      <c r="L35" s="244"/>
      <c r="M35" s="79">
        <v>72113101610</v>
      </c>
      <c r="O35" s="31" t="s">
        <v>262</v>
      </c>
      <c r="P35" t="s">
        <v>9</v>
      </c>
      <c r="Q35">
        <v>0.31</v>
      </c>
      <c r="R35">
        <v>0.38</v>
      </c>
      <c r="S35">
        <v>1</v>
      </c>
      <c r="T35">
        <v>1</v>
      </c>
      <c r="U35">
        <v>0.40500000000000003</v>
      </c>
      <c r="V35" s="24">
        <f t="shared" si="13"/>
        <v>0.96944999999999992</v>
      </c>
      <c r="W35" s="244"/>
      <c r="X35" s="20"/>
      <c r="Y35" s="79"/>
      <c r="AG35" s="24"/>
      <c r="AH35" s="244"/>
      <c r="AI35" s="20" t="s">
        <v>110</v>
      </c>
      <c r="AJ35" s="79"/>
      <c r="AK35" s="31" t="s">
        <v>250</v>
      </c>
      <c r="AL35" t="s">
        <v>9</v>
      </c>
      <c r="AM35">
        <v>0.59</v>
      </c>
      <c r="AN35">
        <v>0.41</v>
      </c>
      <c r="AO35">
        <v>1</v>
      </c>
      <c r="AP35">
        <v>1</v>
      </c>
      <c r="AQ35">
        <v>0.34</v>
      </c>
      <c r="AR35" s="24">
        <f>(AM35*AO35+AN35*AP35)*(1+AQ35)</f>
        <v>1.34</v>
      </c>
      <c r="AS35" s="244"/>
      <c r="AT35" s="20"/>
      <c r="AU35" s="79"/>
      <c r="BC35" s="24"/>
      <c r="BD35" s="246"/>
      <c r="BE35" s="20"/>
      <c r="BF35" s="79"/>
      <c r="BG35" s="31"/>
      <c r="BN35" s="24"/>
    </row>
    <row r="36" spans="1:66" ht="28.8" x14ac:dyDescent="0.3">
      <c r="A36" s="244"/>
      <c r="B36" s="9">
        <v>72413100105</v>
      </c>
      <c r="C36" s="3"/>
      <c r="D36" s="31" t="s">
        <v>15</v>
      </c>
      <c r="E36" t="s">
        <v>9</v>
      </c>
      <c r="F36">
        <v>2.19</v>
      </c>
      <c r="G36">
        <v>3.73</v>
      </c>
      <c r="H36">
        <v>1</v>
      </c>
      <c r="I36">
        <v>1</v>
      </c>
      <c r="J36">
        <v>0.4</v>
      </c>
      <c r="K36" s="24">
        <f t="shared" si="12"/>
        <v>8.2880000000000003</v>
      </c>
      <c r="L36" s="244"/>
      <c r="M36" s="70">
        <v>72413100105</v>
      </c>
      <c r="N36" s="70"/>
      <c r="O36" s="31" t="s">
        <v>15</v>
      </c>
      <c r="P36" t="s">
        <v>9</v>
      </c>
      <c r="Q36">
        <v>2.19</v>
      </c>
      <c r="R36">
        <v>3.73</v>
      </c>
      <c r="S36">
        <v>1</v>
      </c>
      <c r="T36">
        <v>1</v>
      </c>
      <c r="U36">
        <v>0.4</v>
      </c>
      <c r="V36" s="24">
        <f t="shared" si="13"/>
        <v>8.2880000000000003</v>
      </c>
      <c r="W36" s="244"/>
      <c r="X36" s="76">
        <v>61636100605</v>
      </c>
      <c r="Y36" s="76"/>
      <c r="Z36" s="31" t="s">
        <v>244</v>
      </c>
      <c r="AA36" t="s">
        <v>7</v>
      </c>
      <c r="AB36">
        <v>0.68</v>
      </c>
      <c r="AC36">
        <v>0.43</v>
      </c>
      <c r="AD36">
        <v>1</v>
      </c>
      <c r="AE36">
        <v>1</v>
      </c>
      <c r="AF36">
        <v>0.33</v>
      </c>
      <c r="AG36" s="24">
        <f t="shared" si="14"/>
        <v>1.4763000000000002</v>
      </c>
      <c r="AH36" s="244"/>
      <c r="AI36" s="76">
        <v>61636100605</v>
      </c>
      <c r="AJ36" s="79"/>
      <c r="AK36" s="31" t="s">
        <v>244</v>
      </c>
      <c r="AL36" t="s">
        <v>7</v>
      </c>
      <c r="AM36">
        <v>0.68</v>
      </c>
      <c r="AN36">
        <v>0.43</v>
      </c>
      <c r="AO36">
        <v>1</v>
      </c>
      <c r="AP36">
        <v>1</v>
      </c>
      <c r="AQ36">
        <v>0.33</v>
      </c>
      <c r="AR36" s="24">
        <f>(AM36*AO36+AN36*AP36)*(1+AQ36)</f>
        <v>1.4763000000000002</v>
      </c>
      <c r="AS36" s="244"/>
      <c r="AT36" s="76">
        <v>61636100605</v>
      </c>
      <c r="AU36" s="79"/>
      <c r="AV36" s="31" t="s">
        <v>244</v>
      </c>
      <c r="AW36" t="s">
        <v>7</v>
      </c>
      <c r="AX36">
        <v>0.68</v>
      </c>
      <c r="AY36">
        <v>0.43</v>
      </c>
      <c r="AZ36">
        <v>1</v>
      </c>
      <c r="BA36">
        <v>1</v>
      </c>
      <c r="BB36">
        <v>0.33</v>
      </c>
      <c r="BC36" s="24">
        <f t="shared" si="15"/>
        <v>1.4763000000000002</v>
      </c>
      <c r="BD36" s="246"/>
      <c r="BE36" s="76">
        <v>61636100605</v>
      </c>
      <c r="BF36" s="79"/>
      <c r="BG36" s="31" t="s">
        <v>244</v>
      </c>
      <c r="BH36" t="s">
        <v>7</v>
      </c>
      <c r="BI36">
        <v>0.68</v>
      </c>
      <c r="BJ36">
        <v>0.43</v>
      </c>
      <c r="BK36">
        <v>1</v>
      </c>
      <c r="BL36">
        <v>1</v>
      </c>
      <c r="BM36">
        <v>0.33</v>
      </c>
      <c r="BN36" s="24">
        <f t="shared" si="16"/>
        <v>1.4763000000000002</v>
      </c>
    </row>
    <row r="37" spans="1:66" x14ac:dyDescent="0.3">
      <c r="A37" s="244"/>
      <c r="B37" s="9"/>
      <c r="C37" s="3"/>
      <c r="L37" s="244"/>
      <c r="M37" s="21"/>
      <c r="N37" s="21"/>
      <c r="W37" s="244"/>
      <c r="X37" s="76">
        <v>72413100105</v>
      </c>
      <c r="Y37" s="76"/>
      <c r="Z37" s="31" t="s">
        <v>15</v>
      </c>
      <c r="AA37" t="s">
        <v>9</v>
      </c>
      <c r="AB37">
        <v>2.19</v>
      </c>
      <c r="AC37">
        <v>3.73</v>
      </c>
      <c r="AD37">
        <v>1</v>
      </c>
      <c r="AE37">
        <v>1</v>
      </c>
      <c r="AF37">
        <v>0.4</v>
      </c>
      <c r="AG37" s="24">
        <f t="shared" si="14"/>
        <v>8.2880000000000003</v>
      </c>
      <c r="AH37" s="244"/>
      <c r="AI37" s="76">
        <v>72413100105</v>
      </c>
      <c r="AJ37" s="79"/>
      <c r="AK37" s="31" t="s">
        <v>15</v>
      </c>
      <c r="AL37" t="s">
        <v>9</v>
      </c>
      <c r="AM37">
        <v>2.19</v>
      </c>
      <c r="AN37">
        <v>3.73</v>
      </c>
      <c r="AO37">
        <v>1</v>
      </c>
      <c r="AP37">
        <v>1</v>
      </c>
      <c r="AQ37">
        <v>0.4</v>
      </c>
      <c r="AR37" s="24">
        <f>(AM37*AO37+AN37*AP37)*(1+AQ37)</f>
        <v>8.2880000000000003</v>
      </c>
      <c r="AS37" s="244"/>
      <c r="AT37" s="76">
        <v>72413100105</v>
      </c>
      <c r="AU37" s="79"/>
      <c r="AV37" s="31" t="s">
        <v>15</v>
      </c>
      <c r="AW37" t="s">
        <v>9</v>
      </c>
      <c r="AX37">
        <v>2.19</v>
      </c>
      <c r="AY37">
        <v>3.73</v>
      </c>
      <c r="AZ37">
        <v>1</v>
      </c>
      <c r="BA37">
        <v>1</v>
      </c>
      <c r="BB37">
        <v>0.4</v>
      </c>
      <c r="BC37" s="24">
        <f t="shared" si="15"/>
        <v>8.2880000000000003</v>
      </c>
      <c r="BD37" s="246"/>
      <c r="BE37" s="76">
        <v>72413100105</v>
      </c>
      <c r="BF37" s="79"/>
      <c r="BG37" s="31" t="s">
        <v>15</v>
      </c>
      <c r="BH37" t="s">
        <v>9</v>
      </c>
      <c r="BI37">
        <v>2.19</v>
      </c>
      <c r="BJ37">
        <v>3.73</v>
      </c>
      <c r="BK37">
        <v>1</v>
      </c>
      <c r="BL37">
        <v>1</v>
      </c>
      <c r="BM37">
        <v>0.4</v>
      </c>
      <c r="BN37" s="24">
        <f t="shared" si="16"/>
        <v>8.2880000000000003</v>
      </c>
    </row>
    <row r="38" spans="1:66" x14ac:dyDescent="0.3">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3">
      <c r="A40" s="243" t="s">
        <v>16</v>
      </c>
      <c r="B40" s="8">
        <v>92910300300</v>
      </c>
      <c r="C40" s="8">
        <v>4</v>
      </c>
      <c r="D40" s="31" t="s">
        <v>11</v>
      </c>
      <c r="E40" t="s">
        <v>9</v>
      </c>
      <c r="F40">
        <v>0.33</v>
      </c>
      <c r="G40">
        <v>0.3</v>
      </c>
      <c r="H40">
        <v>1</v>
      </c>
      <c r="I40">
        <v>1</v>
      </c>
      <c r="J40">
        <v>0.38100000000000001</v>
      </c>
      <c r="K40" s="24">
        <f t="shared" ref="K40:K49" si="17">(F40*H40+G40*I40)*(1+J40)</f>
        <v>0.87002999999999997</v>
      </c>
      <c r="L40" s="243" t="s">
        <v>16</v>
      </c>
      <c r="M40" s="69">
        <v>92910300300</v>
      </c>
      <c r="N40" s="69">
        <v>4</v>
      </c>
      <c r="O40" s="31" t="s">
        <v>11</v>
      </c>
      <c r="P40" t="s">
        <v>9</v>
      </c>
      <c r="Q40">
        <v>0.33</v>
      </c>
      <c r="R40">
        <v>0.3</v>
      </c>
      <c r="S40">
        <v>1</v>
      </c>
      <c r="T40">
        <v>1</v>
      </c>
      <c r="U40">
        <v>0.38100000000000001</v>
      </c>
      <c r="V40" s="24">
        <f>(Q40*S40+R40*T40)*(1+U40)</f>
        <v>0.87002999999999997</v>
      </c>
      <c r="W40" s="243" t="s">
        <v>16</v>
      </c>
      <c r="X40" s="75">
        <v>92910300300</v>
      </c>
      <c r="Y40" s="75">
        <v>4</v>
      </c>
      <c r="Z40" s="31" t="s">
        <v>11</v>
      </c>
      <c r="AA40" t="s">
        <v>9</v>
      </c>
      <c r="AB40">
        <v>0.33</v>
      </c>
      <c r="AC40">
        <v>0.3</v>
      </c>
      <c r="AD40">
        <v>1</v>
      </c>
      <c r="AE40">
        <v>1</v>
      </c>
      <c r="AF40">
        <v>0.38100000000000001</v>
      </c>
      <c r="AG40" s="24">
        <f t="shared" ref="AG40:AG49" si="18">(AB40*AD40+AC40*AE40)*(1+AF40)</f>
        <v>0.87002999999999997</v>
      </c>
      <c r="AH40" s="243"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3"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5"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x14ac:dyDescent="0.3">
      <c r="A41" s="244"/>
      <c r="B41" s="9" t="s">
        <v>88</v>
      </c>
      <c r="C41" s="9"/>
      <c r="D41" s="31" t="s">
        <v>86</v>
      </c>
      <c r="E41" t="s">
        <v>6</v>
      </c>
      <c r="F41">
        <v>0.71</v>
      </c>
      <c r="G41">
        <v>1.1299999999999999</v>
      </c>
      <c r="H41">
        <v>1</v>
      </c>
      <c r="I41">
        <v>1</v>
      </c>
      <c r="J41">
        <v>0</v>
      </c>
      <c r="K41" s="24">
        <f t="shared" si="17"/>
        <v>1.8399999999999999</v>
      </c>
      <c r="L41" s="244"/>
      <c r="M41" s="70" t="s">
        <v>88</v>
      </c>
      <c r="N41" s="70"/>
      <c r="O41" s="31" t="s">
        <v>86</v>
      </c>
      <c r="P41" t="s">
        <v>6</v>
      </c>
      <c r="Q41">
        <v>0.71</v>
      </c>
      <c r="R41">
        <v>1.1299999999999999</v>
      </c>
      <c r="S41">
        <v>1</v>
      </c>
      <c r="T41">
        <v>1</v>
      </c>
      <c r="U41">
        <v>0</v>
      </c>
      <c r="V41" s="24">
        <f>(Q41*S41+R41*T41)*(1+U41)</f>
        <v>1.8399999999999999</v>
      </c>
      <c r="W41" s="244"/>
      <c r="X41" s="76" t="s">
        <v>88</v>
      </c>
      <c r="Y41" s="76"/>
      <c r="Z41" s="31" t="s">
        <v>86</v>
      </c>
      <c r="AA41" t="s">
        <v>6</v>
      </c>
      <c r="AB41">
        <v>0.71</v>
      </c>
      <c r="AC41">
        <v>1.1299999999999999</v>
      </c>
      <c r="AD41">
        <v>1</v>
      </c>
      <c r="AE41">
        <v>1</v>
      </c>
      <c r="AF41">
        <v>0</v>
      </c>
      <c r="AG41" s="24">
        <f t="shared" si="18"/>
        <v>1.8399999999999999</v>
      </c>
      <c r="AH41" s="244"/>
      <c r="AI41" s="76" t="s">
        <v>88</v>
      </c>
      <c r="AJ41" s="79"/>
      <c r="AK41" s="31" t="s">
        <v>86</v>
      </c>
      <c r="AL41" t="s">
        <v>6</v>
      </c>
      <c r="AM41">
        <v>0.71</v>
      </c>
      <c r="AN41">
        <v>1.1299999999999999</v>
      </c>
      <c r="AO41">
        <v>1</v>
      </c>
      <c r="AP41">
        <v>1</v>
      </c>
      <c r="AQ41">
        <v>0</v>
      </c>
      <c r="AR41" s="24">
        <f t="shared" si="19"/>
        <v>1.8399999999999999</v>
      </c>
      <c r="AS41" s="244"/>
      <c r="AT41" s="76" t="s">
        <v>88</v>
      </c>
      <c r="AU41" s="79"/>
      <c r="AV41" s="31" t="s">
        <v>86</v>
      </c>
      <c r="AW41" t="s">
        <v>6</v>
      </c>
      <c r="AX41">
        <v>0.71</v>
      </c>
      <c r="AY41">
        <v>1.1299999999999999</v>
      </c>
      <c r="AZ41">
        <v>1</v>
      </c>
      <c r="BA41">
        <v>1</v>
      </c>
      <c r="BB41">
        <v>0</v>
      </c>
      <c r="BC41" s="24">
        <f t="shared" si="20"/>
        <v>1.8399999999999999</v>
      </c>
      <c r="BD41" s="246"/>
      <c r="BE41" s="76" t="s">
        <v>88</v>
      </c>
      <c r="BF41" s="79"/>
      <c r="BG41" s="31" t="s">
        <v>86</v>
      </c>
      <c r="BH41" t="s">
        <v>6</v>
      </c>
      <c r="BI41">
        <v>0.71</v>
      </c>
      <c r="BJ41">
        <v>1.1299999999999999</v>
      </c>
      <c r="BK41">
        <v>1</v>
      </c>
      <c r="BL41">
        <v>1</v>
      </c>
      <c r="BM41">
        <v>0</v>
      </c>
      <c r="BN41" s="24">
        <f t="shared" si="21"/>
        <v>1.8399999999999999</v>
      </c>
    </row>
    <row r="42" spans="1:66" x14ac:dyDescent="0.3">
      <c r="A42" s="244"/>
      <c r="B42" s="66">
        <v>72610100700</v>
      </c>
      <c r="C42" s="66"/>
      <c r="D42" s="31" t="s">
        <v>12</v>
      </c>
      <c r="E42" t="s">
        <v>9</v>
      </c>
      <c r="F42">
        <v>2.5000000000000001E-2</v>
      </c>
      <c r="G42">
        <v>8.2000000000000003E-2</v>
      </c>
      <c r="H42">
        <v>1</v>
      </c>
      <c r="I42">
        <v>1</v>
      </c>
      <c r="J42">
        <v>0.54300000000000004</v>
      </c>
      <c r="K42" s="24">
        <f t="shared" si="17"/>
        <v>0.16510100000000003</v>
      </c>
      <c r="L42" s="244"/>
      <c r="M42" s="70">
        <v>72610100700</v>
      </c>
      <c r="N42" s="70"/>
      <c r="O42" s="31" t="s">
        <v>12</v>
      </c>
      <c r="P42" t="s">
        <v>9</v>
      </c>
      <c r="Q42">
        <v>2.5000000000000001E-2</v>
      </c>
      <c r="R42">
        <v>8.2000000000000003E-2</v>
      </c>
      <c r="S42">
        <v>1</v>
      </c>
      <c r="T42">
        <v>1</v>
      </c>
      <c r="U42">
        <v>0.54300000000000004</v>
      </c>
      <c r="V42" s="24">
        <f>(Q42*S42+R42*T42)*(1+U42)</f>
        <v>0.16510100000000003</v>
      </c>
      <c r="W42" s="244"/>
      <c r="X42" s="76">
        <v>72610100700</v>
      </c>
      <c r="Y42" s="76"/>
      <c r="Z42" s="31" t="s">
        <v>12</v>
      </c>
      <c r="AA42" t="s">
        <v>9</v>
      </c>
      <c r="AB42">
        <v>2.5000000000000001E-2</v>
      </c>
      <c r="AC42">
        <v>8.2000000000000003E-2</v>
      </c>
      <c r="AD42">
        <v>1</v>
      </c>
      <c r="AE42">
        <v>1</v>
      </c>
      <c r="AF42">
        <v>0.54300000000000004</v>
      </c>
      <c r="AG42" s="24">
        <f t="shared" si="18"/>
        <v>0.16510100000000003</v>
      </c>
      <c r="AH42" s="244"/>
      <c r="AI42" s="76">
        <v>72610100700</v>
      </c>
      <c r="AJ42" s="79"/>
      <c r="AK42" s="31" t="s">
        <v>12</v>
      </c>
      <c r="AL42" t="s">
        <v>9</v>
      </c>
      <c r="AM42">
        <v>2.5000000000000001E-2</v>
      </c>
      <c r="AN42">
        <v>8.2000000000000003E-2</v>
      </c>
      <c r="AO42">
        <v>1</v>
      </c>
      <c r="AP42">
        <v>1</v>
      </c>
      <c r="AQ42">
        <v>0.54300000000000004</v>
      </c>
      <c r="AR42" s="24">
        <f t="shared" si="19"/>
        <v>0.16510100000000003</v>
      </c>
      <c r="AS42" s="244"/>
      <c r="AT42" s="76">
        <v>72610100700</v>
      </c>
      <c r="AU42" s="79"/>
      <c r="AV42" s="31" t="s">
        <v>12</v>
      </c>
      <c r="AW42" t="s">
        <v>9</v>
      </c>
      <c r="AX42">
        <v>2.5000000000000001E-2</v>
      </c>
      <c r="AY42">
        <v>8.2000000000000003E-2</v>
      </c>
      <c r="AZ42">
        <v>1</v>
      </c>
      <c r="BA42">
        <v>1</v>
      </c>
      <c r="BB42">
        <v>0.54300000000000004</v>
      </c>
      <c r="BC42" s="24">
        <f t="shared" si="20"/>
        <v>0.16510100000000003</v>
      </c>
      <c r="BD42" s="246"/>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x14ac:dyDescent="0.3">
      <c r="A43" s="244"/>
      <c r="B43" s="21">
        <v>72116200444</v>
      </c>
      <c r="C43" s="9"/>
      <c r="D43" s="31" t="s">
        <v>136</v>
      </c>
      <c r="E43" t="s">
        <v>9</v>
      </c>
      <c r="F43">
        <v>0.48</v>
      </c>
      <c r="G43">
        <v>0.22</v>
      </c>
      <c r="H43">
        <v>1.33</v>
      </c>
      <c r="I43">
        <v>1</v>
      </c>
      <c r="J43">
        <v>0.3</v>
      </c>
      <c r="K43" s="24">
        <f t="shared" si="17"/>
        <v>1.11592</v>
      </c>
      <c r="L43" s="244"/>
      <c r="M43" s="70">
        <v>72116200486</v>
      </c>
      <c r="N43" s="70"/>
      <c r="O43" s="31" t="s">
        <v>8</v>
      </c>
      <c r="P43" t="s">
        <v>9</v>
      </c>
      <c r="Q43">
        <v>0.64</v>
      </c>
      <c r="R43">
        <v>0.19</v>
      </c>
      <c r="S43">
        <v>1</v>
      </c>
      <c r="T43">
        <v>1</v>
      </c>
      <c r="U43">
        <v>0.22900000000000001</v>
      </c>
      <c r="V43" s="24">
        <f t="shared" ref="V43:V49" si="22">(Q43*S43+R43*T43)*(1+U43)</f>
        <v>1.0200700000000003</v>
      </c>
      <c r="W43" s="244"/>
      <c r="X43" s="76">
        <v>72116200486</v>
      </c>
      <c r="Y43" s="76"/>
      <c r="Z43" s="31" t="s">
        <v>8</v>
      </c>
      <c r="AA43" t="s">
        <v>9</v>
      </c>
      <c r="AB43">
        <v>0.64</v>
      </c>
      <c r="AC43">
        <v>0.19</v>
      </c>
      <c r="AD43">
        <v>1</v>
      </c>
      <c r="AE43">
        <v>1</v>
      </c>
      <c r="AF43">
        <v>0.22900000000000001</v>
      </c>
      <c r="AG43" s="24">
        <f t="shared" si="18"/>
        <v>1.0200700000000003</v>
      </c>
      <c r="AH43" s="244"/>
      <c r="AI43" s="76">
        <v>72116200486</v>
      </c>
      <c r="AJ43" s="79"/>
      <c r="AK43" s="31" t="s">
        <v>8</v>
      </c>
      <c r="AL43" t="s">
        <v>9</v>
      </c>
      <c r="AM43">
        <v>0.64</v>
      </c>
      <c r="AN43">
        <v>0.19</v>
      </c>
      <c r="AO43">
        <v>1</v>
      </c>
      <c r="AP43">
        <v>1</v>
      </c>
      <c r="AQ43">
        <v>0.22900000000000001</v>
      </c>
      <c r="AR43" s="24">
        <f t="shared" si="19"/>
        <v>1.0200700000000003</v>
      </c>
      <c r="AS43" s="244"/>
      <c r="AT43" s="76">
        <v>72116200486</v>
      </c>
      <c r="AU43" s="79"/>
      <c r="AV43" s="31" t="s">
        <v>8</v>
      </c>
      <c r="AW43" t="s">
        <v>9</v>
      </c>
      <c r="AX43">
        <v>0.64</v>
      </c>
      <c r="AY43">
        <v>0.19</v>
      </c>
      <c r="AZ43">
        <v>1</v>
      </c>
      <c r="BA43">
        <v>1</v>
      </c>
      <c r="BB43">
        <v>0.22900000000000001</v>
      </c>
      <c r="BC43" s="24">
        <f t="shared" si="20"/>
        <v>1.0200700000000003</v>
      </c>
      <c r="BD43" s="246"/>
      <c r="BE43" s="76">
        <v>72116200486</v>
      </c>
      <c r="BF43" s="79"/>
      <c r="BG43" s="31" t="s">
        <v>8</v>
      </c>
      <c r="BH43" t="s">
        <v>9</v>
      </c>
      <c r="BI43">
        <v>0.64</v>
      </c>
      <c r="BJ43">
        <v>0.19</v>
      </c>
      <c r="BK43">
        <v>1</v>
      </c>
      <c r="BL43">
        <v>1</v>
      </c>
      <c r="BM43">
        <v>0.22900000000000001</v>
      </c>
      <c r="BN43" s="24">
        <f t="shared" si="21"/>
        <v>1.0200700000000003</v>
      </c>
    </row>
    <row r="44" spans="1:66" ht="28.8" x14ac:dyDescent="0.3">
      <c r="A44" s="244"/>
      <c r="B44" s="66">
        <v>61636100605</v>
      </c>
      <c r="C44" s="66"/>
      <c r="D44" s="31" t="s">
        <v>244</v>
      </c>
      <c r="E44" t="s">
        <v>7</v>
      </c>
      <c r="F44">
        <v>0.68</v>
      </c>
      <c r="G44">
        <v>0.43</v>
      </c>
      <c r="H44">
        <v>1</v>
      </c>
      <c r="I44">
        <v>1</v>
      </c>
      <c r="J44">
        <v>0.33</v>
      </c>
      <c r="K44" s="24">
        <f t="shared" si="17"/>
        <v>1.4763000000000002</v>
      </c>
      <c r="L44" s="244"/>
      <c r="M44" s="70">
        <v>61636100605</v>
      </c>
      <c r="N44" s="70"/>
      <c r="O44" s="31" t="s">
        <v>244</v>
      </c>
      <c r="P44" t="s">
        <v>7</v>
      </c>
      <c r="Q44">
        <v>0.68</v>
      </c>
      <c r="R44">
        <v>0.43</v>
      </c>
      <c r="S44">
        <v>1</v>
      </c>
      <c r="T44">
        <v>1</v>
      </c>
      <c r="U44">
        <v>0.33</v>
      </c>
      <c r="V44" s="24">
        <f t="shared" si="22"/>
        <v>1.4763000000000002</v>
      </c>
      <c r="W44" s="244"/>
      <c r="X44" s="79">
        <v>61636100605</v>
      </c>
      <c r="Y44" s="79"/>
      <c r="Z44" s="31" t="s">
        <v>244</v>
      </c>
      <c r="AA44" t="s">
        <v>7</v>
      </c>
      <c r="AB44">
        <v>0.68</v>
      </c>
      <c r="AC44">
        <v>0.43</v>
      </c>
      <c r="AD44">
        <v>1</v>
      </c>
      <c r="AE44">
        <v>1</v>
      </c>
      <c r="AF44">
        <v>0.33</v>
      </c>
      <c r="AG44" s="24">
        <f t="shared" si="18"/>
        <v>1.4763000000000002</v>
      </c>
      <c r="AH44" s="244"/>
      <c r="AI44" s="79">
        <v>61636100605</v>
      </c>
      <c r="AJ44" s="79"/>
      <c r="AK44" s="31" t="s">
        <v>244</v>
      </c>
      <c r="AL44" t="s">
        <v>7</v>
      </c>
      <c r="AM44">
        <v>0.68</v>
      </c>
      <c r="AN44">
        <v>0.43</v>
      </c>
      <c r="AO44">
        <v>1</v>
      </c>
      <c r="AP44">
        <v>1</v>
      </c>
      <c r="AQ44">
        <v>0.33</v>
      </c>
      <c r="AR44" s="24">
        <f t="shared" si="19"/>
        <v>1.4763000000000002</v>
      </c>
      <c r="AS44" s="244"/>
      <c r="AT44" s="79">
        <v>61636100605</v>
      </c>
      <c r="AU44" s="79"/>
      <c r="AV44" s="31" t="s">
        <v>244</v>
      </c>
      <c r="AW44" t="s">
        <v>7</v>
      </c>
      <c r="AX44">
        <v>0.68</v>
      </c>
      <c r="AY44">
        <v>0.43</v>
      </c>
      <c r="AZ44">
        <v>1</v>
      </c>
      <c r="BA44">
        <v>1</v>
      </c>
      <c r="BB44">
        <v>0.33</v>
      </c>
      <c r="BC44" s="24">
        <f t="shared" si="20"/>
        <v>1.4763000000000002</v>
      </c>
      <c r="BD44" s="246"/>
      <c r="BE44" s="79">
        <v>61636100605</v>
      </c>
      <c r="BF44" s="79"/>
      <c r="BG44" s="31" t="s">
        <v>244</v>
      </c>
      <c r="BH44" t="s">
        <v>7</v>
      </c>
      <c r="BI44">
        <v>0.68</v>
      </c>
      <c r="BJ44">
        <v>0.43</v>
      </c>
      <c r="BK44">
        <v>1</v>
      </c>
      <c r="BL44">
        <v>1</v>
      </c>
      <c r="BM44">
        <v>0.33</v>
      </c>
      <c r="BN44" s="24">
        <f t="shared" si="21"/>
        <v>1.4763000000000002</v>
      </c>
    </row>
    <row r="45" spans="1:66" ht="28.8" x14ac:dyDescent="0.3">
      <c r="A45" s="244"/>
      <c r="B45" s="79"/>
      <c r="C45" s="79"/>
      <c r="K45" s="24"/>
      <c r="L45" s="244"/>
      <c r="M45" s="79">
        <v>72113101610</v>
      </c>
      <c r="O45" s="31" t="s">
        <v>262</v>
      </c>
      <c r="P45" t="s">
        <v>9</v>
      </c>
      <c r="Q45">
        <v>0.31</v>
      </c>
      <c r="R45">
        <v>0.38</v>
      </c>
      <c r="S45">
        <v>1</v>
      </c>
      <c r="T45">
        <v>1</v>
      </c>
      <c r="U45">
        <v>0.40500000000000003</v>
      </c>
      <c r="V45" s="24">
        <f t="shared" si="22"/>
        <v>0.96944999999999992</v>
      </c>
      <c r="W45" s="244"/>
      <c r="X45" s="20" t="s">
        <v>109</v>
      </c>
      <c r="Y45" s="76"/>
      <c r="Z45" s="31" t="s">
        <v>225</v>
      </c>
      <c r="AA45" t="s">
        <v>9</v>
      </c>
      <c r="AB45">
        <v>0.51</v>
      </c>
      <c r="AC45">
        <v>0.38</v>
      </c>
      <c r="AD45">
        <v>1</v>
      </c>
      <c r="AE45">
        <v>1</v>
      </c>
      <c r="AF45">
        <v>0.33700000000000002</v>
      </c>
      <c r="AG45" s="24">
        <f>(AB45*AD45+AC45*AE45)*(1+AF45)</f>
        <v>1.1899299999999999</v>
      </c>
      <c r="AH45" s="244"/>
      <c r="AI45" s="20" t="s">
        <v>110</v>
      </c>
      <c r="AJ45" s="79"/>
      <c r="AK45" s="31" t="s">
        <v>250</v>
      </c>
      <c r="AL45" t="s">
        <v>9</v>
      </c>
      <c r="AM45">
        <v>0.59</v>
      </c>
      <c r="AN45">
        <v>0.41</v>
      </c>
      <c r="AO45">
        <v>1</v>
      </c>
      <c r="AP45">
        <v>1</v>
      </c>
      <c r="AQ45">
        <v>0.34</v>
      </c>
      <c r="AR45" s="24">
        <f t="shared" si="19"/>
        <v>1.34</v>
      </c>
      <c r="AS45" s="244"/>
      <c r="AT45" s="20" t="s">
        <v>110</v>
      </c>
      <c r="AU45" s="79"/>
      <c r="AV45" s="31" t="s">
        <v>250</v>
      </c>
      <c r="AW45" t="s">
        <v>9</v>
      </c>
      <c r="AX45">
        <v>0.59</v>
      </c>
      <c r="AY45">
        <v>0.41</v>
      </c>
      <c r="AZ45">
        <v>1</v>
      </c>
      <c r="BA45">
        <v>1</v>
      </c>
      <c r="BB45">
        <v>0.34</v>
      </c>
      <c r="BC45" s="24">
        <f>(AX45*AZ45+AY45*BA45)*(1+BB45)</f>
        <v>1.34</v>
      </c>
      <c r="BD45" s="246"/>
      <c r="BE45" s="20" t="s">
        <v>111</v>
      </c>
      <c r="BF45" s="79"/>
      <c r="BG45" s="31" t="s">
        <v>218</v>
      </c>
      <c r="BH45" s="19" t="s">
        <v>7</v>
      </c>
      <c r="BI45" s="19">
        <v>0.75</v>
      </c>
      <c r="BJ45" s="19">
        <v>0.41</v>
      </c>
      <c r="BK45">
        <v>1</v>
      </c>
      <c r="BL45">
        <v>1</v>
      </c>
      <c r="BM45">
        <v>0.31</v>
      </c>
      <c r="BN45" s="24">
        <f>(BI45*BK45+BJ45*BL45)*(1+BM45)</f>
        <v>1.5196000000000001</v>
      </c>
    </row>
    <row r="46" spans="1:66" ht="30" customHeight="1" x14ac:dyDescent="0.3">
      <c r="A46" s="244"/>
      <c r="B46" s="66">
        <v>72510103000</v>
      </c>
      <c r="C46" s="66"/>
      <c r="D46" s="31" t="s">
        <v>14</v>
      </c>
      <c r="E46" t="s">
        <v>9</v>
      </c>
      <c r="F46">
        <v>0.16</v>
      </c>
      <c r="G46">
        <v>0.08</v>
      </c>
      <c r="H46">
        <v>1</v>
      </c>
      <c r="I46">
        <v>1</v>
      </c>
      <c r="J46">
        <v>0.28999999999999998</v>
      </c>
      <c r="K46" s="24">
        <f t="shared" si="17"/>
        <v>0.30959999999999999</v>
      </c>
      <c r="L46" s="244"/>
      <c r="M46" s="70">
        <v>72510103000</v>
      </c>
      <c r="N46" s="70"/>
      <c r="O46" s="31" t="s">
        <v>14</v>
      </c>
      <c r="P46" t="s">
        <v>9</v>
      </c>
      <c r="Q46">
        <v>0.16</v>
      </c>
      <c r="R46">
        <v>0.08</v>
      </c>
      <c r="S46">
        <v>1</v>
      </c>
      <c r="T46">
        <v>1</v>
      </c>
      <c r="U46">
        <v>0.28999999999999998</v>
      </c>
      <c r="V46" s="24">
        <f t="shared" si="22"/>
        <v>0.30959999999999999</v>
      </c>
      <c r="W46" s="244"/>
      <c r="X46" s="76">
        <v>72510103000</v>
      </c>
      <c r="Y46" s="76"/>
      <c r="Z46" s="31" t="s">
        <v>14</v>
      </c>
      <c r="AA46" t="s">
        <v>9</v>
      </c>
      <c r="AB46">
        <v>0.16</v>
      </c>
      <c r="AC46">
        <v>0.08</v>
      </c>
      <c r="AD46">
        <v>1</v>
      </c>
      <c r="AE46">
        <v>1</v>
      </c>
      <c r="AF46">
        <v>0.28999999999999998</v>
      </c>
      <c r="AG46" s="24">
        <f t="shared" si="18"/>
        <v>0.30959999999999999</v>
      </c>
      <c r="AH46" s="244"/>
      <c r="AI46" s="76">
        <v>72510103000</v>
      </c>
      <c r="AJ46" s="79"/>
      <c r="AK46" s="31" t="s">
        <v>14</v>
      </c>
      <c r="AL46" t="s">
        <v>9</v>
      </c>
      <c r="AM46">
        <v>0.16</v>
      </c>
      <c r="AN46">
        <v>0.08</v>
      </c>
      <c r="AO46">
        <v>1</v>
      </c>
      <c r="AP46">
        <v>1</v>
      </c>
      <c r="AQ46">
        <v>0.28999999999999998</v>
      </c>
      <c r="AR46" s="24">
        <f t="shared" si="19"/>
        <v>0.30959999999999999</v>
      </c>
      <c r="AS46" s="244"/>
      <c r="AT46" s="76">
        <v>72510103000</v>
      </c>
      <c r="AU46" s="79"/>
      <c r="AV46" s="31" t="s">
        <v>14</v>
      </c>
      <c r="AW46" t="s">
        <v>9</v>
      </c>
      <c r="AX46">
        <v>0.16</v>
      </c>
      <c r="AY46">
        <v>0.08</v>
      </c>
      <c r="AZ46">
        <v>1</v>
      </c>
      <c r="BA46">
        <v>1</v>
      </c>
      <c r="BB46">
        <v>0.28999999999999998</v>
      </c>
      <c r="BC46" s="24">
        <f t="shared" si="20"/>
        <v>0.30959999999999999</v>
      </c>
      <c r="BD46" s="246"/>
      <c r="BE46" s="76">
        <v>72510103000</v>
      </c>
      <c r="BF46" s="79"/>
      <c r="BG46" s="31" t="s">
        <v>14</v>
      </c>
      <c r="BH46" t="s">
        <v>9</v>
      </c>
      <c r="BI46">
        <v>0.16</v>
      </c>
      <c r="BJ46">
        <v>0.08</v>
      </c>
      <c r="BK46">
        <v>1</v>
      </c>
      <c r="BL46">
        <v>1</v>
      </c>
      <c r="BM46">
        <v>0.28999999999999998</v>
      </c>
      <c r="BN46" s="24">
        <f t="shared" si="21"/>
        <v>0.30959999999999999</v>
      </c>
    </row>
    <row r="47" spans="1:66" ht="30" customHeight="1" x14ac:dyDescent="0.3">
      <c r="A47" s="244"/>
      <c r="B47" s="9">
        <v>74633104005</v>
      </c>
      <c r="C47" s="3"/>
      <c r="D47" s="31" t="s">
        <v>248</v>
      </c>
      <c r="E47" t="s">
        <v>9</v>
      </c>
      <c r="F47">
        <v>1.35</v>
      </c>
      <c r="G47">
        <v>1.22</v>
      </c>
      <c r="H47">
        <v>1</v>
      </c>
      <c r="I47">
        <v>1</v>
      </c>
      <c r="J47">
        <v>0.377</v>
      </c>
      <c r="K47" s="24">
        <f t="shared" si="17"/>
        <v>3.5388900000000003</v>
      </c>
      <c r="L47" s="244"/>
      <c r="M47" s="70">
        <v>74633104005</v>
      </c>
      <c r="N47" s="70"/>
      <c r="O47" s="31" t="s">
        <v>248</v>
      </c>
      <c r="P47" t="s">
        <v>9</v>
      </c>
      <c r="Q47">
        <v>1.35</v>
      </c>
      <c r="R47">
        <v>1.22</v>
      </c>
      <c r="S47">
        <v>1</v>
      </c>
      <c r="T47">
        <v>1</v>
      </c>
      <c r="U47">
        <v>0.377</v>
      </c>
      <c r="V47" s="24">
        <f t="shared" si="22"/>
        <v>3.5388900000000003</v>
      </c>
      <c r="W47" s="244"/>
      <c r="X47" s="76">
        <v>74633104005</v>
      </c>
      <c r="Y47" s="76"/>
      <c r="Z47" s="31" t="s">
        <v>248</v>
      </c>
      <c r="AA47" t="s">
        <v>9</v>
      </c>
      <c r="AB47">
        <v>1.35</v>
      </c>
      <c r="AC47">
        <v>1.22</v>
      </c>
      <c r="AD47">
        <v>1</v>
      </c>
      <c r="AE47">
        <v>1</v>
      </c>
      <c r="AF47">
        <v>0.377</v>
      </c>
      <c r="AG47" s="24">
        <f t="shared" si="18"/>
        <v>3.5388900000000003</v>
      </c>
      <c r="AH47" s="244"/>
      <c r="AI47" s="76">
        <v>74633104005</v>
      </c>
      <c r="AJ47" s="79"/>
      <c r="AK47" s="31" t="s">
        <v>248</v>
      </c>
      <c r="AL47" t="s">
        <v>9</v>
      </c>
      <c r="AM47">
        <v>1.35</v>
      </c>
      <c r="AN47">
        <v>1.22</v>
      </c>
      <c r="AO47">
        <v>1</v>
      </c>
      <c r="AP47">
        <v>1</v>
      </c>
      <c r="AQ47">
        <v>0.377</v>
      </c>
      <c r="AR47" s="24">
        <f t="shared" si="19"/>
        <v>3.5388900000000003</v>
      </c>
      <c r="AS47" s="244"/>
      <c r="AT47" s="76">
        <v>74633104005</v>
      </c>
      <c r="AU47" s="79"/>
      <c r="AV47" s="31" t="s">
        <v>248</v>
      </c>
      <c r="AW47" t="s">
        <v>9</v>
      </c>
      <c r="AX47">
        <v>1.35</v>
      </c>
      <c r="AY47">
        <v>1.22</v>
      </c>
      <c r="AZ47">
        <v>1</v>
      </c>
      <c r="BA47">
        <v>1</v>
      </c>
      <c r="BB47">
        <v>0.377</v>
      </c>
      <c r="BC47" s="24">
        <f t="shared" si="20"/>
        <v>3.5388900000000003</v>
      </c>
      <c r="BD47" s="246"/>
      <c r="BE47" s="76">
        <v>74633104005</v>
      </c>
      <c r="BF47" s="79"/>
      <c r="BG47" s="31" t="s">
        <v>248</v>
      </c>
      <c r="BH47" t="s">
        <v>9</v>
      </c>
      <c r="BI47">
        <v>1.35</v>
      </c>
      <c r="BJ47">
        <v>1.22</v>
      </c>
      <c r="BK47">
        <v>1</v>
      </c>
      <c r="BL47">
        <v>1</v>
      </c>
      <c r="BM47">
        <v>0.377</v>
      </c>
      <c r="BN47" s="24">
        <f t="shared" si="21"/>
        <v>3.5388900000000003</v>
      </c>
    </row>
    <row r="48" spans="1:66" ht="15" customHeight="1" x14ac:dyDescent="0.3">
      <c r="A48" s="244"/>
      <c r="B48" s="9" t="s">
        <v>88</v>
      </c>
      <c r="C48" s="3"/>
      <c r="D48" s="31" t="s">
        <v>22</v>
      </c>
      <c r="E48" t="s">
        <v>21</v>
      </c>
      <c r="F48">
        <v>0.03</v>
      </c>
      <c r="G48">
        <v>0.21</v>
      </c>
      <c r="H48">
        <v>1</v>
      </c>
      <c r="I48">
        <v>1</v>
      </c>
      <c r="J48">
        <v>0</v>
      </c>
      <c r="K48" s="24">
        <f t="shared" si="17"/>
        <v>0.24</v>
      </c>
      <c r="L48" s="244"/>
      <c r="M48" s="70" t="s">
        <v>88</v>
      </c>
      <c r="N48" s="70"/>
      <c r="O48" s="31" t="s">
        <v>22</v>
      </c>
      <c r="P48" t="s">
        <v>21</v>
      </c>
      <c r="Q48">
        <v>0.03</v>
      </c>
      <c r="R48">
        <v>0.21</v>
      </c>
      <c r="S48">
        <v>1</v>
      </c>
      <c r="T48">
        <v>1</v>
      </c>
      <c r="U48">
        <v>0</v>
      </c>
      <c r="V48" s="24">
        <f t="shared" si="22"/>
        <v>0.24</v>
      </c>
      <c r="W48" s="244"/>
      <c r="X48" s="76" t="s">
        <v>88</v>
      </c>
      <c r="Y48" s="76"/>
      <c r="Z48" s="31" t="s">
        <v>22</v>
      </c>
      <c r="AA48" t="s">
        <v>21</v>
      </c>
      <c r="AB48">
        <v>0.03</v>
      </c>
      <c r="AC48">
        <v>0.21</v>
      </c>
      <c r="AD48">
        <v>1</v>
      </c>
      <c r="AE48">
        <v>1</v>
      </c>
      <c r="AF48">
        <v>0</v>
      </c>
      <c r="AG48" s="24">
        <f t="shared" si="18"/>
        <v>0.24</v>
      </c>
      <c r="AH48" s="244"/>
      <c r="AI48" s="76" t="s">
        <v>88</v>
      </c>
      <c r="AJ48" s="79"/>
      <c r="AK48" s="31" t="s">
        <v>22</v>
      </c>
      <c r="AL48" t="s">
        <v>21</v>
      </c>
      <c r="AM48">
        <v>0.03</v>
      </c>
      <c r="AN48">
        <v>0.21</v>
      </c>
      <c r="AO48">
        <v>1</v>
      </c>
      <c r="AP48">
        <v>1</v>
      </c>
      <c r="AQ48">
        <v>0</v>
      </c>
      <c r="AR48" s="24">
        <f t="shared" si="19"/>
        <v>0.24</v>
      </c>
      <c r="AS48" s="244"/>
      <c r="AT48" s="76" t="s">
        <v>88</v>
      </c>
      <c r="AU48" s="79"/>
      <c r="AV48" s="31" t="s">
        <v>22</v>
      </c>
      <c r="AW48" t="s">
        <v>21</v>
      </c>
      <c r="AX48">
        <v>0.03</v>
      </c>
      <c r="AY48">
        <v>0.21</v>
      </c>
      <c r="AZ48">
        <v>1</v>
      </c>
      <c r="BA48">
        <v>1</v>
      </c>
      <c r="BB48">
        <v>0</v>
      </c>
      <c r="BC48" s="24">
        <f t="shared" si="20"/>
        <v>0.24</v>
      </c>
      <c r="BD48" s="246"/>
      <c r="BE48" s="76" t="s">
        <v>88</v>
      </c>
      <c r="BF48" s="79"/>
      <c r="BG48" s="31" t="s">
        <v>22</v>
      </c>
      <c r="BH48" t="s">
        <v>21</v>
      </c>
      <c r="BI48">
        <v>0.03</v>
      </c>
      <c r="BJ48">
        <v>0.21</v>
      </c>
      <c r="BK48">
        <v>1</v>
      </c>
      <c r="BL48">
        <v>1</v>
      </c>
      <c r="BM48">
        <v>0</v>
      </c>
      <c r="BN48" s="24">
        <f t="shared" si="21"/>
        <v>0.24</v>
      </c>
    </row>
    <row r="49" spans="1:66" ht="30" customHeight="1" x14ac:dyDescent="0.3">
      <c r="A49" s="244"/>
      <c r="B49" s="9" t="s">
        <v>92</v>
      </c>
      <c r="C49" s="3"/>
      <c r="D49" s="31" t="s">
        <v>17</v>
      </c>
      <c r="E49" t="s">
        <v>9</v>
      </c>
      <c r="F49">
        <v>1.1399999999999999</v>
      </c>
      <c r="G49">
        <v>2.67</v>
      </c>
      <c r="H49">
        <v>1</v>
      </c>
      <c r="I49">
        <v>1</v>
      </c>
      <c r="J49">
        <v>0</v>
      </c>
      <c r="K49" s="24">
        <f t="shared" si="17"/>
        <v>3.8099999999999996</v>
      </c>
      <c r="L49" s="244"/>
      <c r="M49" s="70" t="s">
        <v>92</v>
      </c>
      <c r="N49" s="70"/>
      <c r="O49" s="31" t="s">
        <v>17</v>
      </c>
      <c r="P49" t="s">
        <v>9</v>
      </c>
      <c r="Q49">
        <v>1.1399999999999999</v>
      </c>
      <c r="R49">
        <v>2.67</v>
      </c>
      <c r="S49">
        <v>1</v>
      </c>
      <c r="T49">
        <v>1</v>
      </c>
      <c r="U49">
        <v>0</v>
      </c>
      <c r="V49" s="24">
        <f t="shared" si="22"/>
        <v>3.8099999999999996</v>
      </c>
      <c r="W49" s="244"/>
      <c r="X49" s="76" t="s">
        <v>92</v>
      </c>
      <c r="Y49" s="76"/>
      <c r="Z49" s="31" t="s">
        <v>17</v>
      </c>
      <c r="AA49" t="s">
        <v>9</v>
      </c>
      <c r="AB49">
        <v>1.1399999999999999</v>
      </c>
      <c r="AC49">
        <v>2.67</v>
      </c>
      <c r="AD49">
        <v>1</v>
      </c>
      <c r="AE49">
        <v>1</v>
      </c>
      <c r="AF49">
        <v>0</v>
      </c>
      <c r="AG49" s="24">
        <f t="shared" si="18"/>
        <v>3.8099999999999996</v>
      </c>
      <c r="AH49" s="244"/>
      <c r="AI49" s="76" t="s">
        <v>92</v>
      </c>
      <c r="AJ49" s="79"/>
      <c r="AK49" s="31" t="s">
        <v>17</v>
      </c>
      <c r="AL49" t="s">
        <v>9</v>
      </c>
      <c r="AM49">
        <v>1.1399999999999999</v>
      </c>
      <c r="AN49">
        <v>2.67</v>
      </c>
      <c r="AO49">
        <v>1</v>
      </c>
      <c r="AP49">
        <v>1</v>
      </c>
      <c r="AQ49">
        <v>0</v>
      </c>
      <c r="AR49" s="24">
        <f t="shared" si="19"/>
        <v>3.8099999999999996</v>
      </c>
      <c r="AS49" s="244"/>
      <c r="AT49" s="76" t="s">
        <v>92</v>
      </c>
      <c r="AU49" s="79"/>
      <c r="AV49" s="31" t="s">
        <v>17</v>
      </c>
      <c r="AW49" t="s">
        <v>9</v>
      </c>
      <c r="AX49">
        <v>1.1399999999999999</v>
      </c>
      <c r="AY49">
        <v>2.67</v>
      </c>
      <c r="AZ49">
        <v>1</v>
      </c>
      <c r="BA49">
        <v>1</v>
      </c>
      <c r="BB49">
        <v>0</v>
      </c>
      <c r="BC49" s="24">
        <f t="shared" si="20"/>
        <v>3.8099999999999996</v>
      </c>
      <c r="BD49" s="246"/>
      <c r="BE49" s="76" t="s">
        <v>92</v>
      </c>
      <c r="BF49" s="79"/>
      <c r="BG49" s="31" t="s">
        <v>17</v>
      </c>
      <c r="BH49" t="s">
        <v>9</v>
      </c>
      <c r="BI49">
        <v>1.1399999999999999</v>
      </c>
      <c r="BJ49">
        <v>2.67</v>
      </c>
      <c r="BK49">
        <v>1</v>
      </c>
      <c r="BL49">
        <v>1</v>
      </c>
      <c r="BM49">
        <v>0</v>
      </c>
      <c r="BN49" s="24">
        <f t="shared" si="21"/>
        <v>3.8099999999999996</v>
      </c>
    </row>
    <row r="50" spans="1:66" x14ac:dyDescent="0.3">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3">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3">
      <c r="A52" s="243" t="s">
        <v>18</v>
      </c>
      <c r="B52" s="8">
        <v>92910300300</v>
      </c>
      <c r="C52" s="2">
        <v>5</v>
      </c>
      <c r="D52" s="31" t="s">
        <v>11</v>
      </c>
      <c r="E52" t="s">
        <v>9</v>
      </c>
      <c r="F52">
        <v>0.33</v>
      </c>
      <c r="G52">
        <v>0.3</v>
      </c>
      <c r="H52">
        <v>1</v>
      </c>
      <c r="I52">
        <v>1</v>
      </c>
      <c r="J52">
        <v>0.38100000000000001</v>
      </c>
      <c r="K52" s="24">
        <f t="shared" ref="K52:K62" si="23">(F52*H52+G52*I52)*(1+J52)</f>
        <v>0.87002999999999997</v>
      </c>
      <c r="L52" s="243" t="s">
        <v>18</v>
      </c>
      <c r="M52" s="69">
        <v>92910300300</v>
      </c>
      <c r="N52" s="69">
        <v>5</v>
      </c>
      <c r="O52" s="31" t="s">
        <v>11</v>
      </c>
      <c r="P52" t="s">
        <v>9</v>
      </c>
      <c r="Q52">
        <v>0.33</v>
      </c>
      <c r="R52">
        <v>0.3</v>
      </c>
      <c r="S52">
        <v>1</v>
      </c>
      <c r="T52">
        <v>1</v>
      </c>
      <c r="U52">
        <v>0.38100000000000001</v>
      </c>
      <c r="V52" s="24">
        <f>(Q52*S52+R52*T52)*(1+U52)</f>
        <v>0.87002999999999997</v>
      </c>
      <c r="W52" s="243" t="s">
        <v>18</v>
      </c>
      <c r="X52" s="75">
        <v>92910300300</v>
      </c>
      <c r="Y52" s="75">
        <v>5</v>
      </c>
      <c r="Z52" s="31" t="s">
        <v>11</v>
      </c>
      <c r="AA52" t="s">
        <v>9</v>
      </c>
      <c r="AB52">
        <v>0.33</v>
      </c>
      <c r="AC52">
        <v>0.3</v>
      </c>
      <c r="AD52">
        <v>1</v>
      </c>
      <c r="AE52">
        <v>1</v>
      </c>
      <c r="AF52">
        <v>0.38100000000000001</v>
      </c>
      <c r="AG52" s="24">
        <f t="shared" ref="AG52:AG62" si="24">(AB52*AD52+AC52*AE52)*(1+AF52)</f>
        <v>0.87002999999999997</v>
      </c>
      <c r="AH52" s="243"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3"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5"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x14ac:dyDescent="0.3">
      <c r="A53" s="244"/>
      <c r="B53" s="9" t="s">
        <v>88</v>
      </c>
      <c r="C53" s="3"/>
      <c r="D53" s="31" t="s">
        <v>86</v>
      </c>
      <c r="E53" t="s">
        <v>6</v>
      </c>
      <c r="F53">
        <v>0.71</v>
      </c>
      <c r="G53">
        <v>1.1299999999999999</v>
      </c>
      <c r="H53">
        <v>1</v>
      </c>
      <c r="I53">
        <v>1</v>
      </c>
      <c r="J53">
        <v>0</v>
      </c>
      <c r="K53" s="24">
        <f t="shared" si="23"/>
        <v>1.8399999999999999</v>
      </c>
      <c r="L53" s="244"/>
      <c r="M53" s="70" t="s">
        <v>88</v>
      </c>
      <c r="N53" s="70"/>
      <c r="O53" s="31" t="s">
        <v>86</v>
      </c>
      <c r="P53" t="s">
        <v>6</v>
      </c>
      <c r="Q53">
        <v>0.71</v>
      </c>
      <c r="R53">
        <v>1.1299999999999999</v>
      </c>
      <c r="S53">
        <v>1</v>
      </c>
      <c r="T53">
        <v>1</v>
      </c>
      <c r="U53">
        <v>0</v>
      </c>
      <c r="V53" s="24">
        <f>(Q53*S53+R53*T53)*(1+U53)</f>
        <v>1.8399999999999999</v>
      </c>
      <c r="W53" s="244"/>
      <c r="X53" s="76" t="s">
        <v>88</v>
      </c>
      <c r="Y53" s="76"/>
      <c r="Z53" s="31" t="s">
        <v>86</v>
      </c>
      <c r="AA53" t="s">
        <v>6</v>
      </c>
      <c r="AB53">
        <v>0.71</v>
      </c>
      <c r="AC53">
        <v>1.1299999999999999</v>
      </c>
      <c r="AD53">
        <v>1</v>
      </c>
      <c r="AE53">
        <v>1</v>
      </c>
      <c r="AF53">
        <v>0</v>
      </c>
      <c r="AG53" s="24">
        <f t="shared" si="24"/>
        <v>1.8399999999999999</v>
      </c>
      <c r="AH53" s="244"/>
      <c r="AI53" s="76" t="s">
        <v>88</v>
      </c>
      <c r="AJ53" s="79"/>
      <c r="AK53" s="31" t="s">
        <v>86</v>
      </c>
      <c r="AL53" t="s">
        <v>6</v>
      </c>
      <c r="AM53">
        <v>0.71</v>
      </c>
      <c r="AN53">
        <v>1.1299999999999999</v>
      </c>
      <c r="AO53">
        <v>1</v>
      </c>
      <c r="AP53">
        <v>1</v>
      </c>
      <c r="AQ53">
        <v>0</v>
      </c>
      <c r="AR53" s="24">
        <f t="shared" si="25"/>
        <v>1.8399999999999999</v>
      </c>
      <c r="AS53" s="244"/>
      <c r="AT53" s="76" t="s">
        <v>88</v>
      </c>
      <c r="AU53" s="79"/>
      <c r="AV53" s="31" t="s">
        <v>86</v>
      </c>
      <c r="AW53" t="s">
        <v>6</v>
      </c>
      <c r="AX53">
        <v>0.71</v>
      </c>
      <c r="AY53">
        <v>1.1299999999999999</v>
      </c>
      <c r="AZ53">
        <v>1</v>
      </c>
      <c r="BA53">
        <v>1</v>
      </c>
      <c r="BB53">
        <v>0</v>
      </c>
      <c r="BC53" s="24">
        <f t="shared" si="26"/>
        <v>1.8399999999999999</v>
      </c>
      <c r="BD53" s="246"/>
      <c r="BE53" s="76" t="s">
        <v>88</v>
      </c>
      <c r="BF53" s="79"/>
      <c r="BG53" s="31" t="s">
        <v>86</v>
      </c>
      <c r="BH53" t="s">
        <v>6</v>
      </c>
      <c r="BI53">
        <v>0.71</v>
      </c>
      <c r="BJ53">
        <v>1.1299999999999999</v>
      </c>
      <c r="BK53">
        <v>1</v>
      </c>
      <c r="BL53">
        <v>1</v>
      </c>
      <c r="BM53">
        <v>0</v>
      </c>
      <c r="BN53" s="24">
        <f t="shared" si="27"/>
        <v>1.8399999999999999</v>
      </c>
    </row>
    <row r="54" spans="1:66" x14ac:dyDescent="0.3">
      <c r="A54" s="244"/>
      <c r="B54" s="67">
        <v>72610100700</v>
      </c>
      <c r="C54" s="67"/>
      <c r="D54" s="31" t="s">
        <v>12</v>
      </c>
      <c r="E54" t="s">
        <v>9</v>
      </c>
      <c r="F54">
        <v>2.5000000000000001E-2</v>
      </c>
      <c r="G54">
        <v>8.2000000000000003E-2</v>
      </c>
      <c r="H54">
        <v>1</v>
      </c>
      <c r="I54">
        <v>1</v>
      </c>
      <c r="J54">
        <v>0.54300000000000004</v>
      </c>
      <c r="K54" s="24">
        <f t="shared" si="23"/>
        <v>0.16510100000000003</v>
      </c>
      <c r="L54" s="244"/>
      <c r="M54" s="70">
        <v>72610100700</v>
      </c>
      <c r="N54" s="70"/>
      <c r="O54" s="31" t="s">
        <v>12</v>
      </c>
      <c r="P54" t="s">
        <v>9</v>
      </c>
      <c r="Q54">
        <v>2.5000000000000001E-2</v>
      </c>
      <c r="R54">
        <v>8.2000000000000003E-2</v>
      </c>
      <c r="S54">
        <v>1</v>
      </c>
      <c r="T54">
        <v>1</v>
      </c>
      <c r="U54">
        <v>0.54300000000000004</v>
      </c>
      <c r="V54" s="24">
        <f>(Q54*S54+R54*T54)*(1+U54)</f>
        <v>0.16510100000000003</v>
      </c>
      <c r="W54" s="244"/>
      <c r="X54" s="76">
        <v>72610100700</v>
      </c>
      <c r="Y54" s="76"/>
      <c r="Z54" s="31" t="s">
        <v>12</v>
      </c>
      <c r="AA54" t="s">
        <v>9</v>
      </c>
      <c r="AB54">
        <v>2.5000000000000001E-2</v>
      </c>
      <c r="AC54">
        <v>8.2000000000000003E-2</v>
      </c>
      <c r="AD54">
        <v>1</v>
      </c>
      <c r="AE54">
        <v>1</v>
      </c>
      <c r="AF54">
        <v>0.54300000000000004</v>
      </c>
      <c r="AG54" s="24">
        <f t="shared" si="24"/>
        <v>0.16510100000000003</v>
      </c>
      <c r="AH54" s="244"/>
      <c r="AI54" s="76">
        <v>72610100700</v>
      </c>
      <c r="AJ54" s="79"/>
      <c r="AK54" s="31" t="s">
        <v>12</v>
      </c>
      <c r="AL54" t="s">
        <v>9</v>
      </c>
      <c r="AM54">
        <v>2.5000000000000001E-2</v>
      </c>
      <c r="AN54">
        <v>8.2000000000000003E-2</v>
      </c>
      <c r="AO54">
        <v>1</v>
      </c>
      <c r="AP54">
        <v>1</v>
      </c>
      <c r="AQ54">
        <v>0.54300000000000004</v>
      </c>
      <c r="AR54" s="24">
        <f t="shared" si="25"/>
        <v>0.16510100000000003</v>
      </c>
      <c r="AS54" s="244"/>
      <c r="AT54" s="76">
        <v>72610100700</v>
      </c>
      <c r="AU54" s="79"/>
      <c r="AV54" s="31" t="s">
        <v>12</v>
      </c>
      <c r="AW54" t="s">
        <v>9</v>
      </c>
      <c r="AX54">
        <v>2.5000000000000001E-2</v>
      </c>
      <c r="AY54">
        <v>8.2000000000000003E-2</v>
      </c>
      <c r="AZ54">
        <v>1</v>
      </c>
      <c r="BA54">
        <v>1</v>
      </c>
      <c r="BB54">
        <v>0.54300000000000004</v>
      </c>
      <c r="BC54" s="24">
        <f t="shared" si="26"/>
        <v>0.16510100000000003</v>
      </c>
      <c r="BD54" s="246"/>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x14ac:dyDescent="0.3">
      <c r="A55" s="244"/>
      <c r="B55" s="21">
        <v>72116200444</v>
      </c>
      <c r="C55" s="3"/>
      <c r="D55" s="31" t="s">
        <v>136</v>
      </c>
      <c r="E55" t="s">
        <v>9</v>
      </c>
      <c r="F55">
        <v>0.48</v>
      </c>
      <c r="G55">
        <v>0.22</v>
      </c>
      <c r="H55">
        <v>1.33</v>
      </c>
      <c r="I55">
        <v>1</v>
      </c>
      <c r="J55">
        <v>0.3</v>
      </c>
      <c r="K55" s="24">
        <f t="shared" si="23"/>
        <v>1.11592</v>
      </c>
      <c r="L55" s="244"/>
      <c r="M55" s="70">
        <v>72116200486</v>
      </c>
      <c r="N55" s="70"/>
      <c r="O55" s="31" t="s">
        <v>8</v>
      </c>
      <c r="P55" t="s">
        <v>9</v>
      </c>
      <c r="Q55">
        <v>0.64</v>
      </c>
      <c r="R55">
        <v>0.19</v>
      </c>
      <c r="S55">
        <v>1</v>
      </c>
      <c r="T55">
        <v>1</v>
      </c>
      <c r="U55">
        <v>0.22900000000000001</v>
      </c>
      <c r="V55" s="24">
        <f t="shared" ref="V55:V62" si="28">(Q55*S55+R55*T55)*(1+U55)</f>
        <v>1.0200700000000003</v>
      </c>
      <c r="W55" s="244"/>
      <c r="X55" s="76">
        <v>72116200486</v>
      </c>
      <c r="Y55" s="76"/>
      <c r="Z55" s="31" t="s">
        <v>8</v>
      </c>
      <c r="AA55" t="s">
        <v>9</v>
      </c>
      <c r="AB55">
        <v>0.64</v>
      </c>
      <c r="AC55">
        <v>0.19</v>
      </c>
      <c r="AD55">
        <v>1</v>
      </c>
      <c r="AE55">
        <v>1</v>
      </c>
      <c r="AF55">
        <v>0.22900000000000001</v>
      </c>
      <c r="AG55" s="24">
        <f t="shared" si="24"/>
        <v>1.0200700000000003</v>
      </c>
      <c r="AH55" s="244"/>
      <c r="AI55" s="76">
        <v>72116200486</v>
      </c>
      <c r="AJ55" s="79"/>
      <c r="AK55" s="31" t="s">
        <v>8</v>
      </c>
      <c r="AL55" t="s">
        <v>9</v>
      </c>
      <c r="AM55">
        <v>0.64</v>
      </c>
      <c r="AN55">
        <v>0.19</v>
      </c>
      <c r="AO55">
        <v>1</v>
      </c>
      <c r="AP55">
        <v>1</v>
      </c>
      <c r="AQ55">
        <v>0.22900000000000001</v>
      </c>
      <c r="AR55" s="24">
        <f t="shared" si="25"/>
        <v>1.0200700000000003</v>
      </c>
      <c r="AS55" s="244"/>
      <c r="AT55" s="76">
        <v>72116200486</v>
      </c>
      <c r="AU55" s="79"/>
      <c r="AV55" s="31" t="s">
        <v>8</v>
      </c>
      <c r="AW55" t="s">
        <v>9</v>
      </c>
      <c r="AX55">
        <v>0.64</v>
      </c>
      <c r="AY55">
        <v>0.19</v>
      </c>
      <c r="AZ55">
        <v>1</v>
      </c>
      <c r="BA55">
        <v>1</v>
      </c>
      <c r="BB55">
        <v>0.22900000000000001</v>
      </c>
      <c r="BC55" s="24">
        <f t="shared" si="26"/>
        <v>1.0200700000000003</v>
      </c>
      <c r="BD55" s="246"/>
      <c r="BE55" s="76">
        <v>72116200486</v>
      </c>
      <c r="BF55" s="79"/>
      <c r="BG55" s="31" t="s">
        <v>8</v>
      </c>
      <c r="BH55" t="s">
        <v>9</v>
      </c>
      <c r="BI55">
        <v>0.64</v>
      </c>
      <c r="BJ55">
        <v>0.19</v>
      </c>
      <c r="BK55">
        <v>1</v>
      </c>
      <c r="BL55">
        <v>1</v>
      </c>
      <c r="BM55">
        <v>0.22900000000000001</v>
      </c>
      <c r="BN55" s="24">
        <f t="shared" si="27"/>
        <v>1.0200700000000003</v>
      </c>
    </row>
    <row r="56" spans="1:66" ht="28.8" x14ac:dyDescent="0.3">
      <c r="A56" s="244"/>
      <c r="B56" s="67">
        <v>61636100605</v>
      </c>
      <c r="C56" s="67"/>
      <c r="D56" s="31" t="s">
        <v>244</v>
      </c>
      <c r="E56" t="s">
        <v>7</v>
      </c>
      <c r="F56">
        <v>0.68</v>
      </c>
      <c r="G56">
        <v>0.43</v>
      </c>
      <c r="H56">
        <v>1</v>
      </c>
      <c r="I56">
        <v>1</v>
      </c>
      <c r="J56">
        <v>0.33</v>
      </c>
      <c r="K56" s="24">
        <f t="shared" si="23"/>
        <v>1.4763000000000002</v>
      </c>
      <c r="L56" s="244"/>
      <c r="M56" s="70">
        <v>61636100605</v>
      </c>
      <c r="N56" s="70"/>
      <c r="O56" s="31" t="s">
        <v>244</v>
      </c>
      <c r="P56" t="s">
        <v>7</v>
      </c>
      <c r="Q56">
        <v>0.68</v>
      </c>
      <c r="R56">
        <v>0.43</v>
      </c>
      <c r="S56">
        <v>1</v>
      </c>
      <c r="T56">
        <v>1</v>
      </c>
      <c r="U56">
        <v>0.33</v>
      </c>
      <c r="V56" s="24">
        <f t="shared" si="28"/>
        <v>1.4763000000000002</v>
      </c>
      <c r="W56" s="244"/>
      <c r="X56" s="79">
        <v>61636100605</v>
      </c>
      <c r="Y56" s="79"/>
      <c r="Z56" s="31" t="s">
        <v>244</v>
      </c>
      <c r="AA56" t="s">
        <v>7</v>
      </c>
      <c r="AB56">
        <v>0.68</v>
      </c>
      <c r="AC56">
        <v>0.43</v>
      </c>
      <c r="AD56">
        <v>1</v>
      </c>
      <c r="AE56">
        <v>1</v>
      </c>
      <c r="AF56">
        <v>0.33</v>
      </c>
      <c r="AG56" s="24">
        <f t="shared" si="24"/>
        <v>1.4763000000000002</v>
      </c>
      <c r="AH56" s="244"/>
      <c r="AI56" s="79">
        <v>61636100605</v>
      </c>
      <c r="AJ56" s="79"/>
      <c r="AK56" s="31" t="s">
        <v>244</v>
      </c>
      <c r="AL56" t="s">
        <v>7</v>
      </c>
      <c r="AM56">
        <v>0.68</v>
      </c>
      <c r="AN56">
        <v>0.43</v>
      </c>
      <c r="AO56">
        <v>1</v>
      </c>
      <c r="AP56">
        <v>1</v>
      </c>
      <c r="AQ56">
        <v>0.33</v>
      </c>
      <c r="AR56" s="24">
        <f t="shared" si="25"/>
        <v>1.4763000000000002</v>
      </c>
      <c r="AS56" s="244"/>
      <c r="AT56" s="20">
        <v>61636100605</v>
      </c>
      <c r="AU56" s="79"/>
      <c r="AV56" s="31" t="s">
        <v>244</v>
      </c>
      <c r="AW56" t="s">
        <v>7</v>
      </c>
      <c r="AX56">
        <v>0.68</v>
      </c>
      <c r="AY56">
        <v>0.43</v>
      </c>
      <c r="AZ56">
        <v>1</v>
      </c>
      <c r="BA56">
        <v>1</v>
      </c>
      <c r="BB56">
        <v>0.33</v>
      </c>
      <c r="BC56" s="24">
        <v>1.4763000000000002</v>
      </c>
      <c r="BD56" s="246"/>
      <c r="BE56" s="79">
        <v>61636100605</v>
      </c>
      <c r="BF56" s="79"/>
      <c r="BG56" s="31" t="s">
        <v>244</v>
      </c>
      <c r="BH56" t="s">
        <v>7</v>
      </c>
      <c r="BI56">
        <v>0.68</v>
      </c>
      <c r="BJ56">
        <v>0.43</v>
      </c>
      <c r="BK56">
        <v>1</v>
      </c>
      <c r="BL56">
        <v>1</v>
      </c>
      <c r="BM56">
        <v>0.33</v>
      </c>
      <c r="BN56" s="24">
        <f t="shared" si="27"/>
        <v>1.4763000000000002</v>
      </c>
    </row>
    <row r="57" spans="1:66" ht="28.8" x14ac:dyDescent="0.3">
      <c r="A57" s="244"/>
      <c r="B57" s="79"/>
      <c r="C57" s="79"/>
      <c r="K57" s="24"/>
      <c r="L57" s="244"/>
      <c r="M57" s="79">
        <v>72113101610</v>
      </c>
      <c r="O57" s="31" t="s">
        <v>262</v>
      </c>
      <c r="P57" t="s">
        <v>9</v>
      </c>
      <c r="Q57">
        <v>0.31</v>
      </c>
      <c r="R57">
        <v>0.38</v>
      </c>
      <c r="S57">
        <v>1</v>
      </c>
      <c r="T57">
        <v>1</v>
      </c>
      <c r="U57">
        <v>0.40500000000000003</v>
      </c>
      <c r="V57" s="24">
        <f t="shared" si="28"/>
        <v>0.96944999999999992</v>
      </c>
      <c r="W57" s="244"/>
      <c r="X57" s="20" t="s">
        <v>109</v>
      </c>
      <c r="Y57" s="79"/>
      <c r="Z57" s="31" t="s">
        <v>225</v>
      </c>
      <c r="AA57" t="s">
        <v>9</v>
      </c>
      <c r="AB57">
        <v>0.51</v>
      </c>
      <c r="AC57">
        <v>0.38</v>
      </c>
      <c r="AD57">
        <v>1</v>
      </c>
      <c r="AE57">
        <v>1</v>
      </c>
      <c r="AF57">
        <v>0.33700000000000002</v>
      </c>
      <c r="AG57" s="24">
        <f>(AB57*AD57+AC57*AE57)*(1+AF57)</f>
        <v>1.1899299999999999</v>
      </c>
      <c r="AH57" s="244"/>
      <c r="AI57" s="20" t="s">
        <v>110</v>
      </c>
      <c r="AJ57" s="79"/>
      <c r="AK57" s="31" t="s">
        <v>250</v>
      </c>
      <c r="AL57" t="s">
        <v>9</v>
      </c>
      <c r="AM57">
        <v>0.59</v>
      </c>
      <c r="AN57">
        <v>0.41</v>
      </c>
      <c r="AO57">
        <v>1</v>
      </c>
      <c r="AP57">
        <v>1</v>
      </c>
      <c r="AQ57">
        <v>0.34</v>
      </c>
      <c r="AR57" s="24">
        <f>(AM57*AO57+AN57*AP57)*(1+AQ57)</f>
        <v>1.34</v>
      </c>
      <c r="AS57" s="244"/>
      <c r="AT57" s="20" t="s">
        <v>110</v>
      </c>
      <c r="AU57" s="79"/>
      <c r="AV57" s="31" t="s">
        <v>250</v>
      </c>
      <c r="AW57" t="s">
        <v>9</v>
      </c>
      <c r="AX57">
        <v>0.59</v>
      </c>
      <c r="AY57">
        <v>0.41</v>
      </c>
      <c r="AZ57">
        <v>1</v>
      </c>
      <c r="BA57">
        <v>1</v>
      </c>
      <c r="BB57">
        <v>0.34</v>
      </c>
      <c r="BC57" s="24">
        <v>1.34</v>
      </c>
      <c r="BD57" s="246"/>
      <c r="BE57" s="20" t="s">
        <v>111</v>
      </c>
      <c r="BF57" s="79"/>
      <c r="BG57" s="31" t="s">
        <v>218</v>
      </c>
      <c r="BH57" s="19" t="s">
        <v>7</v>
      </c>
      <c r="BI57" s="19">
        <v>0.75</v>
      </c>
      <c r="BJ57" s="19">
        <v>0.41</v>
      </c>
      <c r="BK57">
        <v>1</v>
      </c>
      <c r="BL57">
        <v>1</v>
      </c>
      <c r="BM57">
        <v>0.31</v>
      </c>
      <c r="BN57" s="24">
        <f>(BI57*BK57+BJ57*BL57)*(1+BM57)</f>
        <v>1.5196000000000001</v>
      </c>
    </row>
    <row r="58" spans="1:66" ht="30" customHeight="1" x14ac:dyDescent="0.3">
      <c r="A58" s="244"/>
      <c r="B58" s="67">
        <v>72510103000</v>
      </c>
      <c r="C58" s="67"/>
      <c r="D58" s="31" t="s">
        <v>14</v>
      </c>
      <c r="E58" t="s">
        <v>9</v>
      </c>
      <c r="F58">
        <v>0.16</v>
      </c>
      <c r="G58">
        <v>0.08</v>
      </c>
      <c r="H58">
        <v>1</v>
      </c>
      <c r="I58">
        <v>1</v>
      </c>
      <c r="J58">
        <v>0.28999999999999998</v>
      </c>
      <c r="K58" s="24">
        <f t="shared" si="23"/>
        <v>0.30959999999999999</v>
      </c>
      <c r="L58" s="244"/>
      <c r="M58" s="70">
        <v>72510103000</v>
      </c>
      <c r="N58" s="70"/>
      <c r="O58" s="31" t="s">
        <v>14</v>
      </c>
      <c r="P58" t="s">
        <v>9</v>
      </c>
      <c r="Q58">
        <v>0.16</v>
      </c>
      <c r="R58">
        <v>0.08</v>
      </c>
      <c r="S58">
        <v>1</v>
      </c>
      <c r="T58">
        <v>1</v>
      </c>
      <c r="U58">
        <v>0.28999999999999998</v>
      </c>
      <c r="V58" s="24">
        <f t="shared" si="28"/>
        <v>0.30959999999999999</v>
      </c>
      <c r="W58" s="244"/>
      <c r="X58" s="76">
        <v>72510103000</v>
      </c>
      <c r="Y58" s="76"/>
      <c r="Z58" s="31" t="s">
        <v>14</v>
      </c>
      <c r="AA58" t="s">
        <v>9</v>
      </c>
      <c r="AB58">
        <v>0.16</v>
      </c>
      <c r="AC58">
        <v>0.08</v>
      </c>
      <c r="AD58">
        <v>1</v>
      </c>
      <c r="AE58">
        <v>1</v>
      </c>
      <c r="AF58">
        <v>0.28999999999999998</v>
      </c>
      <c r="AG58" s="24">
        <f t="shared" si="24"/>
        <v>0.30959999999999999</v>
      </c>
      <c r="AH58" s="244"/>
      <c r="AI58" s="76">
        <v>72510103000</v>
      </c>
      <c r="AJ58" s="79"/>
      <c r="AK58" s="31" t="s">
        <v>14</v>
      </c>
      <c r="AL58" t="s">
        <v>9</v>
      </c>
      <c r="AM58">
        <v>0.16</v>
      </c>
      <c r="AN58">
        <v>0.08</v>
      </c>
      <c r="AO58">
        <v>1</v>
      </c>
      <c r="AP58">
        <v>1</v>
      </c>
      <c r="AQ58">
        <v>0.28999999999999998</v>
      </c>
      <c r="AR58" s="24">
        <f t="shared" si="25"/>
        <v>0.30959999999999999</v>
      </c>
      <c r="AS58" s="244"/>
      <c r="AT58" s="76">
        <v>72510103000</v>
      </c>
      <c r="AU58" s="79"/>
      <c r="AV58" s="31" t="s">
        <v>14</v>
      </c>
      <c r="AW58" t="s">
        <v>9</v>
      </c>
      <c r="AX58">
        <v>0.16</v>
      </c>
      <c r="AY58">
        <v>0.08</v>
      </c>
      <c r="AZ58">
        <v>1</v>
      </c>
      <c r="BA58">
        <v>1</v>
      </c>
      <c r="BB58">
        <v>0.28999999999999998</v>
      </c>
      <c r="BC58" s="24">
        <f t="shared" si="26"/>
        <v>0.30959999999999999</v>
      </c>
      <c r="BD58" s="246"/>
      <c r="BE58" s="76">
        <v>72510103000</v>
      </c>
      <c r="BF58" s="79"/>
      <c r="BG58" s="31" t="s">
        <v>14</v>
      </c>
      <c r="BH58" t="s">
        <v>9</v>
      </c>
      <c r="BI58">
        <v>0.16</v>
      </c>
      <c r="BJ58">
        <v>0.08</v>
      </c>
      <c r="BK58">
        <v>1</v>
      </c>
      <c r="BL58">
        <v>1</v>
      </c>
      <c r="BM58">
        <v>0.28999999999999998</v>
      </c>
      <c r="BN58" s="24">
        <f t="shared" si="27"/>
        <v>0.30959999999999999</v>
      </c>
    </row>
    <row r="59" spans="1:66" ht="30" customHeight="1" x14ac:dyDescent="0.3">
      <c r="A59" s="244"/>
      <c r="B59" s="9" t="s">
        <v>89</v>
      </c>
      <c r="C59" s="3"/>
      <c r="D59" s="31" t="s">
        <v>19</v>
      </c>
      <c r="E59" t="s">
        <v>6</v>
      </c>
      <c r="F59">
        <v>0.5</v>
      </c>
      <c r="G59">
        <v>0.15</v>
      </c>
      <c r="H59">
        <v>1</v>
      </c>
      <c r="I59">
        <v>1</v>
      </c>
      <c r="J59">
        <v>0</v>
      </c>
      <c r="K59" s="24">
        <f t="shared" si="23"/>
        <v>0.65</v>
      </c>
      <c r="L59" s="244"/>
      <c r="M59" s="70" t="s">
        <v>89</v>
      </c>
      <c r="N59" s="70"/>
      <c r="O59" s="31" t="s">
        <v>19</v>
      </c>
      <c r="P59" t="s">
        <v>6</v>
      </c>
      <c r="Q59">
        <v>0.5</v>
      </c>
      <c r="R59">
        <v>0.15</v>
      </c>
      <c r="S59">
        <v>1</v>
      </c>
      <c r="T59">
        <v>1</v>
      </c>
      <c r="U59">
        <v>0</v>
      </c>
      <c r="V59" s="24">
        <f t="shared" si="28"/>
        <v>0.65</v>
      </c>
      <c r="W59" s="244"/>
      <c r="X59" s="76" t="s">
        <v>89</v>
      </c>
      <c r="Y59" s="76"/>
      <c r="Z59" s="31" t="s">
        <v>19</v>
      </c>
      <c r="AA59" t="s">
        <v>6</v>
      </c>
      <c r="AB59">
        <v>0.5</v>
      </c>
      <c r="AC59">
        <v>0.15</v>
      </c>
      <c r="AD59">
        <v>1</v>
      </c>
      <c r="AE59">
        <v>1</v>
      </c>
      <c r="AF59">
        <v>0</v>
      </c>
      <c r="AG59" s="24">
        <f t="shared" si="24"/>
        <v>0.65</v>
      </c>
      <c r="AH59" s="244"/>
      <c r="AI59" s="76" t="s">
        <v>89</v>
      </c>
      <c r="AJ59" s="79"/>
      <c r="AK59" s="31" t="s">
        <v>19</v>
      </c>
      <c r="AL59" t="s">
        <v>6</v>
      </c>
      <c r="AM59">
        <v>0.5</v>
      </c>
      <c r="AN59">
        <v>0.15</v>
      </c>
      <c r="AO59">
        <v>1</v>
      </c>
      <c r="AP59">
        <v>1</v>
      </c>
      <c r="AQ59">
        <v>0</v>
      </c>
      <c r="AR59" s="24">
        <f t="shared" si="25"/>
        <v>0.65</v>
      </c>
      <c r="AS59" s="244"/>
      <c r="AT59" s="76" t="s">
        <v>89</v>
      </c>
      <c r="AU59" s="79"/>
      <c r="AV59" s="31" t="s">
        <v>19</v>
      </c>
      <c r="AW59" t="s">
        <v>6</v>
      </c>
      <c r="AX59">
        <v>0.5</v>
      </c>
      <c r="AY59">
        <v>0.15</v>
      </c>
      <c r="AZ59">
        <v>1</v>
      </c>
      <c r="BA59">
        <v>1</v>
      </c>
      <c r="BB59">
        <v>0</v>
      </c>
      <c r="BC59" s="24">
        <f t="shared" si="26"/>
        <v>0.65</v>
      </c>
      <c r="BD59" s="246"/>
      <c r="BE59" s="76" t="s">
        <v>89</v>
      </c>
      <c r="BF59" s="79"/>
      <c r="BG59" s="31" t="s">
        <v>19</v>
      </c>
      <c r="BH59" t="s">
        <v>6</v>
      </c>
      <c r="BI59">
        <v>0.5</v>
      </c>
      <c r="BJ59">
        <v>0.15</v>
      </c>
      <c r="BK59">
        <v>1</v>
      </c>
      <c r="BL59">
        <v>1</v>
      </c>
      <c r="BM59">
        <v>0</v>
      </c>
      <c r="BN59" s="24">
        <f t="shared" si="27"/>
        <v>0.65</v>
      </c>
    </row>
    <row r="60" spans="1:66" ht="30" customHeight="1" x14ac:dyDescent="0.3">
      <c r="A60" s="244"/>
      <c r="B60" s="9">
        <v>74213301000</v>
      </c>
      <c r="C60" s="3"/>
      <c r="D60" s="31" t="s">
        <v>20</v>
      </c>
      <c r="E60" t="s">
        <v>9</v>
      </c>
      <c r="F60">
        <v>2.38</v>
      </c>
      <c r="G60">
        <v>1.45</v>
      </c>
      <c r="H60">
        <v>1</v>
      </c>
      <c r="I60">
        <v>1</v>
      </c>
      <c r="J60">
        <v>0.315</v>
      </c>
      <c r="K60" s="24">
        <f t="shared" si="23"/>
        <v>5.0364500000000003</v>
      </c>
      <c r="L60" s="244"/>
      <c r="M60" s="70">
        <v>74213301000</v>
      </c>
      <c r="N60" s="70"/>
      <c r="O60" s="31" t="s">
        <v>20</v>
      </c>
      <c r="P60" t="s">
        <v>9</v>
      </c>
      <c r="Q60">
        <v>2.38</v>
      </c>
      <c r="R60">
        <v>1.45</v>
      </c>
      <c r="S60">
        <v>1</v>
      </c>
      <c r="T60">
        <v>1</v>
      </c>
      <c r="U60">
        <v>0.315</v>
      </c>
      <c r="V60" s="24">
        <f t="shared" si="28"/>
        <v>5.0364500000000003</v>
      </c>
      <c r="W60" s="244"/>
      <c r="X60" s="76">
        <v>74213301000</v>
      </c>
      <c r="Y60" s="76"/>
      <c r="Z60" s="31" t="s">
        <v>20</v>
      </c>
      <c r="AA60" t="s">
        <v>9</v>
      </c>
      <c r="AB60">
        <v>2.38</v>
      </c>
      <c r="AC60">
        <v>1.45</v>
      </c>
      <c r="AD60">
        <v>1</v>
      </c>
      <c r="AE60">
        <v>1</v>
      </c>
      <c r="AF60">
        <v>0.315</v>
      </c>
      <c r="AG60" s="24">
        <f t="shared" si="24"/>
        <v>5.0364500000000003</v>
      </c>
      <c r="AH60" s="244"/>
      <c r="AI60" s="76">
        <v>74213301000</v>
      </c>
      <c r="AJ60" s="79"/>
      <c r="AK60" s="31" t="s">
        <v>20</v>
      </c>
      <c r="AL60" t="s">
        <v>9</v>
      </c>
      <c r="AM60">
        <v>2.38</v>
      </c>
      <c r="AN60">
        <v>1.45</v>
      </c>
      <c r="AO60">
        <v>1</v>
      </c>
      <c r="AP60">
        <v>1</v>
      </c>
      <c r="AQ60">
        <v>0.315</v>
      </c>
      <c r="AR60" s="24">
        <f t="shared" si="25"/>
        <v>5.0364500000000003</v>
      </c>
      <c r="AS60" s="244"/>
      <c r="AT60" s="76">
        <v>74213301000</v>
      </c>
      <c r="AU60" s="79"/>
      <c r="AV60" s="31" t="s">
        <v>20</v>
      </c>
      <c r="AW60" t="s">
        <v>9</v>
      </c>
      <c r="AX60">
        <v>2.38</v>
      </c>
      <c r="AY60">
        <v>1.45</v>
      </c>
      <c r="AZ60">
        <v>1</v>
      </c>
      <c r="BA60">
        <v>1</v>
      </c>
      <c r="BB60">
        <v>0.315</v>
      </c>
      <c r="BC60" s="24">
        <f t="shared" si="26"/>
        <v>5.0364500000000003</v>
      </c>
      <c r="BD60" s="246"/>
      <c r="BE60" s="76">
        <v>74213301000</v>
      </c>
      <c r="BF60" s="79"/>
      <c r="BG60" s="31" t="s">
        <v>20</v>
      </c>
      <c r="BH60" t="s">
        <v>9</v>
      </c>
      <c r="BI60">
        <v>2.38</v>
      </c>
      <c r="BJ60">
        <v>1.45</v>
      </c>
      <c r="BK60">
        <v>1</v>
      </c>
      <c r="BL60">
        <v>1</v>
      </c>
      <c r="BM60">
        <v>0.315</v>
      </c>
      <c r="BN60" s="24">
        <f t="shared" si="27"/>
        <v>5.0364500000000003</v>
      </c>
    </row>
    <row r="61" spans="1:66" ht="30" customHeight="1" x14ac:dyDescent="0.3">
      <c r="A61" s="244"/>
      <c r="B61" s="9" t="s">
        <v>89</v>
      </c>
      <c r="C61" s="3"/>
      <c r="D61" s="31" t="s">
        <v>23</v>
      </c>
      <c r="E61" t="s">
        <v>6</v>
      </c>
      <c r="F61">
        <v>0.14000000000000001</v>
      </c>
      <c r="G61">
        <v>0.26</v>
      </c>
      <c r="H61">
        <v>1</v>
      </c>
      <c r="I61">
        <v>1</v>
      </c>
      <c r="J61">
        <v>0</v>
      </c>
      <c r="K61" s="24">
        <f t="shared" si="23"/>
        <v>0.4</v>
      </c>
      <c r="L61" s="244"/>
      <c r="M61" s="70" t="s">
        <v>89</v>
      </c>
      <c r="N61" s="70"/>
      <c r="O61" s="31" t="s">
        <v>23</v>
      </c>
      <c r="P61" t="s">
        <v>6</v>
      </c>
      <c r="Q61">
        <v>0.14000000000000001</v>
      </c>
      <c r="R61">
        <v>0.26</v>
      </c>
      <c r="S61">
        <v>1</v>
      </c>
      <c r="T61">
        <v>1</v>
      </c>
      <c r="U61">
        <v>0</v>
      </c>
      <c r="V61" s="24">
        <f t="shared" si="28"/>
        <v>0.4</v>
      </c>
      <c r="W61" s="244"/>
      <c r="X61" s="76" t="s">
        <v>89</v>
      </c>
      <c r="Y61" s="76"/>
      <c r="Z61" s="31" t="s">
        <v>23</v>
      </c>
      <c r="AA61" t="s">
        <v>6</v>
      </c>
      <c r="AB61">
        <v>0.14000000000000001</v>
      </c>
      <c r="AC61">
        <v>0.26</v>
      </c>
      <c r="AD61">
        <v>1</v>
      </c>
      <c r="AE61">
        <v>1</v>
      </c>
      <c r="AF61">
        <v>0</v>
      </c>
      <c r="AG61" s="24">
        <f t="shared" si="24"/>
        <v>0.4</v>
      </c>
      <c r="AH61" s="244"/>
      <c r="AI61" s="76" t="s">
        <v>89</v>
      </c>
      <c r="AJ61" s="79"/>
      <c r="AK61" s="31" t="s">
        <v>23</v>
      </c>
      <c r="AL61" t="s">
        <v>6</v>
      </c>
      <c r="AM61">
        <v>0.14000000000000001</v>
      </c>
      <c r="AN61">
        <v>0.26</v>
      </c>
      <c r="AO61">
        <v>1</v>
      </c>
      <c r="AP61">
        <v>1</v>
      </c>
      <c r="AQ61">
        <v>0</v>
      </c>
      <c r="AR61" s="24">
        <f t="shared" si="25"/>
        <v>0.4</v>
      </c>
      <c r="AS61" s="244"/>
      <c r="AT61" s="76" t="s">
        <v>89</v>
      </c>
      <c r="AU61" s="79"/>
      <c r="AV61" s="31" t="s">
        <v>23</v>
      </c>
      <c r="AW61" t="s">
        <v>6</v>
      </c>
      <c r="AX61">
        <v>0.14000000000000001</v>
      </c>
      <c r="AY61">
        <v>0.26</v>
      </c>
      <c r="AZ61">
        <v>1</v>
      </c>
      <c r="BA61">
        <v>1</v>
      </c>
      <c r="BB61">
        <v>0</v>
      </c>
      <c r="BC61" s="24">
        <f t="shared" si="26"/>
        <v>0.4</v>
      </c>
      <c r="BD61" s="246"/>
      <c r="BE61" s="76" t="s">
        <v>89</v>
      </c>
      <c r="BF61" s="79"/>
      <c r="BG61" s="31" t="s">
        <v>23</v>
      </c>
      <c r="BH61" t="s">
        <v>6</v>
      </c>
      <c r="BI61">
        <v>0.14000000000000001</v>
      </c>
      <c r="BJ61">
        <v>0.26</v>
      </c>
      <c r="BK61">
        <v>1</v>
      </c>
      <c r="BL61">
        <v>1</v>
      </c>
      <c r="BM61">
        <v>0</v>
      </c>
      <c r="BN61" s="24">
        <f t="shared" si="27"/>
        <v>0.4</v>
      </c>
    </row>
    <row r="62" spans="1:66" x14ac:dyDescent="0.3">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x14ac:dyDescent="0.3">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x14ac:dyDescent="0.3">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3">
      <c r="A65" s="243" t="s">
        <v>24</v>
      </c>
      <c r="B65" s="8">
        <v>92910300300</v>
      </c>
      <c r="C65" s="2">
        <v>6</v>
      </c>
      <c r="D65" s="31" t="s">
        <v>11</v>
      </c>
      <c r="E65" t="s">
        <v>9</v>
      </c>
      <c r="F65">
        <v>0.33</v>
      </c>
      <c r="G65">
        <v>0.3</v>
      </c>
      <c r="H65">
        <v>1</v>
      </c>
      <c r="I65">
        <v>1</v>
      </c>
      <c r="J65">
        <v>0.38100000000000001</v>
      </c>
      <c r="K65" s="24">
        <f t="shared" ref="K65:K75" si="29">(F65*H65+G65*I65)*(1+J65)</f>
        <v>0.87002999999999997</v>
      </c>
      <c r="L65" s="243" t="s">
        <v>24</v>
      </c>
      <c r="M65" s="69">
        <v>92910300300</v>
      </c>
      <c r="N65" s="69">
        <v>6</v>
      </c>
      <c r="O65" s="31" t="s">
        <v>11</v>
      </c>
      <c r="P65" t="s">
        <v>9</v>
      </c>
      <c r="Q65">
        <v>0.33</v>
      </c>
      <c r="R65">
        <v>0.3</v>
      </c>
      <c r="S65">
        <v>1</v>
      </c>
      <c r="T65">
        <v>1</v>
      </c>
      <c r="U65">
        <v>0.38100000000000001</v>
      </c>
      <c r="V65" s="24">
        <f>(Q65*S65+R65*T65)*(1+U65)</f>
        <v>0.87002999999999997</v>
      </c>
      <c r="W65" s="243" t="s">
        <v>24</v>
      </c>
      <c r="X65" s="75">
        <v>92910300300</v>
      </c>
      <c r="Y65" s="75">
        <v>6</v>
      </c>
      <c r="Z65" s="31" t="s">
        <v>11</v>
      </c>
      <c r="AA65" t="s">
        <v>9</v>
      </c>
      <c r="AB65">
        <v>0.33</v>
      </c>
      <c r="AC65">
        <v>0.3</v>
      </c>
      <c r="AD65">
        <v>1</v>
      </c>
      <c r="AE65">
        <v>1</v>
      </c>
      <c r="AF65">
        <v>0.38100000000000001</v>
      </c>
      <c r="AG65" s="24">
        <f t="shared" ref="AG65:AG75" si="30">(AB65*AD65+AC65*AE65)*(1+AF65)</f>
        <v>0.87002999999999997</v>
      </c>
      <c r="AH65" s="243"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3"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5"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x14ac:dyDescent="0.3">
      <c r="A66" s="244"/>
      <c r="B66" s="9" t="s">
        <v>88</v>
      </c>
      <c r="C66" s="9"/>
      <c r="D66" s="31" t="s">
        <v>86</v>
      </c>
      <c r="E66" t="s">
        <v>6</v>
      </c>
      <c r="F66">
        <v>0.71</v>
      </c>
      <c r="G66">
        <v>1.1299999999999999</v>
      </c>
      <c r="H66">
        <v>1</v>
      </c>
      <c r="I66">
        <v>1</v>
      </c>
      <c r="J66">
        <v>0</v>
      </c>
      <c r="K66" s="24">
        <f t="shared" si="29"/>
        <v>1.8399999999999999</v>
      </c>
      <c r="L66" s="244"/>
      <c r="M66" s="70" t="s">
        <v>88</v>
      </c>
      <c r="N66" s="70"/>
      <c r="O66" s="31" t="s">
        <v>86</v>
      </c>
      <c r="P66" t="s">
        <v>6</v>
      </c>
      <c r="Q66">
        <v>0.71</v>
      </c>
      <c r="R66">
        <v>1.1299999999999999</v>
      </c>
      <c r="S66">
        <v>1</v>
      </c>
      <c r="T66">
        <v>1</v>
      </c>
      <c r="U66">
        <v>0</v>
      </c>
      <c r="V66" s="24">
        <f>(Q66*S66+R66*T66)*(1+U66)</f>
        <v>1.8399999999999999</v>
      </c>
      <c r="W66" s="244"/>
      <c r="X66" s="76" t="s">
        <v>88</v>
      </c>
      <c r="Y66" s="76"/>
      <c r="Z66" s="31" t="s">
        <v>86</v>
      </c>
      <c r="AA66" t="s">
        <v>6</v>
      </c>
      <c r="AB66">
        <v>0.71</v>
      </c>
      <c r="AC66">
        <v>1.1299999999999999</v>
      </c>
      <c r="AD66">
        <v>1</v>
      </c>
      <c r="AE66">
        <v>1</v>
      </c>
      <c r="AF66">
        <v>0</v>
      </c>
      <c r="AG66" s="24">
        <f t="shared" si="30"/>
        <v>1.8399999999999999</v>
      </c>
      <c r="AH66" s="244"/>
      <c r="AI66" s="76" t="s">
        <v>88</v>
      </c>
      <c r="AJ66" s="79"/>
      <c r="AK66" s="31" t="s">
        <v>86</v>
      </c>
      <c r="AL66" t="s">
        <v>6</v>
      </c>
      <c r="AM66">
        <v>0.71</v>
      </c>
      <c r="AN66">
        <v>1.1299999999999999</v>
      </c>
      <c r="AO66">
        <v>1</v>
      </c>
      <c r="AP66">
        <v>1</v>
      </c>
      <c r="AQ66">
        <v>0</v>
      </c>
      <c r="AR66" s="24">
        <f t="shared" si="31"/>
        <v>1.8399999999999999</v>
      </c>
      <c r="AS66" s="244"/>
      <c r="AT66" s="76" t="s">
        <v>88</v>
      </c>
      <c r="AU66" s="79"/>
      <c r="AV66" s="31" t="s">
        <v>86</v>
      </c>
      <c r="AW66" t="s">
        <v>6</v>
      </c>
      <c r="AX66">
        <v>0.71</v>
      </c>
      <c r="AY66">
        <v>1.1299999999999999</v>
      </c>
      <c r="AZ66">
        <v>1</v>
      </c>
      <c r="BA66">
        <v>1</v>
      </c>
      <c r="BB66">
        <v>0</v>
      </c>
      <c r="BC66" s="24">
        <f t="shared" si="32"/>
        <v>1.8399999999999999</v>
      </c>
      <c r="BD66" s="246"/>
      <c r="BE66" s="76" t="s">
        <v>88</v>
      </c>
      <c r="BF66" s="79"/>
      <c r="BG66" s="31" t="s">
        <v>86</v>
      </c>
      <c r="BH66" t="s">
        <v>6</v>
      </c>
      <c r="BI66">
        <v>0.71</v>
      </c>
      <c r="BJ66">
        <v>1.1299999999999999</v>
      </c>
      <c r="BK66">
        <v>1</v>
      </c>
      <c r="BL66">
        <v>1</v>
      </c>
      <c r="BM66">
        <v>0</v>
      </c>
      <c r="BN66" s="24">
        <f t="shared" si="33"/>
        <v>1.8399999999999999</v>
      </c>
    </row>
    <row r="67" spans="1:66" x14ac:dyDescent="0.3">
      <c r="A67" s="244"/>
      <c r="B67" s="67">
        <v>72610100700</v>
      </c>
      <c r="C67" s="67"/>
      <c r="D67" s="31" t="s">
        <v>12</v>
      </c>
      <c r="E67" t="s">
        <v>9</v>
      </c>
      <c r="F67">
        <v>2.5000000000000001E-2</v>
      </c>
      <c r="G67">
        <v>8.2000000000000003E-2</v>
      </c>
      <c r="H67">
        <v>1</v>
      </c>
      <c r="I67">
        <v>1</v>
      </c>
      <c r="J67">
        <v>0.54300000000000004</v>
      </c>
      <c r="K67" s="24">
        <f t="shared" si="29"/>
        <v>0.16510100000000003</v>
      </c>
      <c r="L67" s="244"/>
      <c r="M67" s="70">
        <v>72610100700</v>
      </c>
      <c r="N67" s="70"/>
      <c r="O67" s="31" t="s">
        <v>12</v>
      </c>
      <c r="P67" t="s">
        <v>9</v>
      </c>
      <c r="Q67">
        <v>2.5000000000000001E-2</v>
      </c>
      <c r="R67">
        <v>8.2000000000000003E-2</v>
      </c>
      <c r="S67">
        <v>1</v>
      </c>
      <c r="T67">
        <v>1</v>
      </c>
      <c r="U67">
        <v>0.54300000000000004</v>
      </c>
      <c r="V67" s="24">
        <f>(Q67*S67+R67*T67)*(1+U67)</f>
        <v>0.16510100000000003</v>
      </c>
      <c r="W67" s="244"/>
      <c r="X67" s="76">
        <v>72610100700</v>
      </c>
      <c r="Y67" s="76"/>
      <c r="Z67" s="31" t="s">
        <v>12</v>
      </c>
      <c r="AA67" t="s">
        <v>9</v>
      </c>
      <c r="AB67">
        <v>2.5000000000000001E-2</v>
      </c>
      <c r="AC67">
        <v>8.2000000000000003E-2</v>
      </c>
      <c r="AD67">
        <v>1</v>
      </c>
      <c r="AE67">
        <v>1</v>
      </c>
      <c r="AF67">
        <v>0.54300000000000004</v>
      </c>
      <c r="AG67" s="24">
        <f t="shared" si="30"/>
        <v>0.16510100000000003</v>
      </c>
      <c r="AH67" s="244"/>
      <c r="AI67" s="76">
        <v>72610100700</v>
      </c>
      <c r="AJ67" s="79"/>
      <c r="AK67" s="31" t="s">
        <v>12</v>
      </c>
      <c r="AL67" t="s">
        <v>9</v>
      </c>
      <c r="AM67">
        <v>2.5000000000000001E-2</v>
      </c>
      <c r="AN67">
        <v>8.2000000000000003E-2</v>
      </c>
      <c r="AO67">
        <v>1</v>
      </c>
      <c r="AP67">
        <v>1</v>
      </c>
      <c r="AQ67">
        <v>0.54300000000000004</v>
      </c>
      <c r="AR67" s="24">
        <f t="shared" si="31"/>
        <v>0.16510100000000003</v>
      </c>
      <c r="AS67" s="244"/>
      <c r="AT67" s="76">
        <v>72610100700</v>
      </c>
      <c r="AU67" s="79"/>
      <c r="AV67" s="31" t="s">
        <v>12</v>
      </c>
      <c r="AW67" t="s">
        <v>9</v>
      </c>
      <c r="AX67">
        <v>2.5000000000000001E-2</v>
      </c>
      <c r="AY67">
        <v>8.2000000000000003E-2</v>
      </c>
      <c r="AZ67">
        <v>1</v>
      </c>
      <c r="BA67">
        <v>1</v>
      </c>
      <c r="BB67">
        <v>0.54300000000000004</v>
      </c>
      <c r="BC67" s="24">
        <f t="shared" si="32"/>
        <v>0.16510100000000003</v>
      </c>
      <c r="BD67" s="246"/>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x14ac:dyDescent="0.3">
      <c r="A68" s="244"/>
      <c r="B68" s="21">
        <v>72116200444</v>
      </c>
      <c r="C68" s="3"/>
      <c r="D68" s="31" t="s">
        <v>136</v>
      </c>
      <c r="E68" t="s">
        <v>9</v>
      </c>
      <c r="F68">
        <v>0.48</v>
      </c>
      <c r="G68">
        <v>0.22</v>
      </c>
      <c r="H68">
        <v>1.33</v>
      </c>
      <c r="I68">
        <v>1</v>
      </c>
      <c r="J68">
        <v>0.3</v>
      </c>
      <c r="K68" s="24">
        <f t="shared" si="29"/>
        <v>1.11592</v>
      </c>
      <c r="L68" s="244"/>
      <c r="M68" s="70">
        <v>72116200486</v>
      </c>
      <c r="N68" s="70"/>
      <c r="O68" s="31" t="s">
        <v>8</v>
      </c>
      <c r="P68" t="s">
        <v>9</v>
      </c>
      <c r="Q68">
        <v>0.64</v>
      </c>
      <c r="R68">
        <v>0.19</v>
      </c>
      <c r="S68">
        <v>1</v>
      </c>
      <c r="T68">
        <v>1</v>
      </c>
      <c r="U68">
        <v>0.22900000000000001</v>
      </c>
      <c r="V68" s="24">
        <f t="shared" ref="V68:V75" si="34">(Q68*S68+R68*T68)*(1+U68)</f>
        <v>1.0200700000000003</v>
      </c>
      <c r="W68" s="244"/>
      <c r="X68" s="76">
        <v>72116200486</v>
      </c>
      <c r="Y68" s="76"/>
      <c r="Z68" s="31" t="s">
        <v>8</v>
      </c>
      <c r="AA68" t="s">
        <v>9</v>
      </c>
      <c r="AB68">
        <v>0.64</v>
      </c>
      <c r="AC68">
        <v>0.19</v>
      </c>
      <c r="AD68">
        <v>1</v>
      </c>
      <c r="AE68">
        <v>1</v>
      </c>
      <c r="AF68">
        <v>0.22900000000000001</v>
      </c>
      <c r="AG68" s="24">
        <f t="shared" si="30"/>
        <v>1.0200700000000003</v>
      </c>
      <c r="AH68" s="244"/>
      <c r="AI68" s="76">
        <v>72116200486</v>
      </c>
      <c r="AJ68" s="79"/>
      <c r="AK68" s="31" t="s">
        <v>8</v>
      </c>
      <c r="AL68" t="s">
        <v>9</v>
      </c>
      <c r="AM68">
        <v>0.64</v>
      </c>
      <c r="AN68">
        <v>0.19</v>
      </c>
      <c r="AO68">
        <v>1</v>
      </c>
      <c r="AP68">
        <v>1</v>
      </c>
      <c r="AQ68">
        <v>0.22900000000000001</v>
      </c>
      <c r="AR68" s="24">
        <f t="shared" si="31"/>
        <v>1.0200700000000003</v>
      </c>
      <c r="AS68" s="244"/>
      <c r="AT68" s="76">
        <v>72116200486</v>
      </c>
      <c r="AU68" s="79"/>
      <c r="AV68" s="31" t="s">
        <v>8</v>
      </c>
      <c r="AW68" t="s">
        <v>9</v>
      </c>
      <c r="AX68">
        <v>0.64</v>
      </c>
      <c r="AY68">
        <v>0.19</v>
      </c>
      <c r="AZ68">
        <v>1</v>
      </c>
      <c r="BA68">
        <v>1</v>
      </c>
      <c r="BB68">
        <v>0.22900000000000001</v>
      </c>
      <c r="BC68" s="24">
        <f t="shared" si="32"/>
        <v>1.0200700000000003</v>
      </c>
      <c r="BD68" s="246"/>
      <c r="BE68" s="76">
        <v>72116200486</v>
      </c>
      <c r="BF68" s="79"/>
      <c r="BG68" s="31" t="s">
        <v>8</v>
      </c>
      <c r="BH68" t="s">
        <v>9</v>
      </c>
      <c r="BI68">
        <v>0.64</v>
      </c>
      <c r="BJ68">
        <v>0.19</v>
      </c>
      <c r="BK68">
        <v>1</v>
      </c>
      <c r="BL68">
        <v>1</v>
      </c>
      <c r="BM68">
        <v>0.22900000000000001</v>
      </c>
      <c r="BN68" s="24">
        <f t="shared" si="33"/>
        <v>1.0200700000000003</v>
      </c>
    </row>
    <row r="69" spans="1:66" ht="28.8" x14ac:dyDescent="0.3">
      <c r="A69" s="244"/>
      <c r="B69" s="67">
        <v>61636100605</v>
      </c>
      <c r="C69" s="67"/>
      <c r="D69" s="31" t="s">
        <v>244</v>
      </c>
      <c r="E69" t="s">
        <v>7</v>
      </c>
      <c r="F69">
        <v>0.68</v>
      </c>
      <c r="G69">
        <v>0.43</v>
      </c>
      <c r="H69">
        <v>1</v>
      </c>
      <c r="I69">
        <v>1</v>
      </c>
      <c r="J69">
        <v>0.33</v>
      </c>
      <c r="K69" s="24">
        <f t="shared" si="29"/>
        <v>1.4763000000000002</v>
      </c>
      <c r="L69" s="244"/>
      <c r="M69" s="70">
        <v>61636100605</v>
      </c>
      <c r="N69" s="70"/>
      <c r="O69" s="31" t="s">
        <v>244</v>
      </c>
      <c r="P69" t="s">
        <v>7</v>
      </c>
      <c r="Q69">
        <v>0.68</v>
      </c>
      <c r="R69">
        <v>0.43</v>
      </c>
      <c r="S69">
        <v>1</v>
      </c>
      <c r="T69">
        <v>1</v>
      </c>
      <c r="U69">
        <v>0.33</v>
      </c>
      <c r="V69" s="24">
        <f t="shared" si="34"/>
        <v>1.4763000000000002</v>
      </c>
      <c r="W69" s="244"/>
      <c r="X69" s="79">
        <v>61636100605</v>
      </c>
      <c r="Y69" s="79"/>
      <c r="Z69" s="31" t="s">
        <v>244</v>
      </c>
      <c r="AA69" t="s">
        <v>7</v>
      </c>
      <c r="AB69">
        <v>0.68</v>
      </c>
      <c r="AC69">
        <v>0.43</v>
      </c>
      <c r="AD69">
        <v>1</v>
      </c>
      <c r="AE69">
        <v>1</v>
      </c>
      <c r="AF69">
        <v>0.33</v>
      </c>
      <c r="AG69" s="24">
        <f t="shared" si="30"/>
        <v>1.4763000000000002</v>
      </c>
      <c r="AH69" s="244"/>
      <c r="AI69" s="79">
        <v>61636100605</v>
      </c>
      <c r="AJ69" s="79"/>
      <c r="AK69" s="31" t="s">
        <v>244</v>
      </c>
      <c r="AL69" t="s">
        <v>7</v>
      </c>
      <c r="AM69">
        <v>0.68</v>
      </c>
      <c r="AN69">
        <v>0.43</v>
      </c>
      <c r="AO69">
        <v>1</v>
      </c>
      <c r="AP69">
        <v>1</v>
      </c>
      <c r="AQ69">
        <v>0.33</v>
      </c>
      <c r="AR69" s="24">
        <f t="shared" si="31"/>
        <v>1.4763000000000002</v>
      </c>
      <c r="AS69" s="244"/>
      <c r="AT69" s="20">
        <v>61636100605</v>
      </c>
      <c r="AU69" s="79"/>
      <c r="AV69" s="31" t="s">
        <v>244</v>
      </c>
      <c r="AW69" t="s">
        <v>7</v>
      </c>
      <c r="AX69">
        <v>0.68</v>
      </c>
      <c r="AY69">
        <v>0.43</v>
      </c>
      <c r="AZ69">
        <v>1</v>
      </c>
      <c r="BA69">
        <v>1</v>
      </c>
      <c r="BB69">
        <v>0.33</v>
      </c>
      <c r="BC69" s="24">
        <v>1.4763000000000002</v>
      </c>
      <c r="BD69" s="246"/>
      <c r="BE69" s="79">
        <v>61636100605</v>
      </c>
      <c r="BF69" s="79"/>
      <c r="BG69" s="31" t="s">
        <v>244</v>
      </c>
      <c r="BH69" t="s">
        <v>7</v>
      </c>
      <c r="BI69">
        <v>0.68</v>
      </c>
      <c r="BJ69">
        <v>0.43</v>
      </c>
      <c r="BK69">
        <v>1</v>
      </c>
      <c r="BL69">
        <v>1</v>
      </c>
      <c r="BM69">
        <v>0.33</v>
      </c>
      <c r="BN69" s="24">
        <f t="shared" si="33"/>
        <v>1.4763000000000002</v>
      </c>
    </row>
    <row r="70" spans="1:66" ht="28.8" x14ac:dyDescent="0.3">
      <c r="A70" s="244"/>
      <c r="B70" s="79"/>
      <c r="C70" s="79"/>
      <c r="K70" s="24"/>
      <c r="L70" s="244"/>
      <c r="M70" s="79">
        <v>72113101610</v>
      </c>
      <c r="O70" s="31" t="s">
        <v>262</v>
      </c>
      <c r="P70" t="s">
        <v>9</v>
      </c>
      <c r="Q70">
        <v>0.31</v>
      </c>
      <c r="R70">
        <v>0.38</v>
      </c>
      <c r="S70">
        <v>1</v>
      </c>
      <c r="T70">
        <v>1</v>
      </c>
      <c r="U70">
        <v>0.40500000000000003</v>
      </c>
      <c r="V70" s="24">
        <f t="shared" si="34"/>
        <v>0.96944999999999992</v>
      </c>
      <c r="W70" s="244"/>
      <c r="X70" s="20" t="s">
        <v>109</v>
      </c>
      <c r="Y70" s="79"/>
      <c r="Z70" s="31" t="s">
        <v>225</v>
      </c>
      <c r="AA70" t="s">
        <v>9</v>
      </c>
      <c r="AB70">
        <v>0.51</v>
      </c>
      <c r="AC70">
        <v>0.38</v>
      </c>
      <c r="AD70">
        <v>1</v>
      </c>
      <c r="AE70">
        <v>1</v>
      </c>
      <c r="AF70">
        <v>0.33700000000000002</v>
      </c>
      <c r="AG70" s="24">
        <f>(AB70*AD70+AC70*AE70)*(1+AF70)</f>
        <v>1.1899299999999999</v>
      </c>
      <c r="AH70" s="244"/>
      <c r="AI70" s="20" t="s">
        <v>110</v>
      </c>
      <c r="AJ70" s="79"/>
      <c r="AK70" s="31" t="s">
        <v>250</v>
      </c>
      <c r="AL70" t="s">
        <v>9</v>
      </c>
      <c r="AM70">
        <v>0.59</v>
      </c>
      <c r="AN70">
        <v>0.41</v>
      </c>
      <c r="AO70">
        <v>1</v>
      </c>
      <c r="AP70">
        <v>1</v>
      </c>
      <c r="AQ70">
        <v>0.34</v>
      </c>
      <c r="AR70" s="24">
        <f>(AM70*AO70+AN70*AP70)*(1+AQ70)</f>
        <v>1.34</v>
      </c>
      <c r="AS70" s="244"/>
      <c r="AT70" s="20" t="s">
        <v>110</v>
      </c>
      <c r="AU70" s="79"/>
      <c r="AV70" s="31" t="s">
        <v>250</v>
      </c>
      <c r="AW70" t="s">
        <v>9</v>
      </c>
      <c r="AX70">
        <v>0.59</v>
      </c>
      <c r="AY70">
        <v>0.41</v>
      </c>
      <c r="AZ70">
        <v>1</v>
      </c>
      <c r="BA70">
        <v>1</v>
      </c>
      <c r="BB70">
        <v>0.34</v>
      </c>
      <c r="BC70" s="24">
        <v>1.34</v>
      </c>
      <c r="BD70" s="246"/>
      <c r="BE70" s="20" t="s">
        <v>111</v>
      </c>
      <c r="BF70" s="79"/>
      <c r="BG70" s="31" t="s">
        <v>218</v>
      </c>
      <c r="BH70" s="19" t="s">
        <v>7</v>
      </c>
      <c r="BI70" s="19">
        <v>0.75</v>
      </c>
      <c r="BJ70" s="19">
        <v>0.41</v>
      </c>
      <c r="BK70">
        <v>1</v>
      </c>
      <c r="BL70">
        <v>1</v>
      </c>
      <c r="BM70">
        <v>0.31</v>
      </c>
      <c r="BN70" s="24">
        <f>(BI70*BK70+BJ70*BL70)*(1+BM70)</f>
        <v>1.5196000000000001</v>
      </c>
    </row>
    <row r="71" spans="1:66" ht="30" customHeight="1" x14ac:dyDescent="0.3">
      <c r="A71" s="244"/>
      <c r="B71" s="67">
        <v>72510103000</v>
      </c>
      <c r="C71" s="67"/>
      <c r="D71" s="31" t="s">
        <v>14</v>
      </c>
      <c r="E71" t="s">
        <v>9</v>
      </c>
      <c r="F71">
        <v>0.16</v>
      </c>
      <c r="G71">
        <v>0.08</v>
      </c>
      <c r="H71">
        <v>1</v>
      </c>
      <c r="I71">
        <v>1</v>
      </c>
      <c r="J71">
        <v>0.28999999999999998</v>
      </c>
      <c r="K71" s="24">
        <f t="shared" si="29"/>
        <v>0.30959999999999999</v>
      </c>
      <c r="L71" s="244"/>
      <c r="M71" s="70">
        <v>72510103000</v>
      </c>
      <c r="N71" s="70"/>
      <c r="O71" s="31" t="s">
        <v>14</v>
      </c>
      <c r="P71" t="s">
        <v>9</v>
      </c>
      <c r="Q71">
        <v>0.16</v>
      </c>
      <c r="R71">
        <v>0.08</v>
      </c>
      <c r="S71">
        <v>1</v>
      </c>
      <c r="T71">
        <v>1</v>
      </c>
      <c r="U71">
        <v>0.28999999999999998</v>
      </c>
      <c r="V71" s="24">
        <f t="shared" si="34"/>
        <v>0.30959999999999999</v>
      </c>
      <c r="W71" s="244"/>
      <c r="X71" s="76">
        <v>72510103000</v>
      </c>
      <c r="Y71" s="76"/>
      <c r="Z71" s="31" t="s">
        <v>14</v>
      </c>
      <c r="AA71" t="s">
        <v>9</v>
      </c>
      <c r="AB71">
        <v>0.16</v>
      </c>
      <c r="AC71">
        <v>0.08</v>
      </c>
      <c r="AD71">
        <v>1</v>
      </c>
      <c r="AE71">
        <v>1</v>
      </c>
      <c r="AF71">
        <v>0.28999999999999998</v>
      </c>
      <c r="AG71" s="24">
        <f t="shared" si="30"/>
        <v>0.30959999999999999</v>
      </c>
      <c r="AH71" s="244"/>
      <c r="AI71" s="76">
        <v>72510103000</v>
      </c>
      <c r="AJ71" s="79"/>
      <c r="AK71" s="31" t="s">
        <v>14</v>
      </c>
      <c r="AL71" t="s">
        <v>9</v>
      </c>
      <c r="AM71">
        <v>0.16</v>
      </c>
      <c r="AN71">
        <v>0.08</v>
      </c>
      <c r="AO71">
        <v>1</v>
      </c>
      <c r="AP71">
        <v>1</v>
      </c>
      <c r="AQ71">
        <v>0.28999999999999998</v>
      </c>
      <c r="AR71" s="24">
        <f t="shared" si="31"/>
        <v>0.30959999999999999</v>
      </c>
      <c r="AS71" s="244"/>
      <c r="AT71" s="76">
        <v>72510103000</v>
      </c>
      <c r="AU71" s="79"/>
      <c r="AV71" s="31" t="s">
        <v>14</v>
      </c>
      <c r="AW71" t="s">
        <v>9</v>
      </c>
      <c r="AX71">
        <v>0.16</v>
      </c>
      <c r="AY71">
        <v>0.08</v>
      </c>
      <c r="AZ71">
        <v>1</v>
      </c>
      <c r="BA71">
        <v>1</v>
      </c>
      <c r="BB71">
        <v>0.28999999999999998</v>
      </c>
      <c r="BC71" s="24">
        <f t="shared" si="32"/>
        <v>0.30959999999999999</v>
      </c>
      <c r="BD71" s="246"/>
      <c r="BE71" s="76">
        <v>72510103000</v>
      </c>
      <c r="BF71" s="79"/>
      <c r="BG71" s="31" t="s">
        <v>14</v>
      </c>
      <c r="BH71" t="s">
        <v>9</v>
      </c>
      <c r="BI71">
        <v>0.16</v>
      </c>
      <c r="BJ71">
        <v>0.08</v>
      </c>
      <c r="BK71">
        <v>1</v>
      </c>
      <c r="BL71">
        <v>1</v>
      </c>
      <c r="BM71">
        <v>0.28999999999999998</v>
      </c>
      <c r="BN71" s="24">
        <f t="shared" si="33"/>
        <v>0.30959999999999999</v>
      </c>
    </row>
    <row r="72" spans="1:66" ht="45" customHeight="1" x14ac:dyDescent="0.3">
      <c r="A72" s="244"/>
      <c r="B72" s="67" t="s">
        <v>88</v>
      </c>
      <c r="C72" s="67"/>
      <c r="D72" s="31" t="s">
        <v>26</v>
      </c>
      <c r="E72" t="s">
        <v>9</v>
      </c>
      <c r="F72">
        <v>4.24</v>
      </c>
      <c r="G72">
        <v>10.15</v>
      </c>
      <c r="H72">
        <v>1</v>
      </c>
      <c r="I72">
        <v>1</v>
      </c>
      <c r="J72">
        <v>0</v>
      </c>
      <c r="K72" s="24">
        <f t="shared" si="29"/>
        <v>14.39</v>
      </c>
      <c r="L72" s="244"/>
      <c r="M72" s="70" t="s">
        <v>88</v>
      </c>
      <c r="N72" s="70"/>
      <c r="O72" s="31" t="s">
        <v>26</v>
      </c>
      <c r="P72" t="s">
        <v>9</v>
      </c>
      <c r="Q72">
        <v>4.24</v>
      </c>
      <c r="R72">
        <v>10.15</v>
      </c>
      <c r="S72">
        <v>1</v>
      </c>
      <c r="T72">
        <v>1</v>
      </c>
      <c r="U72">
        <v>0</v>
      </c>
      <c r="V72" s="24">
        <f t="shared" si="34"/>
        <v>14.39</v>
      </c>
      <c r="W72" s="244"/>
      <c r="X72" s="76" t="s">
        <v>88</v>
      </c>
      <c r="Y72" s="76"/>
      <c r="Z72" s="31" t="s">
        <v>26</v>
      </c>
      <c r="AA72" t="s">
        <v>9</v>
      </c>
      <c r="AB72">
        <v>4.24</v>
      </c>
      <c r="AC72">
        <v>10.15</v>
      </c>
      <c r="AD72">
        <v>1</v>
      </c>
      <c r="AE72">
        <v>1</v>
      </c>
      <c r="AF72">
        <v>0</v>
      </c>
      <c r="AG72" s="24">
        <f t="shared" si="30"/>
        <v>14.39</v>
      </c>
      <c r="AH72" s="244"/>
      <c r="AI72" s="76" t="s">
        <v>88</v>
      </c>
      <c r="AJ72" s="79"/>
      <c r="AK72" s="31" t="s">
        <v>26</v>
      </c>
      <c r="AL72" t="s">
        <v>9</v>
      </c>
      <c r="AM72">
        <v>4.24</v>
      </c>
      <c r="AN72">
        <v>10.15</v>
      </c>
      <c r="AO72">
        <v>1</v>
      </c>
      <c r="AP72">
        <v>1</v>
      </c>
      <c r="AQ72">
        <v>0</v>
      </c>
      <c r="AR72" s="24">
        <f t="shared" si="31"/>
        <v>14.39</v>
      </c>
      <c r="AS72" s="244"/>
      <c r="AT72" s="76" t="s">
        <v>88</v>
      </c>
      <c r="AU72" s="79"/>
      <c r="AV72" s="31" t="s">
        <v>26</v>
      </c>
      <c r="AW72" t="s">
        <v>9</v>
      </c>
      <c r="AX72">
        <v>4.24</v>
      </c>
      <c r="AY72">
        <v>10.15</v>
      </c>
      <c r="AZ72">
        <v>1</v>
      </c>
      <c r="BA72">
        <v>1</v>
      </c>
      <c r="BB72">
        <v>0</v>
      </c>
      <c r="BC72" s="24">
        <f t="shared" si="32"/>
        <v>14.39</v>
      </c>
      <c r="BD72" s="246"/>
      <c r="BE72" s="76" t="s">
        <v>88</v>
      </c>
      <c r="BF72" s="79"/>
      <c r="BG72" s="31" t="s">
        <v>26</v>
      </c>
      <c r="BH72" t="s">
        <v>9</v>
      </c>
      <c r="BI72">
        <v>4.24</v>
      </c>
      <c r="BJ72">
        <v>10.15</v>
      </c>
      <c r="BK72">
        <v>1</v>
      </c>
      <c r="BL72">
        <v>1</v>
      </c>
      <c r="BM72">
        <v>0</v>
      </c>
      <c r="BN72" s="24">
        <f t="shared" si="33"/>
        <v>14.39</v>
      </c>
    </row>
    <row r="73" spans="1:66" ht="30" customHeight="1" x14ac:dyDescent="0.3">
      <c r="A73" s="244"/>
      <c r="B73" s="67" t="s">
        <v>88</v>
      </c>
      <c r="C73" s="67"/>
      <c r="D73" s="31" t="s">
        <v>249</v>
      </c>
      <c r="E73" t="s">
        <v>30</v>
      </c>
      <c r="F73">
        <v>1.1200000000000001</v>
      </c>
      <c r="G73">
        <v>0.88</v>
      </c>
      <c r="H73">
        <v>1</v>
      </c>
      <c r="I73">
        <v>1</v>
      </c>
      <c r="J73">
        <v>0</v>
      </c>
      <c r="K73" s="24">
        <f t="shared" si="29"/>
        <v>2</v>
      </c>
      <c r="L73" s="244"/>
      <c r="M73" s="70" t="s">
        <v>88</v>
      </c>
      <c r="N73" s="70"/>
      <c r="O73" s="31" t="s">
        <v>249</v>
      </c>
      <c r="P73" t="s">
        <v>30</v>
      </c>
      <c r="Q73">
        <v>1.1200000000000001</v>
      </c>
      <c r="R73">
        <v>0.88</v>
      </c>
      <c r="S73">
        <v>1</v>
      </c>
      <c r="T73">
        <v>1</v>
      </c>
      <c r="U73">
        <v>0</v>
      </c>
      <c r="V73" s="24">
        <f t="shared" si="34"/>
        <v>2</v>
      </c>
      <c r="W73" s="244"/>
      <c r="X73" s="76" t="s">
        <v>88</v>
      </c>
      <c r="Y73" s="76"/>
      <c r="Z73" s="31" t="s">
        <v>249</v>
      </c>
      <c r="AA73" t="s">
        <v>30</v>
      </c>
      <c r="AB73">
        <v>1.1200000000000001</v>
      </c>
      <c r="AC73">
        <v>0.88</v>
      </c>
      <c r="AD73">
        <v>1</v>
      </c>
      <c r="AE73">
        <v>1</v>
      </c>
      <c r="AF73">
        <v>0</v>
      </c>
      <c r="AG73" s="24">
        <f t="shared" si="30"/>
        <v>2</v>
      </c>
      <c r="AH73" s="244"/>
      <c r="AI73" s="76" t="s">
        <v>88</v>
      </c>
      <c r="AJ73" s="79"/>
      <c r="AK73" s="31" t="s">
        <v>249</v>
      </c>
      <c r="AL73" t="s">
        <v>30</v>
      </c>
      <c r="AM73">
        <v>1.1200000000000001</v>
      </c>
      <c r="AN73">
        <v>0.88</v>
      </c>
      <c r="AO73">
        <v>1</v>
      </c>
      <c r="AP73">
        <v>1</v>
      </c>
      <c r="AQ73">
        <v>0</v>
      </c>
      <c r="AR73" s="24">
        <f t="shared" si="31"/>
        <v>2</v>
      </c>
      <c r="AS73" s="244"/>
      <c r="AT73" s="76" t="s">
        <v>88</v>
      </c>
      <c r="AU73" s="79"/>
      <c r="AV73" s="31" t="s">
        <v>249</v>
      </c>
      <c r="AW73" t="s">
        <v>30</v>
      </c>
      <c r="AX73">
        <v>1.1200000000000001</v>
      </c>
      <c r="AY73">
        <v>0.88</v>
      </c>
      <c r="AZ73">
        <v>1</v>
      </c>
      <c r="BA73">
        <v>1</v>
      </c>
      <c r="BB73">
        <v>0</v>
      </c>
      <c r="BC73" s="24">
        <f t="shared" si="32"/>
        <v>2</v>
      </c>
      <c r="BD73" s="246"/>
      <c r="BE73" s="76" t="s">
        <v>88</v>
      </c>
      <c r="BF73" s="79"/>
      <c r="BG73" s="31" t="s">
        <v>249</v>
      </c>
      <c r="BH73" t="s">
        <v>30</v>
      </c>
      <c r="BI73">
        <v>1.1200000000000001</v>
      </c>
      <c r="BJ73">
        <v>0.88</v>
      </c>
      <c r="BK73">
        <v>1</v>
      </c>
      <c r="BL73">
        <v>1</v>
      </c>
      <c r="BM73">
        <v>0</v>
      </c>
      <c r="BN73" s="24">
        <f t="shared" si="33"/>
        <v>2</v>
      </c>
    </row>
    <row r="74" spans="1:66" ht="30" customHeight="1" x14ac:dyDescent="0.3">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x14ac:dyDescent="0.3">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x14ac:dyDescent="0.3">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3">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3">
      <c r="A78" s="243" t="s">
        <v>28</v>
      </c>
      <c r="B78" s="8">
        <v>92910300300</v>
      </c>
      <c r="C78" s="2">
        <v>7</v>
      </c>
      <c r="D78" s="31" t="s">
        <v>11</v>
      </c>
      <c r="E78" t="s">
        <v>9</v>
      </c>
      <c r="F78">
        <v>0.33</v>
      </c>
      <c r="G78">
        <v>0.3</v>
      </c>
      <c r="H78">
        <v>1</v>
      </c>
      <c r="I78">
        <v>1</v>
      </c>
      <c r="J78">
        <v>0.38100000000000001</v>
      </c>
      <c r="K78" s="24">
        <f t="shared" ref="K78:K88" si="35">(F78*H78+G78*I78)*(1+J78)</f>
        <v>0.87002999999999997</v>
      </c>
      <c r="L78" s="243" t="s">
        <v>28</v>
      </c>
      <c r="M78" s="69">
        <v>92910300300</v>
      </c>
      <c r="N78" s="69">
        <v>7</v>
      </c>
      <c r="O78" s="31" t="s">
        <v>11</v>
      </c>
      <c r="P78" t="s">
        <v>9</v>
      </c>
      <c r="Q78">
        <v>0.33</v>
      </c>
      <c r="R78">
        <v>0.3</v>
      </c>
      <c r="S78">
        <v>1</v>
      </c>
      <c r="T78">
        <v>1</v>
      </c>
      <c r="U78">
        <v>0.38100000000000001</v>
      </c>
      <c r="V78" s="24">
        <f>(Q78*S78+R78*T78)*(1+U78)</f>
        <v>0.87002999999999997</v>
      </c>
      <c r="W78" s="243" t="s">
        <v>28</v>
      </c>
      <c r="X78" s="75">
        <v>92910300300</v>
      </c>
      <c r="Y78" s="75">
        <v>7</v>
      </c>
      <c r="Z78" s="31" t="s">
        <v>11</v>
      </c>
      <c r="AA78" t="s">
        <v>9</v>
      </c>
      <c r="AB78">
        <v>0.33</v>
      </c>
      <c r="AC78">
        <v>0.3</v>
      </c>
      <c r="AD78">
        <v>1</v>
      </c>
      <c r="AE78">
        <v>1</v>
      </c>
      <c r="AF78">
        <v>0.38100000000000001</v>
      </c>
      <c r="AG78" s="24">
        <f t="shared" ref="AG78:AG88" si="36">(AB78*AD78+AC78*AE78)*(1+AF78)</f>
        <v>0.87002999999999997</v>
      </c>
      <c r="AH78" s="243"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3"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5"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x14ac:dyDescent="0.3">
      <c r="A79" s="244"/>
      <c r="B79" s="9" t="s">
        <v>87</v>
      </c>
      <c r="C79" s="3"/>
      <c r="D79" s="31" t="s">
        <v>86</v>
      </c>
      <c r="E79" t="s">
        <v>6</v>
      </c>
      <c r="F79">
        <v>0.71</v>
      </c>
      <c r="G79">
        <v>1.1299999999999999</v>
      </c>
      <c r="H79">
        <v>1</v>
      </c>
      <c r="I79">
        <v>1</v>
      </c>
      <c r="J79">
        <v>0</v>
      </c>
      <c r="K79" s="24">
        <f t="shared" si="35"/>
        <v>1.8399999999999999</v>
      </c>
      <c r="L79" s="244"/>
      <c r="M79" s="70" t="s">
        <v>87</v>
      </c>
      <c r="N79" s="70"/>
      <c r="O79" s="31" t="s">
        <v>86</v>
      </c>
      <c r="P79" t="s">
        <v>6</v>
      </c>
      <c r="Q79">
        <v>0.71</v>
      </c>
      <c r="R79">
        <v>1.1299999999999999</v>
      </c>
      <c r="S79">
        <v>1</v>
      </c>
      <c r="T79">
        <v>1</v>
      </c>
      <c r="U79">
        <v>0</v>
      </c>
      <c r="V79" s="24">
        <f>(Q79*S79+R79*T79)*(1+U79)</f>
        <v>1.8399999999999999</v>
      </c>
      <c r="W79" s="244"/>
      <c r="X79" s="76" t="s">
        <v>87</v>
      </c>
      <c r="Y79" s="76"/>
      <c r="Z79" s="31" t="s">
        <v>86</v>
      </c>
      <c r="AA79" t="s">
        <v>6</v>
      </c>
      <c r="AB79">
        <v>0.71</v>
      </c>
      <c r="AC79">
        <v>1.1299999999999999</v>
      </c>
      <c r="AD79">
        <v>1</v>
      </c>
      <c r="AE79">
        <v>1</v>
      </c>
      <c r="AF79">
        <v>0</v>
      </c>
      <c r="AG79" s="24">
        <f t="shared" si="36"/>
        <v>1.8399999999999999</v>
      </c>
      <c r="AH79" s="244"/>
      <c r="AI79" s="76" t="s">
        <v>87</v>
      </c>
      <c r="AJ79" s="79"/>
      <c r="AK79" s="31" t="s">
        <v>86</v>
      </c>
      <c r="AL79" t="s">
        <v>6</v>
      </c>
      <c r="AM79">
        <v>0.71</v>
      </c>
      <c r="AN79">
        <v>1.1299999999999999</v>
      </c>
      <c r="AO79">
        <v>1</v>
      </c>
      <c r="AP79">
        <v>1</v>
      </c>
      <c r="AQ79">
        <v>0</v>
      </c>
      <c r="AR79" s="24">
        <f t="shared" si="37"/>
        <v>1.8399999999999999</v>
      </c>
      <c r="AS79" s="244"/>
      <c r="AT79" s="76" t="s">
        <v>87</v>
      </c>
      <c r="AU79" s="79"/>
      <c r="AV79" s="31" t="s">
        <v>86</v>
      </c>
      <c r="AW79" t="s">
        <v>6</v>
      </c>
      <c r="AX79">
        <v>0.71</v>
      </c>
      <c r="AY79">
        <v>1.1299999999999999</v>
      </c>
      <c r="AZ79">
        <v>1</v>
      </c>
      <c r="BA79">
        <v>1</v>
      </c>
      <c r="BB79">
        <v>0</v>
      </c>
      <c r="BC79" s="24">
        <f t="shared" si="38"/>
        <v>1.8399999999999999</v>
      </c>
      <c r="BD79" s="246"/>
      <c r="BE79" s="76" t="s">
        <v>87</v>
      </c>
      <c r="BF79" s="79"/>
      <c r="BG79" s="31" t="s">
        <v>86</v>
      </c>
      <c r="BH79" t="s">
        <v>6</v>
      </c>
      <c r="BI79">
        <v>0.71</v>
      </c>
      <c r="BJ79">
        <v>1.1299999999999999</v>
      </c>
      <c r="BK79">
        <v>1</v>
      </c>
      <c r="BL79">
        <v>1</v>
      </c>
      <c r="BM79">
        <v>0</v>
      </c>
      <c r="BN79" s="24">
        <f t="shared" si="39"/>
        <v>1.8399999999999999</v>
      </c>
    </row>
    <row r="80" spans="1:66" x14ac:dyDescent="0.3">
      <c r="A80" s="244"/>
      <c r="B80" s="67">
        <v>72610100700</v>
      </c>
      <c r="C80" s="67"/>
      <c r="D80" s="31" t="s">
        <v>12</v>
      </c>
      <c r="E80" t="s">
        <v>9</v>
      </c>
      <c r="F80">
        <v>2.5000000000000001E-2</v>
      </c>
      <c r="G80">
        <v>8.2000000000000003E-2</v>
      </c>
      <c r="H80">
        <v>1</v>
      </c>
      <c r="I80">
        <v>1</v>
      </c>
      <c r="J80">
        <v>0.54300000000000004</v>
      </c>
      <c r="K80" s="24">
        <f t="shared" si="35"/>
        <v>0.16510100000000003</v>
      </c>
      <c r="L80" s="244"/>
      <c r="M80" s="70">
        <v>72610100700</v>
      </c>
      <c r="N80" s="70"/>
      <c r="O80" s="31" t="s">
        <v>12</v>
      </c>
      <c r="P80" t="s">
        <v>9</v>
      </c>
      <c r="Q80">
        <v>2.5000000000000001E-2</v>
      </c>
      <c r="R80">
        <v>8.2000000000000003E-2</v>
      </c>
      <c r="S80">
        <v>1</v>
      </c>
      <c r="T80">
        <v>1</v>
      </c>
      <c r="U80">
        <v>0.54300000000000004</v>
      </c>
      <c r="V80" s="24">
        <f>(Q80*S80+R80*T80)*(1+U80)</f>
        <v>0.16510100000000003</v>
      </c>
      <c r="W80" s="244"/>
      <c r="X80" s="76">
        <v>72610100700</v>
      </c>
      <c r="Y80" s="76"/>
      <c r="Z80" s="31" t="s">
        <v>12</v>
      </c>
      <c r="AA80" t="s">
        <v>9</v>
      </c>
      <c r="AB80">
        <v>2.5000000000000001E-2</v>
      </c>
      <c r="AC80">
        <v>8.2000000000000003E-2</v>
      </c>
      <c r="AD80">
        <v>1</v>
      </c>
      <c r="AE80">
        <v>1</v>
      </c>
      <c r="AF80">
        <v>0.54300000000000004</v>
      </c>
      <c r="AG80" s="24">
        <f t="shared" si="36"/>
        <v>0.16510100000000003</v>
      </c>
      <c r="AH80" s="244"/>
      <c r="AI80" s="76">
        <v>72610100700</v>
      </c>
      <c r="AJ80" s="79"/>
      <c r="AK80" s="31" t="s">
        <v>12</v>
      </c>
      <c r="AL80" t="s">
        <v>9</v>
      </c>
      <c r="AM80">
        <v>2.5000000000000001E-2</v>
      </c>
      <c r="AN80">
        <v>8.2000000000000003E-2</v>
      </c>
      <c r="AO80">
        <v>1</v>
      </c>
      <c r="AP80">
        <v>1</v>
      </c>
      <c r="AQ80">
        <v>0.54300000000000004</v>
      </c>
      <c r="AR80" s="24">
        <f t="shared" si="37"/>
        <v>0.16510100000000003</v>
      </c>
      <c r="AS80" s="244"/>
      <c r="AT80" s="76">
        <v>72610100700</v>
      </c>
      <c r="AU80" s="79"/>
      <c r="AV80" s="31" t="s">
        <v>12</v>
      </c>
      <c r="AW80" t="s">
        <v>9</v>
      </c>
      <c r="AX80">
        <v>2.5000000000000001E-2</v>
      </c>
      <c r="AY80">
        <v>8.2000000000000003E-2</v>
      </c>
      <c r="AZ80">
        <v>1</v>
      </c>
      <c r="BA80">
        <v>1</v>
      </c>
      <c r="BB80">
        <v>0.54300000000000004</v>
      </c>
      <c r="BC80" s="24">
        <f t="shared" si="38"/>
        <v>0.16510100000000003</v>
      </c>
      <c r="BD80" s="246"/>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x14ac:dyDescent="0.3">
      <c r="A81" s="244"/>
      <c r="B81" s="21">
        <v>72116200444</v>
      </c>
      <c r="C81" s="3"/>
      <c r="D81" s="31" t="s">
        <v>136</v>
      </c>
      <c r="E81" t="s">
        <v>9</v>
      </c>
      <c r="F81">
        <v>0.48</v>
      </c>
      <c r="G81">
        <v>0.22</v>
      </c>
      <c r="H81">
        <v>1.33</v>
      </c>
      <c r="I81">
        <v>1</v>
      </c>
      <c r="J81">
        <v>0.3</v>
      </c>
      <c r="K81" s="24">
        <f t="shared" si="35"/>
        <v>1.11592</v>
      </c>
      <c r="L81" s="244"/>
      <c r="M81" s="70">
        <v>72116200486</v>
      </c>
      <c r="N81" s="70"/>
      <c r="O81" s="31" t="s">
        <v>8</v>
      </c>
      <c r="P81" t="s">
        <v>9</v>
      </c>
      <c r="Q81">
        <v>0.64</v>
      </c>
      <c r="R81">
        <v>0.19</v>
      </c>
      <c r="S81">
        <v>1</v>
      </c>
      <c r="T81">
        <v>1</v>
      </c>
      <c r="U81">
        <v>0.22900000000000001</v>
      </c>
      <c r="V81" s="24">
        <f t="shared" ref="V81:V88" si="40">(Q81*S81+R81*T81)*(1+U81)</f>
        <v>1.0200700000000003</v>
      </c>
      <c r="W81" s="244"/>
      <c r="X81" s="76">
        <v>72116200486</v>
      </c>
      <c r="Y81" s="76"/>
      <c r="Z81" s="31" t="s">
        <v>8</v>
      </c>
      <c r="AA81" t="s">
        <v>9</v>
      </c>
      <c r="AB81">
        <v>0.64</v>
      </c>
      <c r="AC81">
        <v>0.19</v>
      </c>
      <c r="AD81">
        <v>1</v>
      </c>
      <c r="AE81">
        <v>1</v>
      </c>
      <c r="AF81">
        <v>0.22900000000000001</v>
      </c>
      <c r="AG81" s="24">
        <f t="shared" si="36"/>
        <v>1.0200700000000003</v>
      </c>
      <c r="AH81" s="244"/>
      <c r="AI81" s="76">
        <v>72116200486</v>
      </c>
      <c r="AJ81" s="79"/>
      <c r="AK81" s="31" t="s">
        <v>8</v>
      </c>
      <c r="AL81" t="s">
        <v>9</v>
      </c>
      <c r="AM81">
        <v>0.64</v>
      </c>
      <c r="AN81">
        <v>0.19</v>
      </c>
      <c r="AO81">
        <v>1</v>
      </c>
      <c r="AP81">
        <v>1</v>
      </c>
      <c r="AQ81">
        <v>0.22900000000000001</v>
      </c>
      <c r="AR81" s="24">
        <f t="shared" si="37"/>
        <v>1.0200700000000003</v>
      </c>
      <c r="AS81" s="244"/>
      <c r="AT81" s="76">
        <v>72116200486</v>
      </c>
      <c r="AU81" s="79"/>
      <c r="AV81" s="31" t="s">
        <v>8</v>
      </c>
      <c r="AW81" t="s">
        <v>9</v>
      </c>
      <c r="AX81">
        <v>0.64</v>
      </c>
      <c r="AY81">
        <v>0.19</v>
      </c>
      <c r="AZ81">
        <v>1</v>
      </c>
      <c r="BA81">
        <v>1</v>
      </c>
      <c r="BB81">
        <v>0.22900000000000001</v>
      </c>
      <c r="BC81" s="24">
        <f t="shared" si="38"/>
        <v>1.0200700000000003</v>
      </c>
      <c r="BD81" s="246"/>
      <c r="BE81" s="76">
        <v>72116200486</v>
      </c>
      <c r="BF81" s="79"/>
      <c r="BG81" s="31" t="s">
        <v>8</v>
      </c>
      <c r="BH81" t="s">
        <v>9</v>
      </c>
      <c r="BI81">
        <v>0.64</v>
      </c>
      <c r="BJ81">
        <v>0.19</v>
      </c>
      <c r="BK81">
        <v>1</v>
      </c>
      <c r="BL81">
        <v>1</v>
      </c>
      <c r="BM81">
        <v>0.22900000000000001</v>
      </c>
      <c r="BN81" s="24">
        <f t="shared" si="39"/>
        <v>1.0200700000000003</v>
      </c>
    </row>
    <row r="82" spans="1:66" ht="30" customHeight="1" x14ac:dyDescent="0.3">
      <c r="A82" s="244"/>
      <c r="B82" s="67">
        <v>72510103000</v>
      </c>
      <c r="C82" s="67"/>
      <c r="D82" s="31" t="s">
        <v>14</v>
      </c>
      <c r="E82" t="s">
        <v>9</v>
      </c>
      <c r="F82">
        <v>0.16</v>
      </c>
      <c r="G82">
        <v>0.08</v>
      </c>
      <c r="H82">
        <v>1</v>
      </c>
      <c r="I82">
        <v>1</v>
      </c>
      <c r="J82">
        <v>0.28999999999999998</v>
      </c>
      <c r="K82" s="24">
        <f t="shared" si="35"/>
        <v>0.30959999999999999</v>
      </c>
      <c r="L82" s="244"/>
      <c r="M82" s="70">
        <v>72510103000</v>
      </c>
      <c r="N82" s="70"/>
      <c r="O82" s="31" t="s">
        <v>14</v>
      </c>
      <c r="P82" t="s">
        <v>9</v>
      </c>
      <c r="Q82">
        <v>0.16</v>
      </c>
      <c r="R82">
        <v>0.08</v>
      </c>
      <c r="S82">
        <v>1</v>
      </c>
      <c r="T82">
        <v>1</v>
      </c>
      <c r="U82">
        <v>0.28999999999999998</v>
      </c>
      <c r="V82" s="24">
        <f t="shared" si="40"/>
        <v>0.30959999999999999</v>
      </c>
      <c r="W82" s="244"/>
      <c r="X82" s="76">
        <v>72510103000</v>
      </c>
      <c r="Y82" s="76"/>
      <c r="Z82" s="31" t="s">
        <v>14</v>
      </c>
      <c r="AA82" t="s">
        <v>9</v>
      </c>
      <c r="AB82">
        <v>0.16</v>
      </c>
      <c r="AC82">
        <v>0.08</v>
      </c>
      <c r="AD82">
        <v>1</v>
      </c>
      <c r="AE82">
        <v>1</v>
      </c>
      <c r="AF82">
        <v>0.28999999999999998</v>
      </c>
      <c r="AG82" s="24">
        <f t="shared" si="36"/>
        <v>0.30959999999999999</v>
      </c>
      <c r="AH82" s="244"/>
      <c r="AI82" s="76">
        <v>72510103000</v>
      </c>
      <c r="AJ82" s="79"/>
      <c r="AK82" s="31" t="s">
        <v>14</v>
      </c>
      <c r="AL82" t="s">
        <v>9</v>
      </c>
      <c r="AM82">
        <v>0.16</v>
      </c>
      <c r="AN82">
        <v>0.08</v>
      </c>
      <c r="AO82">
        <v>1</v>
      </c>
      <c r="AP82">
        <v>1</v>
      </c>
      <c r="AQ82">
        <v>0.28999999999999998</v>
      </c>
      <c r="AR82" s="24">
        <f t="shared" si="37"/>
        <v>0.30959999999999999</v>
      </c>
      <c r="AS82" s="244"/>
      <c r="AT82" s="76">
        <v>72510103000</v>
      </c>
      <c r="AU82" s="79"/>
      <c r="AV82" s="31" t="s">
        <v>14</v>
      </c>
      <c r="AW82" t="s">
        <v>9</v>
      </c>
      <c r="AX82">
        <v>0.16</v>
      </c>
      <c r="AY82">
        <v>0.08</v>
      </c>
      <c r="AZ82">
        <v>1</v>
      </c>
      <c r="BA82">
        <v>1</v>
      </c>
      <c r="BB82">
        <v>0.28999999999999998</v>
      </c>
      <c r="BC82" s="24">
        <f t="shared" si="38"/>
        <v>0.30959999999999999</v>
      </c>
      <c r="BD82" s="246"/>
      <c r="BE82" s="76">
        <v>72510103000</v>
      </c>
      <c r="BF82" s="79"/>
      <c r="BG82" s="31" t="s">
        <v>14</v>
      </c>
      <c r="BH82" t="s">
        <v>9</v>
      </c>
      <c r="BI82">
        <v>0.16</v>
      </c>
      <c r="BJ82">
        <v>0.08</v>
      </c>
      <c r="BK82">
        <v>1</v>
      </c>
      <c r="BL82">
        <v>1</v>
      </c>
      <c r="BM82">
        <v>0.28999999999999998</v>
      </c>
      <c r="BN82" s="24">
        <f t="shared" si="39"/>
        <v>0.30959999999999999</v>
      </c>
    </row>
    <row r="83" spans="1:66" ht="17.25" customHeight="1" x14ac:dyDescent="0.3">
      <c r="A83" s="244"/>
      <c r="B83" s="21"/>
      <c r="C83" s="21"/>
      <c r="K83" s="24">
        <f t="shared" si="35"/>
        <v>0</v>
      </c>
      <c r="L83" s="244"/>
      <c r="M83" s="79">
        <v>72113101610</v>
      </c>
      <c r="O83" s="31" t="s">
        <v>262</v>
      </c>
      <c r="P83" t="s">
        <v>9</v>
      </c>
      <c r="Q83">
        <v>0.31</v>
      </c>
      <c r="R83">
        <v>0.38</v>
      </c>
      <c r="S83">
        <v>1</v>
      </c>
      <c r="T83">
        <v>1</v>
      </c>
      <c r="U83">
        <v>0.40500000000000003</v>
      </c>
      <c r="V83" s="24">
        <f t="shared" si="40"/>
        <v>0.96944999999999992</v>
      </c>
      <c r="W83" s="244"/>
      <c r="X83" s="20" t="s">
        <v>109</v>
      </c>
      <c r="Y83" s="76"/>
      <c r="Z83" s="31" t="s">
        <v>225</v>
      </c>
      <c r="AA83" t="s">
        <v>9</v>
      </c>
      <c r="AB83">
        <v>0.51</v>
      </c>
      <c r="AC83">
        <v>0.38</v>
      </c>
      <c r="AD83">
        <v>1</v>
      </c>
      <c r="AE83">
        <v>1</v>
      </c>
      <c r="AF83">
        <v>0.33700000000000002</v>
      </c>
      <c r="AG83" s="24">
        <f t="shared" si="36"/>
        <v>1.1899299999999999</v>
      </c>
      <c r="AH83" s="244"/>
      <c r="AI83" s="20" t="s">
        <v>110</v>
      </c>
      <c r="AJ83" s="79"/>
      <c r="AK83" s="31" t="s">
        <v>250</v>
      </c>
      <c r="AL83" t="s">
        <v>9</v>
      </c>
      <c r="AM83">
        <v>0.59</v>
      </c>
      <c r="AN83">
        <v>0.41</v>
      </c>
      <c r="AO83">
        <v>1</v>
      </c>
      <c r="AP83">
        <v>1</v>
      </c>
      <c r="AQ83">
        <v>0.34</v>
      </c>
      <c r="AR83" s="24">
        <f t="shared" si="37"/>
        <v>1.34</v>
      </c>
      <c r="AS83" s="244"/>
      <c r="AT83" s="20" t="s">
        <v>110</v>
      </c>
      <c r="AU83" s="79"/>
      <c r="AV83" s="31" t="s">
        <v>250</v>
      </c>
      <c r="AW83" t="s">
        <v>9</v>
      </c>
      <c r="AX83">
        <v>0.59</v>
      </c>
      <c r="AY83">
        <v>0.41</v>
      </c>
      <c r="AZ83">
        <v>1</v>
      </c>
      <c r="BA83">
        <v>1</v>
      </c>
      <c r="BB83">
        <v>0.34</v>
      </c>
      <c r="BC83" s="24">
        <f t="shared" si="38"/>
        <v>1.34</v>
      </c>
      <c r="BD83" s="246"/>
      <c r="BE83" s="20" t="s">
        <v>111</v>
      </c>
      <c r="BF83" s="79"/>
      <c r="BG83" s="31" t="s">
        <v>218</v>
      </c>
      <c r="BH83" s="19" t="s">
        <v>7</v>
      </c>
      <c r="BI83" s="19">
        <v>0.75</v>
      </c>
      <c r="BJ83" s="19">
        <v>0.41</v>
      </c>
      <c r="BK83">
        <v>1</v>
      </c>
      <c r="BL83">
        <v>1</v>
      </c>
      <c r="BM83">
        <v>0.31</v>
      </c>
      <c r="BN83" s="24">
        <f t="shared" si="39"/>
        <v>1.5196000000000001</v>
      </c>
    </row>
    <row r="84" spans="1:66" ht="45" customHeight="1" x14ac:dyDescent="0.3">
      <c r="A84" s="244"/>
      <c r="B84" s="9" t="s">
        <v>85</v>
      </c>
      <c r="C84" s="3"/>
      <c r="D84" s="31" t="s">
        <v>29</v>
      </c>
      <c r="E84" t="s">
        <v>9</v>
      </c>
      <c r="F84">
        <v>2.5299999999999998</v>
      </c>
      <c r="G84">
        <v>5.6</v>
      </c>
      <c r="H84">
        <v>1</v>
      </c>
      <c r="I84">
        <v>1</v>
      </c>
      <c r="J84">
        <v>0</v>
      </c>
      <c r="K84" s="24">
        <f t="shared" si="35"/>
        <v>8.129999999999999</v>
      </c>
      <c r="L84" s="244"/>
      <c r="M84" s="70" t="s">
        <v>85</v>
      </c>
      <c r="N84" s="70"/>
      <c r="O84" s="31" t="s">
        <v>29</v>
      </c>
      <c r="P84" t="s">
        <v>9</v>
      </c>
      <c r="Q84">
        <v>2.5299999999999998</v>
      </c>
      <c r="R84">
        <v>5.6</v>
      </c>
      <c r="S84">
        <v>1</v>
      </c>
      <c r="T84">
        <v>1</v>
      </c>
      <c r="U84">
        <v>0</v>
      </c>
      <c r="V84" s="24">
        <f t="shared" si="40"/>
        <v>8.129999999999999</v>
      </c>
      <c r="W84" s="244"/>
      <c r="X84" s="76" t="s">
        <v>85</v>
      </c>
      <c r="Y84" s="76"/>
      <c r="Z84" s="31" t="s">
        <v>29</v>
      </c>
      <c r="AA84" t="s">
        <v>9</v>
      </c>
      <c r="AB84">
        <v>2.5299999999999998</v>
      </c>
      <c r="AC84">
        <v>5.6</v>
      </c>
      <c r="AD84">
        <v>1</v>
      </c>
      <c r="AE84">
        <v>1</v>
      </c>
      <c r="AF84">
        <v>0</v>
      </c>
      <c r="AG84" s="24">
        <f t="shared" si="36"/>
        <v>8.129999999999999</v>
      </c>
      <c r="AH84" s="244"/>
      <c r="AI84" s="76" t="s">
        <v>85</v>
      </c>
      <c r="AJ84" s="79"/>
      <c r="AK84" s="31" t="s">
        <v>29</v>
      </c>
      <c r="AL84" t="s">
        <v>9</v>
      </c>
      <c r="AM84">
        <v>2.5299999999999998</v>
      </c>
      <c r="AN84">
        <v>5.6</v>
      </c>
      <c r="AO84">
        <v>1</v>
      </c>
      <c r="AP84">
        <v>1</v>
      </c>
      <c r="AQ84">
        <v>0</v>
      </c>
      <c r="AR84" s="24">
        <f t="shared" si="37"/>
        <v>8.129999999999999</v>
      </c>
      <c r="AS84" s="244"/>
      <c r="AT84" s="76" t="s">
        <v>85</v>
      </c>
      <c r="AU84" s="79"/>
      <c r="AV84" s="31" t="s">
        <v>29</v>
      </c>
      <c r="AW84" t="s">
        <v>9</v>
      </c>
      <c r="AX84">
        <v>2.5299999999999998</v>
      </c>
      <c r="AY84">
        <v>5.6</v>
      </c>
      <c r="AZ84">
        <v>1</v>
      </c>
      <c r="BA84">
        <v>1</v>
      </c>
      <c r="BB84">
        <v>0</v>
      </c>
      <c r="BC84" s="24">
        <f t="shared" si="38"/>
        <v>8.129999999999999</v>
      </c>
      <c r="BD84" s="246"/>
      <c r="BE84" s="76" t="s">
        <v>85</v>
      </c>
      <c r="BF84" s="79"/>
      <c r="BG84" s="31" t="s">
        <v>29</v>
      </c>
      <c r="BH84" t="s">
        <v>9</v>
      </c>
      <c r="BI84">
        <v>2.5299999999999998</v>
      </c>
      <c r="BJ84">
        <v>5.6</v>
      </c>
      <c r="BK84">
        <v>1</v>
      </c>
      <c r="BL84">
        <v>1</v>
      </c>
      <c r="BM84">
        <v>0</v>
      </c>
      <c r="BN84" s="24">
        <f t="shared" si="39"/>
        <v>8.129999999999999</v>
      </c>
    </row>
    <row r="85" spans="1:66" ht="45" customHeight="1" x14ac:dyDescent="0.3">
      <c r="A85" s="244"/>
      <c r="B85" s="9" t="s">
        <v>85</v>
      </c>
      <c r="C85" s="3"/>
      <c r="D85" s="31" t="s">
        <v>32</v>
      </c>
      <c r="E85" t="s">
        <v>21</v>
      </c>
      <c r="F85">
        <v>0.16</v>
      </c>
      <c r="G85">
        <v>0.13</v>
      </c>
      <c r="H85">
        <v>1</v>
      </c>
      <c r="I85">
        <v>1</v>
      </c>
      <c r="J85">
        <v>0</v>
      </c>
      <c r="K85" s="24">
        <f t="shared" si="35"/>
        <v>0.29000000000000004</v>
      </c>
      <c r="L85" s="244"/>
      <c r="M85" s="70" t="s">
        <v>85</v>
      </c>
      <c r="N85" s="70"/>
      <c r="O85" s="31" t="s">
        <v>32</v>
      </c>
      <c r="P85" t="s">
        <v>21</v>
      </c>
      <c r="Q85">
        <v>0.16</v>
      </c>
      <c r="R85">
        <v>0.13</v>
      </c>
      <c r="S85">
        <v>1</v>
      </c>
      <c r="T85">
        <v>1</v>
      </c>
      <c r="U85">
        <v>0</v>
      </c>
      <c r="V85" s="24">
        <f t="shared" si="40"/>
        <v>0.29000000000000004</v>
      </c>
      <c r="W85" s="244"/>
      <c r="X85" s="76" t="s">
        <v>85</v>
      </c>
      <c r="Y85" s="76"/>
      <c r="Z85" s="31" t="s">
        <v>32</v>
      </c>
      <c r="AA85" t="s">
        <v>21</v>
      </c>
      <c r="AB85">
        <v>0.16</v>
      </c>
      <c r="AC85">
        <v>0.13</v>
      </c>
      <c r="AD85">
        <v>1</v>
      </c>
      <c r="AE85">
        <v>1</v>
      </c>
      <c r="AF85">
        <v>0</v>
      </c>
      <c r="AG85" s="24">
        <f t="shared" si="36"/>
        <v>0.29000000000000004</v>
      </c>
      <c r="AH85" s="244"/>
      <c r="AI85" s="76" t="s">
        <v>85</v>
      </c>
      <c r="AJ85" s="79"/>
      <c r="AK85" s="31" t="s">
        <v>32</v>
      </c>
      <c r="AL85" t="s">
        <v>21</v>
      </c>
      <c r="AM85">
        <v>0.16</v>
      </c>
      <c r="AN85">
        <v>0.13</v>
      </c>
      <c r="AO85">
        <v>1</v>
      </c>
      <c r="AP85">
        <v>1</v>
      </c>
      <c r="AQ85">
        <v>0</v>
      </c>
      <c r="AR85" s="24">
        <f t="shared" si="37"/>
        <v>0.29000000000000004</v>
      </c>
      <c r="AS85" s="244"/>
      <c r="AT85" s="76" t="s">
        <v>85</v>
      </c>
      <c r="AU85" s="79"/>
      <c r="AV85" s="31" t="s">
        <v>32</v>
      </c>
      <c r="AW85" t="s">
        <v>21</v>
      </c>
      <c r="AX85">
        <v>0.16</v>
      </c>
      <c r="AY85">
        <v>0.13</v>
      </c>
      <c r="AZ85">
        <v>1</v>
      </c>
      <c r="BA85">
        <v>1</v>
      </c>
      <c r="BB85">
        <v>0</v>
      </c>
      <c r="BC85" s="24">
        <f t="shared" si="38"/>
        <v>0.29000000000000004</v>
      </c>
      <c r="BD85" s="246"/>
      <c r="BE85" s="76" t="s">
        <v>85</v>
      </c>
      <c r="BF85" s="79"/>
      <c r="BG85" s="31" t="s">
        <v>32</v>
      </c>
      <c r="BH85" t="s">
        <v>21</v>
      </c>
      <c r="BI85">
        <v>0.16</v>
      </c>
      <c r="BJ85">
        <v>0.13</v>
      </c>
      <c r="BK85">
        <v>1</v>
      </c>
      <c r="BL85">
        <v>1</v>
      </c>
      <c r="BM85">
        <v>0</v>
      </c>
      <c r="BN85" s="24">
        <f t="shared" si="39"/>
        <v>0.29000000000000004</v>
      </c>
    </row>
    <row r="86" spans="1:66" ht="30" customHeight="1" x14ac:dyDescent="0.3">
      <c r="A86" s="244"/>
      <c r="B86" s="9" t="s">
        <v>85</v>
      </c>
      <c r="C86" s="3"/>
      <c r="D86" s="31" t="s">
        <v>31</v>
      </c>
      <c r="E86" t="s">
        <v>30</v>
      </c>
      <c r="F86">
        <v>0.32</v>
      </c>
      <c r="G86">
        <v>0.31</v>
      </c>
      <c r="H86">
        <v>1</v>
      </c>
      <c r="I86">
        <v>1</v>
      </c>
      <c r="J86">
        <v>0</v>
      </c>
      <c r="K86" s="24">
        <f t="shared" si="35"/>
        <v>0.63</v>
      </c>
      <c r="L86" s="244"/>
      <c r="M86" s="70" t="s">
        <v>85</v>
      </c>
      <c r="N86" s="70"/>
      <c r="O86" s="31" t="s">
        <v>31</v>
      </c>
      <c r="P86" t="s">
        <v>30</v>
      </c>
      <c r="Q86">
        <v>0.32</v>
      </c>
      <c r="R86">
        <v>0.31</v>
      </c>
      <c r="S86">
        <v>1</v>
      </c>
      <c r="T86">
        <v>1</v>
      </c>
      <c r="U86">
        <v>0</v>
      </c>
      <c r="V86" s="24">
        <f t="shared" si="40"/>
        <v>0.63</v>
      </c>
      <c r="W86" s="244"/>
      <c r="X86" s="76" t="s">
        <v>85</v>
      </c>
      <c r="Y86" s="76"/>
      <c r="Z86" s="31" t="s">
        <v>31</v>
      </c>
      <c r="AA86" t="s">
        <v>30</v>
      </c>
      <c r="AB86">
        <v>0.32</v>
      </c>
      <c r="AC86">
        <v>0.31</v>
      </c>
      <c r="AD86">
        <v>1</v>
      </c>
      <c r="AE86">
        <v>1</v>
      </c>
      <c r="AF86">
        <v>0</v>
      </c>
      <c r="AG86" s="24">
        <f t="shared" si="36"/>
        <v>0.63</v>
      </c>
      <c r="AH86" s="244"/>
      <c r="AI86" s="76" t="s">
        <v>85</v>
      </c>
      <c r="AJ86" s="79"/>
      <c r="AK86" s="31" t="s">
        <v>31</v>
      </c>
      <c r="AL86" t="s">
        <v>30</v>
      </c>
      <c r="AM86">
        <v>0.32</v>
      </c>
      <c r="AN86">
        <v>0.31</v>
      </c>
      <c r="AO86">
        <v>1</v>
      </c>
      <c r="AP86">
        <v>1</v>
      </c>
      <c r="AQ86">
        <v>0</v>
      </c>
      <c r="AR86" s="24">
        <f t="shared" si="37"/>
        <v>0.63</v>
      </c>
      <c r="AS86" s="244"/>
      <c r="AT86" s="76" t="s">
        <v>85</v>
      </c>
      <c r="AU86" s="79"/>
      <c r="AV86" s="31" t="s">
        <v>31</v>
      </c>
      <c r="AW86" t="s">
        <v>30</v>
      </c>
      <c r="AX86">
        <v>0.32</v>
      </c>
      <c r="AY86">
        <v>0.31</v>
      </c>
      <c r="AZ86">
        <v>1</v>
      </c>
      <c r="BA86">
        <v>1</v>
      </c>
      <c r="BB86">
        <v>0</v>
      </c>
      <c r="BC86" s="24">
        <f t="shared" si="38"/>
        <v>0.63</v>
      </c>
      <c r="BD86" s="246"/>
      <c r="BE86" s="76" t="s">
        <v>85</v>
      </c>
      <c r="BF86" s="79"/>
      <c r="BG86" s="31" t="s">
        <v>31</v>
      </c>
      <c r="BH86" t="s">
        <v>30</v>
      </c>
      <c r="BI86">
        <v>0.32</v>
      </c>
      <c r="BJ86">
        <v>0.31</v>
      </c>
      <c r="BK86">
        <v>1</v>
      </c>
      <c r="BL86">
        <v>1</v>
      </c>
      <c r="BM86">
        <v>0</v>
      </c>
      <c r="BN86" s="24">
        <f t="shared" si="39"/>
        <v>0.63</v>
      </c>
    </row>
    <row r="87" spans="1:66" x14ac:dyDescent="0.3">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x14ac:dyDescent="0.3">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x14ac:dyDescent="0.3">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3">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3">
      <c r="A91" s="243" t="s">
        <v>103</v>
      </c>
      <c r="B91" s="13" t="s">
        <v>85</v>
      </c>
      <c r="C91" s="13">
        <v>8</v>
      </c>
      <c r="D91" s="31" t="s">
        <v>29</v>
      </c>
      <c r="E91" t="s">
        <v>9</v>
      </c>
      <c r="F91">
        <v>2.5299999999999998</v>
      </c>
      <c r="G91">
        <v>5.6</v>
      </c>
      <c r="H91">
        <v>1</v>
      </c>
      <c r="I91">
        <v>1</v>
      </c>
      <c r="J91">
        <v>0</v>
      </c>
      <c r="K91" s="24">
        <f t="shared" ref="K91:K100" si="41">(F91*H91+G91*I91)*(1+J91)</f>
        <v>8.129999999999999</v>
      </c>
      <c r="L91" s="243" t="s">
        <v>103</v>
      </c>
      <c r="M91" s="70" t="s">
        <v>85</v>
      </c>
      <c r="N91" s="70">
        <v>8</v>
      </c>
      <c r="O91" s="31" t="s">
        <v>29</v>
      </c>
      <c r="P91" t="s">
        <v>9</v>
      </c>
      <c r="Q91">
        <v>2.5299999999999998</v>
      </c>
      <c r="R91">
        <v>5.6</v>
      </c>
      <c r="S91">
        <v>1</v>
      </c>
      <c r="T91">
        <v>1</v>
      </c>
      <c r="U91">
        <v>0</v>
      </c>
      <c r="V91" s="24">
        <f t="shared" ref="V91:V96" si="42">(Q91*S91+R91*T91)*(1+U91)</f>
        <v>8.129999999999999</v>
      </c>
      <c r="W91" s="243" t="s">
        <v>103</v>
      </c>
      <c r="X91" s="76" t="s">
        <v>85</v>
      </c>
      <c r="Y91" s="76">
        <v>8</v>
      </c>
      <c r="Z91" s="31" t="s">
        <v>29</v>
      </c>
      <c r="AA91" t="s">
        <v>9</v>
      </c>
      <c r="AB91">
        <v>2.5299999999999998</v>
      </c>
      <c r="AC91">
        <v>5.6</v>
      </c>
      <c r="AD91">
        <v>1</v>
      </c>
      <c r="AE91">
        <v>1</v>
      </c>
      <c r="AF91">
        <v>0</v>
      </c>
      <c r="AG91" s="24">
        <f t="shared" ref="AG91:AG100" si="43">(AB91*AD91+AC91*AE91)*(1+AF91)</f>
        <v>8.129999999999999</v>
      </c>
      <c r="AH91" s="243" t="s">
        <v>103</v>
      </c>
      <c r="AI91" s="76" t="s">
        <v>85</v>
      </c>
      <c r="AJ91" s="79">
        <v>8</v>
      </c>
      <c r="AK91" s="31" t="s">
        <v>29</v>
      </c>
      <c r="AL91" t="s">
        <v>9</v>
      </c>
      <c r="AM91">
        <v>2.5299999999999998</v>
      </c>
      <c r="AN91">
        <v>5.6</v>
      </c>
      <c r="AO91">
        <v>1</v>
      </c>
      <c r="AP91">
        <v>1</v>
      </c>
      <c r="AQ91">
        <v>0</v>
      </c>
      <c r="AR91" s="24">
        <f t="shared" ref="AR91:AR96" si="44">(AM91*AO91+AN91*AP91)*(1+AQ91)</f>
        <v>8.129999999999999</v>
      </c>
      <c r="AS91" s="243" t="s">
        <v>103</v>
      </c>
      <c r="AT91" s="76" t="s">
        <v>85</v>
      </c>
      <c r="AU91" s="79">
        <v>8</v>
      </c>
      <c r="AV91" s="31" t="s">
        <v>29</v>
      </c>
      <c r="AW91" t="s">
        <v>9</v>
      </c>
      <c r="AX91">
        <v>2.5299999999999998</v>
      </c>
      <c r="AY91">
        <v>5.6</v>
      </c>
      <c r="AZ91">
        <v>1</v>
      </c>
      <c r="BA91">
        <v>1</v>
      </c>
      <c r="BB91">
        <v>0</v>
      </c>
      <c r="BC91" s="24">
        <f t="shared" ref="BC91:BC100" si="45">(AX91*AZ91+AY91*BA91)*(1+BB91)</f>
        <v>8.129999999999999</v>
      </c>
      <c r="BD91" s="245"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x14ac:dyDescent="0.3">
      <c r="A92" s="244"/>
      <c r="B92" s="13" t="s">
        <v>85</v>
      </c>
      <c r="C92" s="13"/>
      <c r="D92" s="31" t="s">
        <v>32</v>
      </c>
      <c r="E92" t="s">
        <v>21</v>
      </c>
      <c r="F92">
        <v>0.16</v>
      </c>
      <c r="G92">
        <v>0.13</v>
      </c>
      <c r="H92">
        <v>1</v>
      </c>
      <c r="I92">
        <v>1</v>
      </c>
      <c r="J92">
        <v>0</v>
      </c>
      <c r="K92" s="24">
        <f t="shared" si="41"/>
        <v>0.29000000000000004</v>
      </c>
      <c r="L92" s="244"/>
      <c r="M92" s="70" t="s">
        <v>85</v>
      </c>
      <c r="N92" s="70"/>
      <c r="O92" s="31" t="s">
        <v>32</v>
      </c>
      <c r="P92" t="s">
        <v>21</v>
      </c>
      <c r="Q92">
        <v>0.16</v>
      </c>
      <c r="R92">
        <v>0.13</v>
      </c>
      <c r="S92">
        <v>1</v>
      </c>
      <c r="T92">
        <v>1</v>
      </c>
      <c r="U92">
        <v>0</v>
      </c>
      <c r="V92" s="24">
        <f t="shared" si="42"/>
        <v>0.29000000000000004</v>
      </c>
      <c r="W92" s="244"/>
      <c r="X92" s="76" t="s">
        <v>85</v>
      </c>
      <c r="Y92" s="76"/>
      <c r="Z92" s="31" t="s">
        <v>32</v>
      </c>
      <c r="AA92" t="s">
        <v>21</v>
      </c>
      <c r="AB92">
        <v>0.16</v>
      </c>
      <c r="AC92">
        <v>0.13</v>
      </c>
      <c r="AD92">
        <v>1</v>
      </c>
      <c r="AE92">
        <v>1</v>
      </c>
      <c r="AF92">
        <v>0</v>
      </c>
      <c r="AG92" s="24">
        <f t="shared" si="43"/>
        <v>0.29000000000000004</v>
      </c>
      <c r="AH92" s="244"/>
      <c r="AI92" s="76" t="s">
        <v>85</v>
      </c>
      <c r="AJ92" s="79"/>
      <c r="AK92" s="31" t="s">
        <v>32</v>
      </c>
      <c r="AL92" t="s">
        <v>21</v>
      </c>
      <c r="AM92">
        <v>0.16</v>
      </c>
      <c r="AN92">
        <v>0.13</v>
      </c>
      <c r="AO92">
        <v>1</v>
      </c>
      <c r="AP92">
        <v>1</v>
      </c>
      <c r="AQ92">
        <v>0</v>
      </c>
      <c r="AR92" s="24">
        <f t="shared" si="44"/>
        <v>0.29000000000000004</v>
      </c>
      <c r="AS92" s="244"/>
      <c r="AT92" s="76" t="s">
        <v>85</v>
      </c>
      <c r="AU92" s="79"/>
      <c r="AV92" s="31" t="s">
        <v>32</v>
      </c>
      <c r="AW92" t="s">
        <v>21</v>
      </c>
      <c r="AX92">
        <v>0.16</v>
      </c>
      <c r="AY92">
        <v>0.13</v>
      </c>
      <c r="AZ92">
        <v>1</v>
      </c>
      <c r="BA92">
        <v>1</v>
      </c>
      <c r="BB92">
        <v>0</v>
      </c>
      <c r="BC92" s="24">
        <f t="shared" si="45"/>
        <v>0.29000000000000004</v>
      </c>
      <c r="BD92" s="246"/>
      <c r="BE92" s="76" t="s">
        <v>85</v>
      </c>
      <c r="BF92" s="79"/>
      <c r="BG92" s="31" t="s">
        <v>32</v>
      </c>
      <c r="BH92" t="s">
        <v>21</v>
      </c>
      <c r="BI92">
        <v>0.16</v>
      </c>
      <c r="BJ92">
        <v>0.13</v>
      </c>
      <c r="BK92">
        <v>1</v>
      </c>
      <c r="BL92">
        <v>1</v>
      </c>
      <c r="BM92">
        <v>0</v>
      </c>
      <c r="BN92" s="24">
        <f t="shared" si="46"/>
        <v>0.29000000000000004</v>
      </c>
    </row>
    <row r="93" spans="1:66" ht="30" customHeight="1" x14ac:dyDescent="0.3">
      <c r="A93" s="244"/>
      <c r="B93" s="13" t="s">
        <v>85</v>
      </c>
      <c r="C93" s="13"/>
      <c r="D93" s="31" t="s">
        <v>31</v>
      </c>
      <c r="E93" t="s">
        <v>30</v>
      </c>
      <c r="F93">
        <v>0.32</v>
      </c>
      <c r="G93">
        <v>0.31</v>
      </c>
      <c r="H93">
        <v>1</v>
      </c>
      <c r="I93">
        <v>1</v>
      </c>
      <c r="J93">
        <v>0</v>
      </c>
      <c r="K93" s="24">
        <f t="shared" si="41"/>
        <v>0.63</v>
      </c>
      <c r="L93" s="244"/>
      <c r="M93" s="70" t="s">
        <v>85</v>
      </c>
      <c r="N93" s="70"/>
      <c r="O93" s="31" t="s">
        <v>31</v>
      </c>
      <c r="P93" t="s">
        <v>30</v>
      </c>
      <c r="Q93">
        <v>0.32</v>
      </c>
      <c r="R93">
        <v>0.31</v>
      </c>
      <c r="S93">
        <v>1</v>
      </c>
      <c r="T93">
        <v>1</v>
      </c>
      <c r="U93">
        <v>0</v>
      </c>
      <c r="V93" s="24">
        <f t="shared" si="42"/>
        <v>0.63</v>
      </c>
      <c r="W93" s="244"/>
      <c r="X93" s="76" t="s">
        <v>85</v>
      </c>
      <c r="Y93" s="76"/>
      <c r="Z93" s="31" t="s">
        <v>31</v>
      </c>
      <c r="AA93" t="s">
        <v>30</v>
      </c>
      <c r="AB93">
        <v>0.32</v>
      </c>
      <c r="AC93">
        <v>0.31</v>
      </c>
      <c r="AD93">
        <v>1</v>
      </c>
      <c r="AE93">
        <v>1</v>
      </c>
      <c r="AF93">
        <v>0</v>
      </c>
      <c r="AG93" s="24">
        <f t="shared" si="43"/>
        <v>0.63</v>
      </c>
      <c r="AH93" s="244"/>
      <c r="AI93" s="76" t="s">
        <v>85</v>
      </c>
      <c r="AJ93" s="79"/>
      <c r="AK93" s="31" t="s">
        <v>31</v>
      </c>
      <c r="AL93" t="s">
        <v>30</v>
      </c>
      <c r="AM93">
        <v>0.32</v>
      </c>
      <c r="AN93">
        <v>0.31</v>
      </c>
      <c r="AO93">
        <v>1</v>
      </c>
      <c r="AP93">
        <v>1</v>
      </c>
      <c r="AQ93">
        <v>0</v>
      </c>
      <c r="AR93" s="24">
        <f t="shared" si="44"/>
        <v>0.63</v>
      </c>
      <c r="AS93" s="244"/>
      <c r="AT93" s="76" t="s">
        <v>85</v>
      </c>
      <c r="AU93" s="79"/>
      <c r="AV93" s="31" t="s">
        <v>31</v>
      </c>
      <c r="AW93" t="s">
        <v>30</v>
      </c>
      <c r="AX93">
        <v>0.32</v>
      </c>
      <c r="AY93">
        <v>0.31</v>
      </c>
      <c r="AZ93">
        <v>1</v>
      </c>
      <c r="BA93">
        <v>1</v>
      </c>
      <c r="BB93">
        <v>0</v>
      </c>
      <c r="BC93" s="24">
        <f t="shared" si="45"/>
        <v>0.63</v>
      </c>
      <c r="BD93" s="246"/>
      <c r="BE93" s="76" t="s">
        <v>85</v>
      </c>
      <c r="BF93" s="79"/>
      <c r="BG93" s="31" t="s">
        <v>31</v>
      </c>
      <c r="BH93" t="s">
        <v>30</v>
      </c>
      <c r="BI93">
        <v>0.32</v>
      </c>
      <c r="BJ93">
        <v>0.31</v>
      </c>
      <c r="BK93">
        <v>1</v>
      </c>
      <c r="BL93">
        <v>1</v>
      </c>
      <c r="BM93">
        <v>0</v>
      </c>
      <c r="BN93" s="24">
        <f t="shared" si="46"/>
        <v>0.63</v>
      </c>
    </row>
    <row r="94" spans="1:66" ht="15" customHeight="1" x14ac:dyDescent="0.3">
      <c r="A94" s="244"/>
      <c r="B94" s="13" t="s">
        <v>85</v>
      </c>
      <c r="C94" s="13"/>
      <c r="D94" s="31" t="s">
        <v>33</v>
      </c>
      <c r="E94" t="s">
        <v>6</v>
      </c>
      <c r="F94">
        <v>0.11</v>
      </c>
      <c r="G94">
        <v>0.06</v>
      </c>
      <c r="H94">
        <v>1</v>
      </c>
      <c r="I94">
        <v>1</v>
      </c>
      <c r="J94">
        <v>0</v>
      </c>
      <c r="K94" s="24">
        <f t="shared" si="41"/>
        <v>0.16999999999999998</v>
      </c>
      <c r="L94" s="244"/>
      <c r="M94" s="70" t="s">
        <v>85</v>
      </c>
      <c r="N94" s="70"/>
      <c r="O94" s="31" t="s">
        <v>33</v>
      </c>
      <c r="P94" t="s">
        <v>6</v>
      </c>
      <c r="Q94">
        <v>0.11</v>
      </c>
      <c r="R94">
        <v>0.06</v>
      </c>
      <c r="S94">
        <v>1</v>
      </c>
      <c r="T94">
        <v>1</v>
      </c>
      <c r="U94">
        <v>0</v>
      </c>
      <c r="V94" s="24">
        <f t="shared" si="42"/>
        <v>0.16999999999999998</v>
      </c>
      <c r="W94" s="244"/>
      <c r="X94" s="76" t="s">
        <v>85</v>
      </c>
      <c r="Y94" s="76"/>
      <c r="Z94" s="31" t="s">
        <v>33</v>
      </c>
      <c r="AA94" t="s">
        <v>6</v>
      </c>
      <c r="AB94">
        <v>0.11</v>
      </c>
      <c r="AC94">
        <v>0.06</v>
      </c>
      <c r="AD94">
        <v>1</v>
      </c>
      <c r="AE94">
        <v>1</v>
      </c>
      <c r="AF94">
        <v>0</v>
      </c>
      <c r="AG94" s="24">
        <f t="shared" si="43"/>
        <v>0.16999999999999998</v>
      </c>
      <c r="AH94" s="244"/>
      <c r="AI94" s="76" t="s">
        <v>85</v>
      </c>
      <c r="AJ94" s="79"/>
      <c r="AK94" s="31" t="s">
        <v>33</v>
      </c>
      <c r="AL94" t="s">
        <v>6</v>
      </c>
      <c r="AM94">
        <v>0.11</v>
      </c>
      <c r="AN94">
        <v>0.06</v>
      </c>
      <c r="AO94">
        <v>1</v>
      </c>
      <c r="AP94">
        <v>1</v>
      </c>
      <c r="AQ94">
        <v>0</v>
      </c>
      <c r="AR94" s="24">
        <f t="shared" si="44"/>
        <v>0.16999999999999998</v>
      </c>
      <c r="AS94" s="244"/>
      <c r="AT94" s="76" t="s">
        <v>85</v>
      </c>
      <c r="AU94" s="79"/>
      <c r="AV94" s="31" t="s">
        <v>33</v>
      </c>
      <c r="AW94" t="s">
        <v>6</v>
      </c>
      <c r="AX94">
        <v>0.11</v>
      </c>
      <c r="AY94">
        <v>0.06</v>
      </c>
      <c r="AZ94">
        <v>1</v>
      </c>
      <c r="BA94">
        <v>1</v>
      </c>
      <c r="BB94">
        <v>0</v>
      </c>
      <c r="BC94" s="24">
        <f t="shared" si="45"/>
        <v>0.16999999999999998</v>
      </c>
      <c r="BD94" s="246"/>
      <c r="BE94" s="76" t="s">
        <v>85</v>
      </c>
      <c r="BF94" s="79"/>
      <c r="BG94" s="31" t="s">
        <v>33</v>
      </c>
      <c r="BH94" t="s">
        <v>6</v>
      </c>
      <c r="BI94">
        <v>0.11</v>
      </c>
      <c r="BJ94">
        <v>0.06</v>
      </c>
      <c r="BK94">
        <v>1</v>
      </c>
      <c r="BL94">
        <v>1</v>
      </c>
      <c r="BM94">
        <v>0</v>
      </c>
      <c r="BN94" s="24">
        <f t="shared" si="46"/>
        <v>0.16999999999999998</v>
      </c>
    </row>
    <row r="95" spans="1:66" ht="15" customHeight="1" x14ac:dyDescent="0.3">
      <c r="A95" s="244"/>
      <c r="B95" s="13" t="s">
        <v>85</v>
      </c>
      <c r="C95" s="13"/>
      <c r="D95" s="31" t="s">
        <v>34</v>
      </c>
      <c r="E95" t="s">
        <v>9</v>
      </c>
      <c r="F95">
        <v>0.34</v>
      </c>
      <c r="G95">
        <v>0.59</v>
      </c>
      <c r="H95">
        <v>1</v>
      </c>
      <c r="I95">
        <v>1</v>
      </c>
      <c r="J95">
        <v>0</v>
      </c>
      <c r="K95" s="24">
        <f t="shared" si="41"/>
        <v>0.92999999999999994</v>
      </c>
      <c r="L95" s="244"/>
      <c r="M95" s="70" t="s">
        <v>85</v>
      </c>
      <c r="N95" s="70"/>
      <c r="O95" s="31" t="s">
        <v>34</v>
      </c>
      <c r="P95" t="s">
        <v>9</v>
      </c>
      <c r="Q95">
        <v>0.34</v>
      </c>
      <c r="R95">
        <v>0.59</v>
      </c>
      <c r="S95">
        <v>1</v>
      </c>
      <c r="T95">
        <v>1</v>
      </c>
      <c r="U95">
        <v>0</v>
      </c>
      <c r="V95" s="24">
        <f t="shared" si="42"/>
        <v>0.92999999999999994</v>
      </c>
      <c r="W95" s="244"/>
      <c r="X95" s="76" t="s">
        <v>85</v>
      </c>
      <c r="Y95" s="76"/>
      <c r="Z95" s="31" t="s">
        <v>34</v>
      </c>
      <c r="AA95" t="s">
        <v>9</v>
      </c>
      <c r="AB95">
        <v>0.34</v>
      </c>
      <c r="AC95">
        <v>0.59</v>
      </c>
      <c r="AD95">
        <v>1</v>
      </c>
      <c r="AE95">
        <v>1</v>
      </c>
      <c r="AF95">
        <v>0</v>
      </c>
      <c r="AG95" s="24">
        <f t="shared" si="43"/>
        <v>0.92999999999999994</v>
      </c>
      <c r="AH95" s="244"/>
      <c r="AI95" s="76" t="s">
        <v>85</v>
      </c>
      <c r="AJ95" s="79"/>
      <c r="AK95" s="31" t="s">
        <v>34</v>
      </c>
      <c r="AL95" t="s">
        <v>9</v>
      </c>
      <c r="AM95">
        <v>0.34</v>
      </c>
      <c r="AN95">
        <v>0.59</v>
      </c>
      <c r="AO95">
        <v>1</v>
      </c>
      <c r="AP95">
        <v>1</v>
      </c>
      <c r="AQ95">
        <v>0</v>
      </c>
      <c r="AR95" s="24">
        <f t="shared" si="44"/>
        <v>0.92999999999999994</v>
      </c>
      <c r="AS95" s="244"/>
      <c r="AT95" s="76" t="s">
        <v>85</v>
      </c>
      <c r="AU95" s="79"/>
      <c r="AV95" s="31" t="s">
        <v>34</v>
      </c>
      <c r="AW95" t="s">
        <v>9</v>
      </c>
      <c r="AX95">
        <v>0.34</v>
      </c>
      <c r="AY95">
        <v>0.59</v>
      </c>
      <c r="AZ95">
        <v>1</v>
      </c>
      <c r="BA95">
        <v>1</v>
      </c>
      <c r="BB95">
        <v>0</v>
      </c>
      <c r="BC95" s="24">
        <f t="shared" si="45"/>
        <v>0.92999999999999994</v>
      </c>
      <c r="BD95" s="246"/>
      <c r="BE95" s="76" t="s">
        <v>85</v>
      </c>
      <c r="BF95" s="79"/>
      <c r="BG95" s="31" t="s">
        <v>34</v>
      </c>
      <c r="BH95" t="s">
        <v>9</v>
      </c>
      <c r="BI95">
        <v>0.34</v>
      </c>
      <c r="BJ95">
        <v>0.59</v>
      </c>
      <c r="BK95">
        <v>1</v>
      </c>
      <c r="BL95">
        <v>1</v>
      </c>
      <c r="BM95">
        <v>0</v>
      </c>
      <c r="BN95" s="24">
        <f t="shared" si="46"/>
        <v>0.92999999999999994</v>
      </c>
    </row>
    <row r="96" spans="1:66" ht="15" customHeight="1" x14ac:dyDescent="0.3">
      <c r="A96" s="244"/>
      <c r="B96" s="13">
        <v>72113101960</v>
      </c>
      <c r="C96" s="13"/>
      <c r="D96" s="31" t="s">
        <v>137</v>
      </c>
      <c r="E96" t="s">
        <v>9</v>
      </c>
      <c r="F96">
        <v>1.58</v>
      </c>
      <c r="G96">
        <v>0.41</v>
      </c>
      <c r="H96">
        <v>1.25</v>
      </c>
      <c r="I96">
        <v>1</v>
      </c>
      <c r="J96">
        <v>0.22</v>
      </c>
      <c r="K96" s="24">
        <f t="shared" si="41"/>
        <v>2.9097000000000004</v>
      </c>
      <c r="L96" s="244"/>
      <c r="M96" s="20" t="s">
        <v>114</v>
      </c>
      <c r="N96" s="59"/>
      <c r="O96" s="36" t="s">
        <v>59</v>
      </c>
      <c r="P96" s="19" t="s">
        <v>9</v>
      </c>
      <c r="Q96" s="19">
        <v>1.1299999999999999</v>
      </c>
      <c r="R96" s="19">
        <v>0.41</v>
      </c>
      <c r="S96">
        <v>2</v>
      </c>
      <c r="T96">
        <v>1.25</v>
      </c>
      <c r="U96">
        <v>0.253</v>
      </c>
      <c r="V96" s="24">
        <f t="shared" si="42"/>
        <v>3.4739425000000002</v>
      </c>
      <c r="W96" s="244"/>
      <c r="X96" s="20" t="s">
        <v>114</v>
      </c>
      <c r="Y96" s="74"/>
      <c r="Z96" s="36" t="s">
        <v>59</v>
      </c>
      <c r="AA96" s="19" t="s">
        <v>9</v>
      </c>
      <c r="AB96" s="19">
        <v>1.1299999999999999</v>
      </c>
      <c r="AC96" s="19">
        <v>0.41</v>
      </c>
      <c r="AD96">
        <v>2.5</v>
      </c>
      <c r="AE96">
        <v>1.3</v>
      </c>
      <c r="AF96">
        <v>0.253</v>
      </c>
      <c r="AG96" s="24">
        <f t="shared" si="43"/>
        <v>4.2075740000000001</v>
      </c>
      <c r="AH96" s="244"/>
      <c r="AI96" s="21">
        <v>72129100350</v>
      </c>
      <c r="AJ96" s="81"/>
      <c r="AK96" s="31" t="s">
        <v>138</v>
      </c>
      <c r="AL96" t="s">
        <v>9</v>
      </c>
      <c r="AM96">
        <v>2.63</v>
      </c>
      <c r="AN96">
        <v>1.1599999999999999</v>
      </c>
      <c r="AO96">
        <v>1.1000000000000001</v>
      </c>
      <c r="AP96">
        <v>1</v>
      </c>
      <c r="AQ96">
        <v>0.20300000000000001</v>
      </c>
      <c r="AR96" s="24">
        <f t="shared" si="44"/>
        <v>4.8757590000000004</v>
      </c>
      <c r="AS96" s="244"/>
      <c r="AT96" s="76">
        <v>72129100350</v>
      </c>
      <c r="AU96" s="81"/>
      <c r="AV96" s="31" t="s">
        <v>138</v>
      </c>
      <c r="AW96" t="s">
        <v>9</v>
      </c>
      <c r="AX96">
        <v>2.63</v>
      </c>
      <c r="AY96">
        <v>1.1599999999999999</v>
      </c>
      <c r="AZ96">
        <v>1.1000000000000001</v>
      </c>
      <c r="BA96">
        <v>1</v>
      </c>
      <c r="BB96">
        <v>0.20300000000000001</v>
      </c>
      <c r="BC96" s="24">
        <f t="shared" si="45"/>
        <v>4.8757590000000004</v>
      </c>
      <c r="BD96" s="246"/>
      <c r="BE96" s="76">
        <v>72129100350</v>
      </c>
      <c r="BF96" s="81"/>
      <c r="BG96" s="31" t="s">
        <v>138</v>
      </c>
      <c r="BH96" t="s">
        <v>9</v>
      </c>
      <c r="BI96">
        <v>2.63</v>
      </c>
      <c r="BJ96">
        <v>1.1599999999999999</v>
      </c>
      <c r="BK96">
        <v>1.25</v>
      </c>
      <c r="BL96">
        <v>1</v>
      </c>
      <c r="BM96">
        <v>0.20300000000000001</v>
      </c>
      <c r="BN96" s="24">
        <f t="shared" si="46"/>
        <v>5.3503425</v>
      </c>
    </row>
    <row r="97" spans="1:66" ht="46.5" customHeight="1" x14ac:dyDescent="0.3">
      <c r="A97" s="244"/>
      <c r="B97" s="13" t="s">
        <v>88</v>
      </c>
      <c r="C97" s="13"/>
      <c r="D97" s="31" t="s">
        <v>26</v>
      </c>
      <c r="E97" t="s">
        <v>9</v>
      </c>
      <c r="F97">
        <v>4.24</v>
      </c>
      <c r="G97">
        <v>10.15</v>
      </c>
      <c r="H97">
        <v>1</v>
      </c>
      <c r="I97">
        <v>1</v>
      </c>
      <c r="J97">
        <v>0</v>
      </c>
      <c r="K97" s="24">
        <f t="shared" si="41"/>
        <v>14.39</v>
      </c>
      <c r="L97" s="244"/>
      <c r="M97" s="70" t="s">
        <v>88</v>
      </c>
      <c r="N97" s="70"/>
      <c r="O97" s="31" t="s">
        <v>26</v>
      </c>
      <c r="P97" t="s">
        <v>9</v>
      </c>
      <c r="Q97">
        <v>4.24</v>
      </c>
      <c r="R97">
        <v>10.15</v>
      </c>
      <c r="S97">
        <v>1</v>
      </c>
      <c r="T97">
        <v>1</v>
      </c>
      <c r="U97">
        <v>0</v>
      </c>
      <c r="V97" s="24">
        <f>(Q97*S97+R97*T97)*(1+U97)</f>
        <v>14.39</v>
      </c>
      <c r="W97" s="244"/>
      <c r="X97" s="76" t="s">
        <v>88</v>
      </c>
      <c r="Y97" s="76"/>
      <c r="Z97" s="31" t="s">
        <v>26</v>
      </c>
      <c r="AA97" t="s">
        <v>9</v>
      </c>
      <c r="AB97">
        <v>4.24</v>
      </c>
      <c r="AC97">
        <v>10.15</v>
      </c>
      <c r="AD97">
        <v>1</v>
      </c>
      <c r="AE97">
        <v>1</v>
      </c>
      <c r="AF97">
        <v>0</v>
      </c>
      <c r="AG97" s="24">
        <f t="shared" si="43"/>
        <v>14.39</v>
      </c>
      <c r="AH97" s="244"/>
      <c r="AI97" s="76" t="s">
        <v>88</v>
      </c>
      <c r="AJ97" s="79"/>
      <c r="AK97" s="31" t="s">
        <v>26</v>
      </c>
      <c r="AL97" t="s">
        <v>9</v>
      </c>
      <c r="AM97">
        <v>4.24</v>
      </c>
      <c r="AN97">
        <v>10.15</v>
      </c>
      <c r="AO97">
        <v>1</v>
      </c>
      <c r="AP97">
        <v>1</v>
      </c>
      <c r="AQ97">
        <v>0</v>
      </c>
      <c r="AR97" s="24">
        <f>(AM97*AO97+AN97*AP97)*(1+AQ97)</f>
        <v>14.39</v>
      </c>
      <c r="AS97" s="244"/>
      <c r="AT97" s="76" t="s">
        <v>88</v>
      </c>
      <c r="AU97" s="79"/>
      <c r="AV97" s="31" t="s">
        <v>26</v>
      </c>
      <c r="AW97" t="s">
        <v>9</v>
      </c>
      <c r="AX97">
        <v>4.24</v>
      </c>
      <c r="AY97">
        <v>10.15</v>
      </c>
      <c r="AZ97">
        <v>1</v>
      </c>
      <c r="BA97">
        <v>1</v>
      </c>
      <c r="BB97">
        <v>0</v>
      </c>
      <c r="BC97" s="24">
        <f t="shared" si="45"/>
        <v>14.39</v>
      </c>
      <c r="BD97" s="246"/>
      <c r="BE97" s="76" t="s">
        <v>88</v>
      </c>
      <c r="BF97" s="79"/>
      <c r="BG97" s="31" t="s">
        <v>26</v>
      </c>
      <c r="BH97" t="s">
        <v>9</v>
      </c>
      <c r="BI97">
        <v>4.24</v>
      </c>
      <c r="BJ97">
        <v>10.15</v>
      </c>
      <c r="BK97">
        <v>1</v>
      </c>
      <c r="BL97">
        <v>1</v>
      </c>
      <c r="BM97">
        <v>0</v>
      </c>
      <c r="BN97" s="24">
        <f t="shared" si="46"/>
        <v>14.39</v>
      </c>
    </row>
    <row r="98" spans="1:66" ht="23.25" customHeight="1" x14ac:dyDescent="0.3">
      <c r="A98" s="244"/>
      <c r="B98" s="13" t="s">
        <v>88</v>
      </c>
      <c r="C98" s="13"/>
      <c r="D98" s="31" t="s">
        <v>249</v>
      </c>
      <c r="E98" t="s">
        <v>30</v>
      </c>
      <c r="F98">
        <v>1.1200000000000001</v>
      </c>
      <c r="G98">
        <v>0.88</v>
      </c>
      <c r="H98">
        <v>1</v>
      </c>
      <c r="I98">
        <v>1</v>
      </c>
      <c r="J98">
        <v>0</v>
      </c>
      <c r="K98" s="24">
        <f t="shared" si="41"/>
        <v>2</v>
      </c>
      <c r="L98" s="244"/>
      <c r="M98" s="70" t="s">
        <v>88</v>
      </c>
      <c r="N98" s="70"/>
      <c r="O98" s="31" t="s">
        <v>249</v>
      </c>
      <c r="P98" t="s">
        <v>30</v>
      </c>
      <c r="Q98">
        <v>1.1200000000000001</v>
      </c>
      <c r="R98">
        <v>0.88</v>
      </c>
      <c r="S98">
        <v>1</v>
      </c>
      <c r="T98">
        <v>1</v>
      </c>
      <c r="U98">
        <v>0</v>
      </c>
      <c r="V98" s="24">
        <f>(Q98*S98+R98*T98)*(1+U98)</f>
        <v>2</v>
      </c>
      <c r="W98" s="244"/>
      <c r="X98" s="76" t="s">
        <v>88</v>
      </c>
      <c r="Y98" s="76"/>
      <c r="Z98" s="31" t="s">
        <v>249</v>
      </c>
      <c r="AA98" t="s">
        <v>30</v>
      </c>
      <c r="AB98">
        <v>1.1200000000000001</v>
      </c>
      <c r="AC98">
        <v>0.88</v>
      </c>
      <c r="AD98">
        <v>1</v>
      </c>
      <c r="AE98">
        <v>1</v>
      </c>
      <c r="AF98">
        <v>0</v>
      </c>
      <c r="AG98" s="24">
        <f t="shared" si="43"/>
        <v>2</v>
      </c>
      <c r="AH98" s="244"/>
      <c r="AI98" s="76" t="s">
        <v>88</v>
      </c>
      <c r="AJ98" s="79"/>
      <c r="AK98" s="31" t="s">
        <v>249</v>
      </c>
      <c r="AL98" t="s">
        <v>30</v>
      </c>
      <c r="AM98">
        <v>1.1200000000000001</v>
      </c>
      <c r="AN98">
        <v>0.88</v>
      </c>
      <c r="AO98">
        <v>1</v>
      </c>
      <c r="AP98">
        <v>1</v>
      </c>
      <c r="AQ98">
        <v>0</v>
      </c>
      <c r="AR98" s="24">
        <f>(AM98*AO98+AN98*AP98)*(1+AQ98)</f>
        <v>2</v>
      </c>
      <c r="AS98" s="244"/>
      <c r="AT98" s="76" t="s">
        <v>88</v>
      </c>
      <c r="AU98" s="79"/>
      <c r="AV98" s="31" t="s">
        <v>249</v>
      </c>
      <c r="AW98" t="s">
        <v>30</v>
      </c>
      <c r="AX98">
        <v>1.1200000000000001</v>
      </c>
      <c r="AY98">
        <v>0.88</v>
      </c>
      <c r="AZ98">
        <v>1</v>
      </c>
      <c r="BA98">
        <v>1</v>
      </c>
      <c r="BB98">
        <v>0</v>
      </c>
      <c r="BC98" s="24">
        <f t="shared" si="45"/>
        <v>2</v>
      </c>
      <c r="BD98" s="246"/>
      <c r="BE98" s="76" t="s">
        <v>88</v>
      </c>
      <c r="BF98" s="79"/>
      <c r="BG98" s="31" t="s">
        <v>249</v>
      </c>
      <c r="BH98" t="s">
        <v>30</v>
      </c>
      <c r="BI98">
        <v>1.1200000000000001</v>
      </c>
      <c r="BJ98">
        <v>0.88</v>
      </c>
      <c r="BK98">
        <v>1</v>
      </c>
      <c r="BL98">
        <v>1</v>
      </c>
      <c r="BM98">
        <v>0</v>
      </c>
      <c r="BN98" s="24">
        <f t="shared" si="46"/>
        <v>2</v>
      </c>
    </row>
    <row r="99" spans="1:66" ht="30" customHeight="1" x14ac:dyDescent="0.3">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x14ac:dyDescent="0.3">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x14ac:dyDescent="0.3">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3">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3">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x14ac:dyDescent="0.3">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x14ac:dyDescent="0.3">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x14ac:dyDescent="0.3">
      <c r="A106" s="245" t="s">
        <v>170</v>
      </c>
      <c r="B106" s="39" t="s">
        <v>84</v>
      </c>
      <c r="C106" s="39"/>
      <c r="D106" s="36" t="s">
        <v>36</v>
      </c>
      <c r="E106" s="19" t="s">
        <v>37</v>
      </c>
      <c r="F106" s="19">
        <v>0</v>
      </c>
      <c r="G106" s="19">
        <v>1.1000000000000001</v>
      </c>
      <c r="H106">
        <v>1</v>
      </c>
      <c r="I106">
        <v>1</v>
      </c>
      <c r="J106">
        <v>0</v>
      </c>
      <c r="K106" s="24">
        <f t="shared" si="47"/>
        <v>1.1000000000000001</v>
      </c>
      <c r="L106" s="245" t="s">
        <v>35</v>
      </c>
      <c r="M106" s="71" t="s">
        <v>84</v>
      </c>
      <c r="N106" s="71"/>
      <c r="O106" s="36" t="s">
        <v>36</v>
      </c>
      <c r="P106" s="19" t="s">
        <v>37</v>
      </c>
      <c r="Q106" s="19">
        <v>0</v>
      </c>
      <c r="R106" s="19">
        <v>1.1000000000000001</v>
      </c>
      <c r="S106">
        <v>1</v>
      </c>
      <c r="T106">
        <v>1</v>
      </c>
      <c r="U106">
        <v>0</v>
      </c>
      <c r="V106" s="24">
        <f t="shared" si="48"/>
        <v>1.1000000000000001</v>
      </c>
      <c r="W106" s="245" t="s">
        <v>35</v>
      </c>
      <c r="X106" s="73" t="s">
        <v>84</v>
      </c>
      <c r="Y106" s="73"/>
      <c r="Z106" s="36" t="s">
        <v>36</v>
      </c>
      <c r="AA106" s="19" t="s">
        <v>37</v>
      </c>
      <c r="AB106" s="19">
        <v>0</v>
      </c>
      <c r="AC106" s="19">
        <v>1.1000000000000001</v>
      </c>
      <c r="AD106">
        <v>1</v>
      </c>
      <c r="AE106">
        <v>1</v>
      </c>
      <c r="AF106">
        <v>0</v>
      </c>
      <c r="AG106" s="24">
        <f t="shared" si="49"/>
        <v>1.1000000000000001</v>
      </c>
      <c r="AH106" s="245" t="s">
        <v>228</v>
      </c>
      <c r="AI106" s="73" t="s">
        <v>84</v>
      </c>
      <c r="AJ106" s="80"/>
      <c r="AK106" s="36" t="s">
        <v>36</v>
      </c>
      <c r="AL106" s="19" t="s">
        <v>37</v>
      </c>
      <c r="AM106" s="19">
        <v>0</v>
      </c>
      <c r="AN106" s="19">
        <v>1.1000000000000001</v>
      </c>
      <c r="AO106">
        <v>1</v>
      </c>
      <c r="AP106">
        <v>1</v>
      </c>
      <c r="AQ106">
        <v>0</v>
      </c>
      <c r="AR106" s="24">
        <f t="shared" si="50"/>
        <v>1.1000000000000001</v>
      </c>
      <c r="AS106" s="245" t="s">
        <v>228</v>
      </c>
      <c r="AT106" s="73" t="s">
        <v>84</v>
      </c>
      <c r="AU106" s="80"/>
      <c r="AV106" s="36" t="s">
        <v>36</v>
      </c>
      <c r="AW106" s="19" t="s">
        <v>37</v>
      </c>
      <c r="AX106" s="19">
        <v>0</v>
      </c>
      <c r="AY106" s="19">
        <v>1.1000000000000001</v>
      </c>
      <c r="AZ106">
        <v>1</v>
      </c>
      <c r="BA106">
        <v>1</v>
      </c>
      <c r="BB106">
        <v>0</v>
      </c>
      <c r="BC106" s="24">
        <f t="shared" si="51"/>
        <v>1.1000000000000001</v>
      </c>
      <c r="BD106" s="245"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x14ac:dyDescent="0.3">
      <c r="A107" s="246"/>
      <c r="B107" s="39" t="s">
        <v>84</v>
      </c>
      <c r="C107" s="40"/>
      <c r="D107" s="36" t="s">
        <v>38</v>
      </c>
      <c r="E107" s="19" t="s">
        <v>6</v>
      </c>
      <c r="F107" s="19">
        <v>0.09</v>
      </c>
      <c r="G107" s="19">
        <v>0.71</v>
      </c>
      <c r="H107">
        <v>1</v>
      </c>
      <c r="I107">
        <v>1</v>
      </c>
      <c r="J107">
        <v>0</v>
      </c>
      <c r="K107" s="24">
        <f t="shared" si="47"/>
        <v>0.79999999999999993</v>
      </c>
      <c r="L107" s="246"/>
      <c r="M107" s="71" t="s">
        <v>84</v>
      </c>
      <c r="N107" s="72"/>
      <c r="O107" s="36" t="s">
        <v>38</v>
      </c>
      <c r="P107" s="19" t="s">
        <v>6</v>
      </c>
      <c r="Q107" s="19">
        <v>0.09</v>
      </c>
      <c r="R107" s="19">
        <v>0.71</v>
      </c>
      <c r="S107">
        <v>1</v>
      </c>
      <c r="T107">
        <v>1</v>
      </c>
      <c r="U107">
        <v>0</v>
      </c>
      <c r="V107" s="24">
        <f t="shared" si="48"/>
        <v>0.79999999999999993</v>
      </c>
      <c r="W107" s="246"/>
      <c r="X107" s="73" t="s">
        <v>84</v>
      </c>
      <c r="Y107" s="74"/>
      <c r="Z107" s="36" t="s">
        <v>38</v>
      </c>
      <c r="AA107" s="19" t="s">
        <v>6</v>
      </c>
      <c r="AB107" s="19">
        <v>0.09</v>
      </c>
      <c r="AC107" s="19">
        <v>0.71</v>
      </c>
      <c r="AD107">
        <v>1</v>
      </c>
      <c r="AE107">
        <v>1</v>
      </c>
      <c r="AF107">
        <v>0</v>
      </c>
      <c r="AG107" s="24">
        <f t="shared" si="49"/>
        <v>0.79999999999999993</v>
      </c>
      <c r="AH107" s="246"/>
      <c r="AI107" s="73" t="s">
        <v>84</v>
      </c>
      <c r="AJ107" s="81"/>
      <c r="AK107" s="36" t="s">
        <v>38</v>
      </c>
      <c r="AL107" s="19" t="s">
        <v>6</v>
      </c>
      <c r="AM107" s="19">
        <v>0.09</v>
      </c>
      <c r="AN107" s="19">
        <v>0.71</v>
      </c>
      <c r="AO107">
        <v>1</v>
      </c>
      <c r="AP107">
        <v>1</v>
      </c>
      <c r="AQ107">
        <v>0</v>
      </c>
      <c r="AR107" s="24">
        <f t="shared" si="50"/>
        <v>0.79999999999999993</v>
      </c>
      <c r="AS107" s="246"/>
      <c r="AT107" s="73" t="s">
        <v>84</v>
      </c>
      <c r="AU107" s="81"/>
      <c r="AV107" s="36" t="s">
        <v>38</v>
      </c>
      <c r="AW107" s="19" t="s">
        <v>6</v>
      </c>
      <c r="AX107" s="19">
        <v>0.09</v>
      </c>
      <c r="AY107" s="19">
        <v>0.71</v>
      </c>
      <c r="AZ107">
        <v>1</v>
      </c>
      <c r="BA107">
        <v>1</v>
      </c>
      <c r="BB107">
        <v>0</v>
      </c>
      <c r="BC107" s="24">
        <f t="shared" si="51"/>
        <v>0.79999999999999993</v>
      </c>
      <c r="BD107" s="246"/>
      <c r="BE107" s="73" t="s">
        <v>84</v>
      </c>
      <c r="BF107" s="81"/>
      <c r="BG107" s="36" t="s">
        <v>38</v>
      </c>
      <c r="BH107" s="19" t="s">
        <v>6</v>
      </c>
      <c r="BI107" s="19">
        <v>0.09</v>
      </c>
      <c r="BJ107" s="19">
        <v>0.71</v>
      </c>
      <c r="BK107">
        <v>1</v>
      </c>
      <c r="BL107">
        <v>1</v>
      </c>
      <c r="BM107">
        <v>0</v>
      </c>
      <c r="BN107" s="24">
        <f t="shared" si="52"/>
        <v>0.79999999999999993</v>
      </c>
    </row>
    <row r="108" spans="1:66" s="19" customFormat="1" ht="15" customHeight="1" x14ac:dyDescent="0.3">
      <c r="A108" s="246"/>
      <c r="B108" s="39" t="s">
        <v>84</v>
      </c>
      <c r="C108" s="40"/>
      <c r="D108" s="36" t="s">
        <v>39</v>
      </c>
      <c r="E108" s="19" t="s">
        <v>40</v>
      </c>
      <c r="F108" s="19">
        <v>1.02</v>
      </c>
      <c r="G108" s="19">
        <v>0</v>
      </c>
      <c r="H108">
        <v>1</v>
      </c>
      <c r="I108">
        <v>1</v>
      </c>
      <c r="J108">
        <v>0</v>
      </c>
      <c r="K108" s="24">
        <f t="shared" si="47"/>
        <v>1.02</v>
      </c>
      <c r="L108" s="246"/>
      <c r="M108" s="71" t="s">
        <v>84</v>
      </c>
      <c r="N108" s="72"/>
      <c r="O108" s="36" t="s">
        <v>39</v>
      </c>
      <c r="P108" s="19" t="s">
        <v>40</v>
      </c>
      <c r="Q108" s="19">
        <v>1.02</v>
      </c>
      <c r="R108" s="19">
        <v>0</v>
      </c>
      <c r="S108">
        <v>1</v>
      </c>
      <c r="T108">
        <v>1</v>
      </c>
      <c r="U108">
        <v>0</v>
      </c>
      <c r="V108" s="24">
        <f t="shared" si="48"/>
        <v>1.02</v>
      </c>
      <c r="W108" s="246"/>
      <c r="X108" s="73" t="s">
        <v>84</v>
      </c>
      <c r="Y108" s="74"/>
      <c r="Z108" s="36" t="s">
        <v>39</v>
      </c>
      <c r="AA108" s="19" t="s">
        <v>40</v>
      </c>
      <c r="AB108" s="19">
        <v>1.02</v>
      </c>
      <c r="AC108" s="19">
        <v>0</v>
      </c>
      <c r="AD108">
        <v>1</v>
      </c>
      <c r="AE108">
        <v>1</v>
      </c>
      <c r="AF108">
        <v>0</v>
      </c>
      <c r="AG108" s="24">
        <f t="shared" si="49"/>
        <v>1.02</v>
      </c>
      <c r="AH108" s="246"/>
      <c r="AI108" s="73" t="s">
        <v>84</v>
      </c>
      <c r="AJ108" s="81"/>
      <c r="AK108" s="36" t="s">
        <v>39</v>
      </c>
      <c r="AL108" s="19" t="s">
        <v>40</v>
      </c>
      <c r="AM108" s="19">
        <v>1.02</v>
      </c>
      <c r="AN108" s="19">
        <v>0</v>
      </c>
      <c r="AO108">
        <v>1</v>
      </c>
      <c r="AP108">
        <v>1</v>
      </c>
      <c r="AQ108">
        <v>0</v>
      </c>
      <c r="AR108" s="24">
        <f t="shared" si="50"/>
        <v>1.02</v>
      </c>
      <c r="AS108" s="246"/>
      <c r="AT108" s="73" t="s">
        <v>84</v>
      </c>
      <c r="AU108" s="81"/>
      <c r="AV108" s="36" t="s">
        <v>39</v>
      </c>
      <c r="AW108" s="19" t="s">
        <v>40</v>
      </c>
      <c r="AX108" s="19">
        <v>1.02</v>
      </c>
      <c r="AY108" s="19">
        <v>0</v>
      </c>
      <c r="AZ108">
        <v>1</v>
      </c>
      <c r="BA108">
        <v>1</v>
      </c>
      <c r="BB108">
        <v>0</v>
      </c>
      <c r="BC108" s="24">
        <f t="shared" si="51"/>
        <v>1.02</v>
      </c>
      <c r="BD108" s="246"/>
      <c r="BE108" s="73" t="s">
        <v>84</v>
      </c>
      <c r="BF108" s="81"/>
      <c r="BG108" s="36" t="s">
        <v>39</v>
      </c>
      <c r="BH108" s="19" t="s">
        <v>40</v>
      </c>
      <c r="BI108" s="19">
        <v>1.02</v>
      </c>
      <c r="BJ108" s="19">
        <v>0</v>
      </c>
      <c r="BK108">
        <v>1</v>
      </c>
      <c r="BL108">
        <v>1</v>
      </c>
      <c r="BM108">
        <v>0</v>
      </c>
      <c r="BN108" s="24">
        <f t="shared" si="52"/>
        <v>1.02</v>
      </c>
    </row>
    <row r="109" spans="1:66" s="19" customFormat="1" ht="30" customHeight="1" x14ac:dyDescent="0.3">
      <c r="A109" s="246"/>
      <c r="B109" s="39" t="s">
        <v>84</v>
      </c>
      <c r="C109" s="40"/>
      <c r="D109" s="36" t="s">
        <v>55</v>
      </c>
      <c r="E109" s="19" t="s">
        <v>27</v>
      </c>
      <c r="F109" s="19">
        <v>0.17</v>
      </c>
      <c r="G109" s="19">
        <v>0</v>
      </c>
      <c r="H109">
        <v>1</v>
      </c>
      <c r="I109">
        <v>1</v>
      </c>
      <c r="J109">
        <v>0</v>
      </c>
      <c r="K109" s="24">
        <f t="shared" si="47"/>
        <v>0.17</v>
      </c>
      <c r="L109" s="246"/>
      <c r="M109" s="71" t="s">
        <v>84</v>
      </c>
      <c r="N109" s="72"/>
      <c r="O109" s="36" t="s">
        <v>55</v>
      </c>
      <c r="P109" s="19" t="s">
        <v>27</v>
      </c>
      <c r="Q109" s="19">
        <v>0.17</v>
      </c>
      <c r="R109" s="19">
        <v>0</v>
      </c>
      <c r="S109">
        <v>1</v>
      </c>
      <c r="T109">
        <v>1</v>
      </c>
      <c r="U109">
        <v>0</v>
      </c>
      <c r="V109" s="24">
        <f t="shared" si="48"/>
        <v>0.17</v>
      </c>
      <c r="W109" s="246"/>
      <c r="X109" s="73" t="s">
        <v>84</v>
      </c>
      <c r="Y109" s="74"/>
      <c r="Z109" s="36" t="s">
        <v>55</v>
      </c>
      <c r="AA109" s="19" t="s">
        <v>27</v>
      </c>
      <c r="AB109" s="19">
        <v>0.17</v>
      </c>
      <c r="AC109" s="19">
        <v>0</v>
      </c>
      <c r="AD109">
        <v>1</v>
      </c>
      <c r="AE109">
        <v>1</v>
      </c>
      <c r="AF109">
        <v>0</v>
      </c>
      <c r="AG109" s="24">
        <f t="shared" si="49"/>
        <v>0.17</v>
      </c>
      <c r="AH109" s="246"/>
      <c r="AI109" s="73" t="s">
        <v>84</v>
      </c>
      <c r="AJ109" s="81"/>
      <c r="AK109" s="36" t="s">
        <v>55</v>
      </c>
      <c r="AL109" s="19" t="s">
        <v>27</v>
      </c>
      <c r="AM109" s="19">
        <v>0.17</v>
      </c>
      <c r="AN109" s="19">
        <v>0</v>
      </c>
      <c r="AO109">
        <v>1</v>
      </c>
      <c r="AP109">
        <v>1</v>
      </c>
      <c r="AQ109">
        <v>0</v>
      </c>
      <c r="AR109" s="24">
        <f t="shared" si="50"/>
        <v>0.17</v>
      </c>
      <c r="AS109" s="246"/>
      <c r="AT109" s="73" t="s">
        <v>84</v>
      </c>
      <c r="AU109" s="81"/>
      <c r="AV109" s="36" t="s">
        <v>55</v>
      </c>
      <c r="AW109" s="19" t="s">
        <v>27</v>
      </c>
      <c r="AX109" s="19">
        <v>0.17</v>
      </c>
      <c r="AY109" s="19">
        <v>0</v>
      </c>
      <c r="AZ109">
        <v>1</v>
      </c>
      <c r="BA109">
        <v>1</v>
      </c>
      <c r="BB109">
        <v>0</v>
      </c>
      <c r="BC109" s="24">
        <f t="shared" si="51"/>
        <v>0.17</v>
      </c>
      <c r="BD109" s="246"/>
      <c r="BE109" s="73" t="s">
        <v>84</v>
      </c>
      <c r="BF109" s="81"/>
      <c r="BG109" s="36" t="s">
        <v>55</v>
      </c>
      <c r="BH109" s="19" t="s">
        <v>27</v>
      </c>
      <c r="BI109" s="19">
        <v>0.17</v>
      </c>
      <c r="BJ109" s="19">
        <v>0</v>
      </c>
      <c r="BK109">
        <v>1</v>
      </c>
      <c r="BL109">
        <v>1</v>
      </c>
      <c r="BM109">
        <v>0</v>
      </c>
      <c r="BN109" s="24">
        <f t="shared" si="52"/>
        <v>0.17</v>
      </c>
    </row>
    <row r="110" spans="1:66" s="19" customFormat="1" ht="30" customHeight="1" x14ac:dyDescent="0.3">
      <c r="A110" s="246"/>
      <c r="B110" s="39" t="s">
        <v>84</v>
      </c>
      <c r="C110" s="40"/>
      <c r="D110" s="36" t="s">
        <v>41</v>
      </c>
      <c r="E110" s="19" t="s">
        <v>9</v>
      </c>
      <c r="F110" s="19">
        <v>0.5</v>
      </c>
      <c r="G110" s="19">
        <v>0.74</v>
      </c>
      <c r="H110">
        <v>1</v>
      </c>
      <c r="I110">
        <v>1</v>
      </c>
      <c r="J110">
        <v>0</v>
      </c>
      <c r="K110" s="24">
        <f t="shared" si="47"/>
        <v>1.24</v>
      </c>
      <c r="L110" s="246"/>
      <c r="M110" s="71" t="s">
        <v>84</v>
      </c>
      <c r="N110" s="72"/>
      <c r="O110" s="36" t="s">
        <v>41</v>
      </c>
      <c r="P110" s="19" t="s">
        <v>9</v>
      </c>
      <c r="Q110" s="19">
        <v>0.5</v>
      </c>
      <c r="R110" s="19">
        <v>0.74</v>
      </c>
      <c r="S110">
        <v>1</v>
      </c>
      <c r="T110">
        <v>1</v>
      </c>
      <c r="U110">
        <v>0</v>
      </c>
      <c r="V110" s="24">
        <f t="shared" si="48"/>
        <v>1.24</v>
      </c>
      <c r="W110" s="246"/>
      <c r="X110" s="73" t="s">
        <v>84</v>
      </c>
      <c r="Y110" s="74"/>
      <c r="Z110" s="36" t="s">
        <v>41</v>
      </c>
      <c r="AA110" s="19" t="s">
        <v>9</v>
      </c>
      <c r="AB110" s="19">
        <v>0.5</v>
      </c>
      <c r="AC110" s="19">
        <v>0.74</v>
      </c>
      <c r="AD110">
        <v>1</v>
      </c>
      <c r="AE110">
        <v>1</v>
      </c>
      <c r="AF110">
        <v>0</v>
      </c>
      <c r="AG110" s="24">
        <f t="shared" si="49"/>
        <v>1.24</v>
      </c>
      <c r="AH110" s="246"/>
      <c r="AI110" s="73" t="s">
        <v>84</v>
      </c>
      <c r="AJ110" s="81"/>
      <c r="AK110" s="36" t="s">
        <v>41</v>
      </c>
      <c r="AL110" s="19" t="s">
        <v>9</v>
      </c>
      <c r="AM110" s="19">
        <v>0.5</v>
      </c>
      <c r="AN110" s="19">
        <v>0.74</v>
      </c>
      <c r="AO110">
        <v>1</v>
      </c>
      <c r="AP110">
        <v>1</v>
      </c>
      <c r="AQ110">
        <v>0</v>
      </c>
      <c r="AR110" s="24">
        <f t="shared" si="50"/>
        <v>1.24</v>
      </c>
      <c r="AS110" s="246"/>
      <c r="AT110" s="73" t="s">
        <v>84</v>
      </c>
      <c r="AU110" s="81"/>
      <c r="AV110" s="36" t="s">
        <v>41</v>
      </c>
      <c r="AW110" s="19" t="s">
        <v>9</v>
      </c>
      <c r="AX110" s="19">
        <v>0.5</v>
      </c>
      <c r="AY110" s="19">
        <v>0.74</v>
      </c>
      <c r="AZ110">
        <v>1</v>
      </c>
      <c r="BA110">
        <v>1</v>
      </c>
      <c r="BB110">
        <v>0</v>
      </c>
      <c r="BC110" s="24">
        <f t="shared" si="51"/>
        <v>1.24</v>
      </c>
      <c r="BD110" s="246"/>
      <c r="BE110" s="73" t="s">
        <v>84</v>
      </c>
      <c r="BF110" s="81"/>
      <c r="BG110" s="36" t="s">
        <v>41</v>
      </c>
      <c r="BH110" s="19" t="s">
        <v>9</v>
      </c>
      <c r="BI110" s="19">
        <v>0.5</v>
      </c>
      <c r="BJ110" s="19">
        <v>0.74</v>
      </c>
      <c r="BK110">
        <v>1</v>
      </c>
      <c r="BL110">
        <v>1</v>
      </c>
      <c r="BM110">
        <v>0</v>
      </c>
      <c r="BN110" s="24">
        <f t="shared" si="52"/>
        <v>1.24</v>
      </c>
    </row>
    <row r="111" spans="1:66" s="19" customFormat="1" ht="45" customHeight="1" x14ac:dyDescent="0.3">
      <c r="A111" s="246"/>
      <c r="B111" s="39" t="s">
        <v>84</v>
      </c>
      <c r="C111" s="40"/>
      <c r="D111" s="36" t="s">
        <v>43</v>
      </c>
      <c r="E111" s="19" t="s">
        <v>42</v>
      </c>
      <c r="F111" s="19">
        <v>1.48</v>
      </c>
      <c r="G111" s="19">
        <v>1.64</v>
      </c>
      <c r="H111">
        <v>1</v>
      </c>
      <c r="I111">
        <v>1</v>
      </c>
      <c r="J111">
        <v>0</v>
      </c>
      <c r="K111" s="24">
        <f t="shared" si="47"/>
        <v>3.12</v>
      </c>
      <c r="L111" s="246"/>
      <c r="M111" s="71" t="s">
        <v>84</v>
      </c>
      <c r="N111" s="72"/>
      <c r="O111" s="36" t="s">
        <v>43</v>
      </c>
      <c r="P111" s="19" t="s">
        <v>42</v>
      </c>
      <c r="Q111" s="19">
        <v>1.48</v>
      </c>
      <c r="R111" s="19">
        <v>1.64</v>
      </c>
      <c r="S111">
        <v>1</v>
      </c>
      <c r="T111">
        <v>1</v>
      </c>
      <c r="U111">
        <v>0</v>
      </c>
      <c r="V111" s="24">
        <f t="shared" si="48"/>
        <v>3.12</v>
      </c>
      <c r="W111" s="246"/>
      <c r="X111" s="73" t="s">
        <v>84</v>
      </c>
      <c r="Y111" s="74"/>
      <c r="Z111" s="36" t="s">
        <v>43</v>
      </c>
      <c r="AA111" s="19" t="s">
        <v>42</v>
      </c>
      <c r="AB111" s="19">
        <v>1.48</v>
      </c>
      <c r="AC111" s="19">
        <v>1.64</v>
      </c>
      <c r="AD111">
        <v>1</v>
      </c>
      <c r="AE111">
        <v>1</v>
      </c>
      <c r="AF111">
        <v>0</v>
      </c>
      <c r="AG111" s="24">
        <f t="shared" si="49"/>
        <v>3.12</v>
      </c>
      <c r="AH111" s="246"/>
      <c r="AI111" s="73" t="s">
        <v>84</v>
      </c>
      <c r="AJ111" s="81"/>
      <c r="AK111" s="36" t="s">
        <v>43</v>
      </c>
      <c r="AL111" s="19" t="s">
        <v>42</v>
      </c>
      <c r="AM111" s="19">
        <v>1.48</v>
      </c>
      <c r="AN111" s="19">
        <v>1.64</v>
      </c>
      <c r="AO111">
        <v>1</v>
      </c>
      <c r="AP111">
        <v>1</v>
      </c>
      <c r="AQ111">
        <v>0</v>
      </c>
      <c r="AR111" s="24">
        <f t="shared" si="50"/>
        <v>3.12</v>
      </c>
      <c r="AS111" s="246"/>
      <c r="AT111" s="73" t="s">
        <v>84</v>
      </c>
      <c r="AU111" s="81"/>
      <c r="AV111" s="36" t="s">
        <v>43</v>
      </c>
      <c r="AW111" s="19" t="s">
        <v>42</v>
      </c>
      <c r="AX111" s="19">
        <v>1.48</v>
      </c>
      <c r="AY111" s="19">
        <v>1.64</v>
      </c>
      <c r="AZ111">
        <v>1</v>
      </c>
      <c r="BA111">
        <v>1</v>
      </c>
      <c r="BB111">
        <v>0</v>
      </c>
      <c r="BC111" s="24">
        <f t="shared" si="51"/>
        <v>3.12</v>
      </c>
      <c r="BD111" s="246"/>
      <c r="BE111" s="73" t="s">
        <v>84</v>
      </c>
      <c r="BF111" s="81"/>
      <c r="BG111" s="36" t="s">
        <v>43</v>
      </c>
      <c r="BH111" s="19" t="s">
        <v>42</v>
      </c>
      <c r="BI111" s="19">
        <v>1.48</v>
      </c>
      <c r="BJ111" s="19">
        <v>1.64</v>
      </c>
      <c r="BK111">
        <v>1</v>
      </c>
      <c r="BL111">
        <v>1</v>
      </c>
      <c r="BM111">
        <v>0</v>
      </c>
      <c r="BN111" s="24">
        <f t="shared" si="52"/>
        <v>3.12</v>
      </c>
    </row>
    <row r="112" spans="1:66" s="19" customFormat="1" ht="30" customHeight="1" x14ac:dyDescent="0.3">
      <c r="A112" s="246"/>
      <c r="B112" s="39" t="s">
        <v>84</v>
      </c>
      <c r="C112" s="40"/>
      <c r="D112" s="36" t="s">
        <v>44</v>
      </c>
      <c r="E112" s="19" t="s">
        <v>21</v>
      </c>
      <c r="F112" s="19">
        <v>0.14000000000000001</v>
      </c>
      <c r="G112" s="19">
        <v>0.08</v>
      </c>
      <c r="H112">
        <v>1</v>
      </c>
      <c r="I112">
        <v>1</v>
      </c>
      <c r="J112">
        <v>0</v>
      </c>
      <c r="K112" s="24">
        <f t="shared" si="47"/>
        <v>0.22000000000000003</v>
      </c>
      <c r="L112" s="246"/>
      <c r="M112" s="71" t="s">
        <v>84</v>
      </c>
      <c r="N112" s="72"/>
      <c r="O112" s="36" t="s">
        <v>44</v>
      </c>
      <c r="P112" s="19" t="s">
        <v>21</v>
      </c>
      <c r="Q112" s="19">
        <v>0.14000000000000001</v>
      </c>
      <c r="R112" s="19">
        <v>0.08</v>
      </c>
      <c r="S112">
        <v>1</v>
      </c>
      <c r="T112">
        <v>1</v>
      </c>
      <c r="U112">
        <v>0</v>
      </c>
      <c r="V112" s="24">
        <f t="shared" si="48"/>
        <v>0.22000000000000003</v>
      </c>
      <c r="W112" s="246"/>
      <c r="X112" s="73" t="s">
        <v>84</v>
      </c>
      <c r="Y112" s="74"/>
      <c r="Z112" s="36" t="s">
        <v>44</v>
      </c>
      <c r="AA112" s="19" t="s">
        <v>21</v>
      </c>
      <c r="AB112" s="19">
        <v>0.14000000000000001</v>
      </c>
      <c r="AC112" s="19">
        <v>0.08</v>
      </c>
      <c r="AD112">
        <v>1</v>
      </c>
      <c r="AE112">
        <v>1</v>
      </c>
      <c r="AF112">
        <v>0</v>
      </c>
      <c r="AG112" s="24">
        <f t="shared" si="49"/>
        <v>0.22000000000000003</v>
      </c>
      <c r="AH112" s="246"/>
      <c r="AI112" s="73" t="s">
        <v>84</v>
      </c>
      <c r="AJ112" s="81"/>
      <c r="AK112" s="36" t="s">
        <v>44</v>
      </c>
      <c r="AL112" s="19" t="s">
        <v>21</v>
      </c>
      <c r="AM112" s="19">
        <v>0.14000000000000001</v>
      </c>
      <c r="AN112" s="19">
        <v>0.08</v>
      </c>
      <c r="AO112">
        <v>1</v>
      </c>
      <c r="AP112">
        <v>1</v>
      </c>
      <c r="AQ112">
        <v>0</v>
      </c>
      <c r="AR112" s="24">
        <f t="shared" si="50"/>
        <v>0.22000000000000003</v>
      </c>
      <c r="AS112" s="246"/>
      <c r="AT112" s="73" t="s">
        <v>84</v>
      </c>
      <c r="AU112" s="81"/>
      <c r="AV112" s="36" t="s">
        <v>44</v>
      </c>
      <c r="AW112" s="19" t="s">
        <v>21</v>
      </c>
      <c r="AX112" s="19">
        <v>0.14000000000000001</v>
      </c>
      <c r="AY112" s="19">
        <v>0.08</v>
      </c>
      <c r="AZ112">
        <v>1</v>
      </c>
      <c r="BA112">
        <v>1</v>
      </c>
      <c r="BB112">
        <v>0</v>
      </c>
      <c r="BC112" s="24">
        <f t="shared" si="51"/>
        <v>0.22000000000000003</v>
      </c>
      <c r="BD112" s="246"/>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x14ac:dyDescent="0.3">
      <c r="A113" s="246"/>
      <c r="B113" s="39" t="s">
        <v>84</v>
      </c>
      <c r="C113" s="40"/>
      <c r="D113" s="36" t="s">
        <v>45</v>
      </c>
      <c r="E113" s="19" t="s">
        <v>9</v>
      </c>
      <c r="F113" s="19">
        <v>0.02</v>
      </c>
      <c r="G113" s="19">
        <v>0.12</v>
      </c>
      <c r="H113">
        <v>1</v>
      </c>
      <c r="I113">
        <v>1</v>
      </c>
      <c r="J113">
        <v>0</v>
      </c>
      <c r="K113" s="24">
        <f t="shared" si="47"/>
        <v>0.13999999999999999</v>
      </c>
      <c r="L113" s="246"/>
      <c r="M113" s="71" t="s">
        <v>84</v>
      </c>
      <c r="N113" s="72"/>
      <c r="O113" s="36" t="s">
        <v>45</v>
      </c>
      <c r="P113" s="19" t="s">
        <v>9</v>
      </c>
      <c r="Q113" s="19">
        <v>0.02</v>
      </c>
      <c r="R113" s="19">
        <v>0.12</v>
      </c>
      <c r="S113">
        <v>1</v>
      </c>
      <c r="T113">
        <v>1</v>
      </c>
      <c r="U113">
        <v>0</v>
      </c>
      <c r="V113" s="24">
        <f t="shared" si="48"/>
        <v>0.13999999999999999</v>
      </c>
      <c r="W113" s="246"/>
      <c r="X113" s="73" t="s">
        <v>84</v>
      </c>
      <c r="Y113" s="74"/>
      <c r="Z113" s="36" t="s">
        <v>45</v>
      </c>
      <c r="AA113" s="19" t="s">
        <v>9</v>
      </c>
      <c r="AB113" s="19">
        <v>0.02</v>
      </c>
      <c r="AC113" s="19">
        <v>0.12</v>
      </c>
      <c r="AD113">
        <v>1</v>
      </c>
      <c r="AE113">
        <v>1</v>
      </c>
      <c r="AF113">
        <v>0</v>
      </c>
      <c r="AG113" s="24">
        <f t="shared" si="49"/>
        <v>0.13999999999999999</v>
      </c>
      <c r="AH113" s="246"/>
      <c r="AI113" s="73" t="s">
        <v>84</v>
      </c>
      <c r="AJ113" s="81"/>
      <c r="AK113" s="36" t="s">
        <v>45</v>
      </c>
      <c r="AL113" s="19" t="s">
        <v>9</v>
      </c>
      <c r="AM113" s="19">
        <v>0.02</v>
      </c>
      <c r="AN113" s="19">
        <v>0.12</v>
      </c>
      <c r="AO113">
        <v>1</v>
      </c>
      <c r="AP113">
        <v>1</v>
      </c>
      <c r="AQ113">
        <v>0</v>
      </c>
      <c r="AR113" s="24">
        <f t="shared" si="50"/>
        <v>0.13999999999999999</v>
      </c>
      <c r="AS113" s="246"/>
      <c r="AT113" s="73" t="s">
        <v>84</v>
      </c>
      <c r="AU113" s="81"/>
      <c r="AV113" s="36" t="s">
        <v>45</v>
      </c>
      <c r="AW113" s="19" t="s">
        <v>9</v>
      </c>
      <c r="AX113" s="19">
        <v>0.02</v>
      </c>
      <c r="AY113" s="19">
        <v>0.12</v>
      </c>
      <c r="AZ113">
        <v>1</v>
      </c>
      <c r="BA113">
        <v>1</v>
      </c>
      <c r="BB113">
        <v>0</v>
      </c>
      <c r="BC113" s="24">
        <f t="shared" si="51"/>
        <v>0.13999999999999999</v>
      </c>
      <c r="BD113" s="246"/>
      <c r="BE113" s="73" t="s">
        <v>84</v>
      </c>
      <c r="BF113" s="81"/>
      <c r="BG113" s="36" t="s">
        <v>45</v>
      </c>
      <c r="BH113" s="19" t="s">
        <v>9</v>
      </c>
      <c r="BI113" s="19">
        <v>0.02</v>
      </c>
      <c r="BJ113" s="19">
        <v>0.12</v>
      </c>
      <c r="BK113">
        <v>1</v>
      </c>
      <c r="BL113">
        <v>1</v>
      </c>
      <c r="BM113">
        <v>0</v>
      </c>
      <c r="BN113" s="24">
        <f t="shared" si="52"/>
        <v>0.13999999999999999</v>
      </c>
    </row>
    <row r="114" spans="1:66" s="19" customFormat="1" ht="28.8" x14ac:dyDescent="0.3">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x14ac:dyDescent="0.3">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x14ac:dyDescent="0.3">
      <c r="K116" s="24">
        <f t="shared" si="47"/>
        <v>0</v>
      </c>
    </row>
    <row r="117" spans="1:66" x14ac:dyDescent="0.3">
      <c r="K117" s="24">
        <f t="shared" si="47"/>
        <v>0</v>
      </c>
    </row>
    <row r="118" spans="1:66" s="19" customFormat="1" x14ac:dyDescent="0.3">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3">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3">
      <c r="A120" s="245"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5" t="s">
        <v>221</v>
      </c>
      <c r="M120" s="80">
        <v>92910300300</v>
      </c>
      <c r="N120" s="80">
        <v>10</v>
      </c>
      <c r="O120" s="36" t="s">
        <v>11</v>
      </c>
      <c r="P120" s="19" t="s">
        <v>9</v>
      </c>
      <c r="Q120">
        <v>0.33</v>
      </c>
      <c r="R120">
        <v>0.3</v>
      </c>
      <c r="S120">
        <v>1</v>
      </c>
      <c r="T120">
        <v>1</v>
      </c>
      <c r="U120">
        <v>0.38100000000000001</v>
      </c>
      <c r="V120" s="24">
        <f>(Q120*S120+R120*T120)*(1+U120)</f>
        <v>0.87002999999999997</v>
      </c>
      <c r="W120" s="245" t="s">
        <v>221</v>
      </c>
      <c r="X120" s="80">
        <v>92910300300</v>
      </c>
      <c r="Y120" s="80">
        <v>10</v>
      </c>
      <c r="Z120" s="36" t="s">
        <v>11</v>
      </c>
      <c r="AA120" s="19" t="s">
        <v>9</v>
      </c>
      <c r="AB120">
        <v>0.33</v>
      </c>
      <c r="AC120">
        <v>0.3</v>
      </c>
      <c r="AD120">
        <v>1</v>
      </c>
      <c r="AE120">
        <v>1</v>
      </c>
      <c r="AF120">
        <v>0.38100000000000001</v>
      </c>
      <c r="AG120" s="24">
        <f>(AB120*AD120+AC120*AE120)*(1+AF120)</f>
        <v>0.87002999999999997</v>
      </c>
      <c r="AH120" s="245" t="s">
        <v>221</v>
      </c>
      <c r="AI120" s="80">
        <v>92910300300</v>
      </c>
      <c r="AJ120" s="80">
        <v>11</v>
      </c>
      <c r="AK120" s="36" t="s">
        <v>11</v>
      </c>
      <c r="AL120" s="19" t="s">
        <v>9</v>
      </c>
      <c r="AM120">
        <v>0.33</v>
      </c>
      <c r="AN120">
        <v>0.3</v>
      </c>
      <c r="AO120">
        <v>1</v>
      </c>
      <c r="AP120">
        <v>1</v>
      </c>
      <c r="AQ120">
        <v>0.38100000000000001</v>
      </c>
      <c r="AR120" s="24">
        <f>(AM120*AO120+AN120*AP120)*(1+AQ120)</f>
        <v>0.87002999999999997</v>
      </c>
      <c r="AS120" s="245" t="s">
        <v>221</v>
      </c>
      <c r="AT120" s="80">
        <v>92910300300</v>
      </c>
      <c r="AU120" s="80">
        <v>10</v>
      </c>
      <c r="AV120" s="36" t="s">
        <v>11</v>
      </c>
      <c r="AW120" s="19" t="s">
        <v>9</v>
      </c>
      <c r="AX120">
        <v>0.33</v>
      </c>
      <c r="AY120">
        <v>0.3</v>
      </c>
      <c r="AZ120">
        <v>1</v>
      </c>
      <c r="BA120">
        <v>1</v>
      </c>
      <c r="BB120">
        <v>0.38100000000000001</v>
      </c>
      <c r="BC120" s="24">
        <f>(AX120*AZ120+AY120*BA120)*(1+BB120)</f>
        <v>0.87002999999999997</v>
      </c>
      <c r="BD120" s="245"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x14ac:dyDescent="0.3">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x14ac:dyDescent="0.3">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x14ac:dyDescent="0.3">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x14ac:dyDescent="0.3">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x14ac:dyDescent="0.3">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x14ac:dyDescent="0.3">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x14ac:dyDescent="0.3">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3">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3">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x14ac:dyDescent="0.3">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x14ac:dyDescent="0.3">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x14ac:dyDescent="0.3">
      <c r="A132" s="245" t="s">
        <v>223</v>
      </c>
      <c r="B132" s="39"/>
      <c r="C132" s="39"/>
      <c r="D132" s="36" t="s">
        <v>36</v>
      </c>
      <c r="E132" s="19" t="s">
        <v>37</v>
      </c>
      <c r="F132" s="19">
        <v>0</v>
      </c>
      <c r="G132" s="19">
        <v>0</v>
      </c>
      <c r="H132">
        <v>1</v>
      </c>
      <c r="I132">
        <v>1</v>
      </c>
      <c r="J132">
        <v>0</v>
      </c>
      <c r="K132" s="24">
        <f t="shared" si="54"/>
        <v>0</v>
      </c>
      <c r="L132" s="245" t="s">
        <v>49</v>
      </c>
      <c r="M132" s="71"/>
      <c r="N132" s="71"/>
      <c r="O132" s="36" t="s">
        <v>36</v>
      </c>
      <c r="P132" s="19" t="s">
        <v>37</v>
      </c>
      <c r="Q132" s="19">
        <v>0</v>
      </c>
      <c r="R132" s="19">
        <v>0</v>
      </c>
      <c r="S132">
        <v>1</v>
      </c>
      <c r="T132">
        <v>1</v>
      </c>
      <c r="U132">
        <v>0</v>
      </c>
      <c r="V132" s="24">
        <f t="shared" si="55"/>
        <v>0</v>
      </c>
      <c r="W132" s="245" t="s">
        <v>49</v>
      </c>
      <c r="X132" s="73"/>
      <c r="Y132" s="73"/>
      <c r="Z132" s="36" t="s">
        <v>36</v>
      </c>
      <c r="AA132" s="19" t="s">
        <v>37</v>
      </c>
      <c r="AB132" s="19">
        <v>0</v>
      </c>
      <c r="AC132" s="19">
        <v>0</v>
      </c>
      <c r="AD132">
        <v>1</v>
      </c>
      <c r="AE132">
        <v>1</v>
      </c>
      <c r="AF132">
        <v>0</v>
      </c>
      <c r="AG132" s="24">
        <f t="shared" ref="AG132:AG137" si="58">(AB132*AD132+AC132*AE132)*(1+AF132)</f>
        <v>0</v>
      </c>
      <c r="AH132" s="245" t="s">
        <v>49</v>
      </c>
      <c r="AI132" s="73"/>
      <c r="AJ132" s="80"/>
      <c r="AK132" s="36" t="s">
        <v>36</v>
      </c>
      <c r="AL132" s="19" t="s">
        <v>37</v>
      </c>
      <c r="AM132" s="19">
        <v>0</v>
      </c>
      <c r="AN132" s="19">
        <v>0</v>
      </c>
      <c r="AO132">
        <v>1</v>
      </c>
      <c r="AP132">
        <v>1</v>
      </c>
      <c r="AQ132">
        <v>0</v>
      </c>
      <c r="AR132" s="24">
        <f t="shared" ref="AR132:AR137" si="59">(AM132*AO132+AN132*AP132)*(1+AQ132)</f>
        <v>0</v>
      </c>
      <c r="AS132" s="245" t="s">
        <v>49</v>
      </c>
      <c r="AT132" s="73"/>
      <c r="AU132" s="80"/>
      <c r="AV132" s="36" t="s">
        <v>36</v>
      </c>
      <c r="AW132" s="19" t="s">
        <v>37</v>
      </c>
      <c r="AX132" s="19">
        <v>0</v>
      </c>
      <c r="AY132" s="19">
        <v>0</v>
      </c>
      <c r="AZ132">
        <v>1</v>
      </c>
      <c r="BA132">
        <v>1</v>
      </c>
      <c r="BB132">
        <v>0</v>
      </c>
      <c r="BC132" s="24">
        <f t="shared" si="56"/>
        <v>0</v>
      </c>
      <c r="BD132" s="245" t="s">
        <v>49</v>
      </c>
      <c r="BE132" s="73"/>
      <c r="BF132" s="80"/>
      <c r="BG132" s="36" t="s">
        <v>36</v>
      </c>
      <c r="BH132" s="19" t="s">
        <v>37</v>
      </c>
      <c r="BI132" s="19">
        <v>0</v>
      </c>
      <c r="BJ132" s="19">
        <v>0</v>
      </c>
      <c r="BK132">
        <v>1</v>
      </c>
      <c r="BL132">
        <v>1</v>
      </c>
      <c r="BM132">
        <v>0</v>
      </c>
      <c r="BN132" s="24">
        <f t="shared" si="57"/>
        <v>0</v>
      </c>
    </row>
    <row r="133" spans="1:66" s="19" customFormat="1" ht="45" customHeight="1" x14ac:dyDescent="0.3">
      <c r="A133" s="246"/>
      <c r="B133" s="40" t="s">
        <v>94</v>
      </c>
      <c r="C133" s="40"/>
      <c r="D133" s="36" t="s">
        <v>50</v>
      </c>
      <c r="E133" s="19" t="s">
        <v>51</v>
      </c>
      <c r="F133" s="19">
        <v>2.2000000000000002</v>
      </c>
      <c r="G133" s="19">
        <v>10.7</v>
      </c>
      <c r="H133">
        <v>1</v>
      </c>
      <c r="I133">
        <v>1</v>
      </c>
      <c r="J133">
        <v>0</v>
      </c>
      <c r="K133" s="24">
        <f t="shared" si="54"/>
        <v>12.899999999999999</v>
      </c>
      <c r="L133" s="246"/>
      <c r="M133" s="72" t="s">
        <v>94</v>
      </c>
      <c r="N133" s="72"/>
      <c r="O133" s="36" t="s">
        <v>50</v>
      </c>
      <c r="P133" s="19" t="s">
        <v>51</v>
      </c>
      <c r="Q133" s="19">
        <v>2.2000000000000002</v>
      </c>
      <c r="R133" s="19">
        <v>10.7</v>
      </c>
      <c r="S133">
        <v>1</v>
      </c>
      <c r="T133">
        <v>1</v>
      </c>
      <c r="U133">
        <v>0</v>
      </c>
      <c r="V133" s="24">
        <f t="shared" si="55"/>
        <v>12.899999999999999</v>
      </c>
      <c r="W133" s="246"/>
      <c r="X133" s="74" t="s">
        <v>94</v>
      </c>
      <c r="Y133" s="74"/>
      <c r="Z133" s="36" t="s">
        <v>50</v>
      </c>
      <c r="AA133" s="19" t="s">
        <v>51</v>
      </c>
      <c r="AB133" s="19">
        <v>2.2000000000000002</v>
      </c>
      <c r="AC133" s="19">
        <v>10.7</v>
      </c>
      <c r="AD133">
        <v>1</v>
      </c>
      <c r="AE133">
        <v>1</v>
      </c>
      <c r="AF133">
        <v>0</v>
      </c>
      <c r="AG133" s="24">
        <f t="shared" si="58"/>
        <v>12.899999999999999</v>
      </c>
      <c r="AH133" s="246"/>
      <c r="AI133" s="74" t="s">
        <v>94</v>
      </c>
      <c r="AJ133" s="81"/>
      <c r="AK133" s="36" t="s">
        <v>50</v>
      </c>
      <c r="AL133" s="19" t="s">
        <v>51</v>
      </c>
      <c r="AM133" s="19">
        <v>2.2000000000000002</v>
      </c>
      <c r="AN133" s="19">
        <v>10.7</v>
      </c>
      <c r="AO133">
        <v>1</v>
      </c>
      <c r="AP133">
        <v>1</v>
      </c>
      <c r="AQ133">
        <v>0</v>
      </c>
      <c r="AR133" s="24">
        <f t="shared" si="59"/>
        <v>12.899999999999999</v>
      </c>
      <c r="AS133" s="246"/>
      <c r="AT133" s="74" t="s">
        <v>94</v>
      </c>
      <c r="AU133" s="81"/>
      <c r="AV133" s="36" t="s">
        <v>50</v>
      </c>
      <c r="AW133" s="19" t="s">
        <v>51</v>
      </c>
      <c r="AX133" s="19">
        <v>2.2000000000000002</v>
      </c>
      <c r="AY133" s="19">
        <v>10.7</v>
      </c>
      <c r="AZ133">
        <v>1</v>
      </c>
      <c r="BA133">
        <v>1</v>
      </c>
      <c r="BB133">
        <v>0</v>
      </c>
      <c r="BC133" s="24">
        <f t="shared" si="56"/>
        <v>12.899999999999999</v>
      </c>
      <c r="BD133" s="246"/>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x14ac:dyDescent="0.3">
      <c r="A134" s="246"/>
      <c r="B134" s="40" t="s">
        <v>94</v>
      </c>
      <c r="C134" s="40"/>
      <c r="D134" s="36" t="s">
        <v>52</v>
      </c>
      <c r="E134" s="19" t="s">
        <v>30</v>
      </c>
      <c r="F134" s="19">
        <v>0.41</v>
      </c>
      <c r="G134" s="19">
        <v>0.27</v>
      </c>
      <c r="H134">
        <v>1</v>
      </c>
      <c r="I134">
        <v>1</v>
      </c>
      <c r="J134">
        <v>0</v>
      </c>
      <c r="K134" s="24">
        <f t="shared" si="54"/>
        <v>0.67999999999999994</v>
      </c>
      <c r="L134" s="246"/>
      <c r="M134" s="72" t="s">
        <v>94</v>
      </c>
      <c r="N134" s="72"/>
      <c r="O134" s="36" t="s">
        <v>52</v>
      </c>
      <c r="P134" s="19" t="s">
        <v>30</v>
      </c>
      <c r="Q134" s="19">
        <v>0.41</v>
      </c>
      <c r="R134" s="19">
        <v>0.27</v>
      </c>
      <c r="S134">
        <v>1</v>
      </c>
      <c r="T134">
        <v>1</v>
      </c>
      <c r="U134">
        <v>0</v>
      </c>
      <c r="V134" s="24">
        <f t="shared" si="55"/>
        <v>0.67999999999999994</v>
      </c>
      <c r="W134" s="246"/>
      <c r="X134" s="74" t="s">
        <v>94</v>
      </c>
      <c r="Y134" s="74"/>
      <c r="Z134" s="36" t="s">
        <v>52</v>
      </c>
      <c r="AA134" s="19" t="s">
        <v>30</v>
      </c>
      <c r="AB134" s="19">
        <v>0.41</v>
      </c>
      <c r="AC134" s="19">
        <v>0.27</v>
      </c>
      <c r="AD134">
        <v>1</v>
      </c>
      <c r="AE134">
        <v>1</v>
      </c>
      <c r="AF134">
        <v>0</v>
      </c>
      <c r="AG134" s="24">
        <f t="shared" si="58"/>
        <v>0.67999999999999994</v>
      </c>
      <c r="AH134" s="246"/>
      <c r="AI134" s="74" t="s">
        <v>94</v>
      </c>
      <c r="AJ134" s="81"/>
      <c r="AK134" s="36" t="s">
        <v>52</v>
      </c>
      <c r="AL134" s="19" t="s">
        <v>30</v>
      </c>
      <c r="AM134" s="19">
        <v>0.41</v>
      </c>
      <c r="AN134" s="19">
        <v>0.27</v>
      </c>
      <c r="AO134">
        <v>1</v>
      </c>
      <c r="AP134">
        <v>1</v>
      </c>
      <c r="AQ134">
        <v>0</v>
      </c>
      <c r="AR134" s="24">
        <f t="shared" si="59"/>
        <v>0.67999999999999994</v>
      </c>
      <c r="AS134" s="246"/>
      <c r="AT134" s="74" t="s">
        <v>94</v>
      </c>
      <c r="AU134" s="81"/>
      <c r="AV134" s="36" t="s">
        <v>52</v>
      </c>
      <c r="AW134" s="19" t="s">
        <v>30</v>
      </c>
      <c r="AX134" s="19">
        <v>0.41</v>
      </c>
      <c r="AY134" s="19">
        <v>0.27</v>
      </c>
      <c r="AZ134">
        <v>1</v>
      </c>
      <c r="BA134">
        <v>1</v>
      </c>
      <c r="BB134">
        <v>0</v>
      </c>
      <c r="BC134" s="24">
        <f t="shared" si="56"/>
        <v>0.67999999999999994</v>
      </c>
      <c r="BD134" s="246"/>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x14ac:dyDescent="0.3">
      <c r="A135" s="246"/>
      <c r="B135" s="40" t="s">
        <v>94</v>
      </c>
      <c r="C135" s="40"/>
      <c r="D135" s="36" t="s">
        <v>53</v>
      </c>
      <c r="E135" s="19" t="s">
        <v>42</v>
      </c>
      <c r="F135" s="19">
        <v>2.12</v>
      </c>
      <c r="G135" s="19">
        <v>0.76</v>
      </c>
      <c r="H135">
        <v>1</v>
      </c>
      <c r="I135">
        <v>1</v>
      </c>
      <c r="J135">
        <v>0</v>
      </c>
      <c r="K135" s="24">
        <f t="shared" si="54"/>
        <v>2.88</v>
      </c>
      <c r="L135" s="246"/>
      <c r="M135" s="72" t="s">
        <v>94</v>
      </c>
      <c r="N135" s="72"/>
      <c r="O135" s="36" t="s">
        <v>53</v>
      </c>
      <c r="P135" s="19" t="s">
        <v>42</v>
      </c>
      <c r="Q135" s="19">
        <v>2.12</v>
      </c>
      <c r="R135" s="19">
        <v>0.76</v>
      </c>
      <c r="S135">
        <v>1</v>
      </c>
      <c r="T135">
        <v>1</v>
      </c>
      <c r="U135">
        <v>0</v>
      </c>
      <c r="V135" s="24">
        <f t="shared" si="55"/>
        <v>2.88</v>
      </c>
      <c r="W135" s="246"/>
      <c r="X135" s="74" t="s">
        <v>94</v>
      </c>
      <c r="Y135" s="74"/>
      <c r="Z135" s="36" t="s">
        <v>53</v>
      </c>
      <c r="AA135" s="19" t="s">
        <v>42</v>
      </c>
      <c r="AB135" s="19">
        <v>2.12</v>
      </c>
      <c r="AC135" s="19">
        <v>0.76</v>
      </c>
      <c r="AD135">
        <v>1</v>
      </c>
      <c r="AE135">
        <v>1</v>
      </c>
      <c r="AF135">
        <v>0</v>
      </c>
      <c r="AG135" s="24">
        <f t="shared" si="58"/>
        <v>2.88</v>
      </c>
      <c r="AH135" s="246"/>
      <c r="AI135" s="74" t="s">
        <v>94</v>
      </c>
      <c r="AJ135" s="81"/>
      <c r="AK135" s="36" t="s">
        <v>53</v>
      </c>
      <c r="AL135" s="19" t="s">
        <v>42</v>
      </c>
      <c r="AM135" s="19">
        <v>2.12</v>
      </c>
      <c r="AN135" s="19">
        <v>0.76</v>
      </c>
      <c r="AO135">
        <v>1</v>
      </c>
      <c r="AP135">
        <v>1</v>
      </c>
      <c r="AQ135">
        <v>0</v>
      </c>
      <c r="AR135" s="24">
        <f t="shared" si="59"/>
        <v>2.88</v>
      </c>
      <c r="AS135" s="246"/>
      <c r="AT135" s="74" t="s">
        <v>94</v>
      </c>
      <c r="AU135" s="81"/>
      <c r="AV135" s="36" t="s">
        <v>53</v>
      </c>
      <c r="AW135" s="19" t="s">
        <v>42</v>
      </c>
      <c r="AX135" s="19">
        <v>2.12</v>
      </c>
      <c r="AY135" s="19">
        <v>0.76</v>
      </c>
      <c r="AZ135">
        <v>1</v>
      </c>
      <c r="BA135">
        <v>1</v>
      </c>
      <c r="BB135">
        <v>0</v>
      </c>
      <c r="BC135" s="24">
        <f t="shared" si="56"/>
        <v>2.88</v>
      </c>
      <c r="BD135" s="246"/>
      <c r="BE135" s="74" t="s">
        <v>94</v>
      </c>
      <c r="BF135" s="81"/>
      <c r="BG135" s="36" t="s">
        <v>53</v>
      </c>
      <c r="BH135" s="19" t="s">
        <v>42</v>
      </c>
      <c r="BI135" s="19">
        <v>2.12</v>
      </c>
      <c r="BJ135" s="19">
        <v>0.76</v>
      </c>
      <c r="BK135">
        <v>1</v>
      </c>
      <c r="BL135">
        <v>1</v>
      </c>
      <c r="BM135">
        <v>0</v>
      </c>
      <c r="BN135" s="24">
        <f t="shared" si="57"/>
        <v>2.88</v>
      </c>
    </row>
    <row r="136" spans="1:66" s="19" customFormat="1" ht="30" customHeight="1" x14ac:dyDescent="0.3">
      <c r="A136" s="246"/>
      <c r="B136" s="40" t="s">
        <v>94</v>
      </c>
      <c r="C136" s="40"/>
      <c r="D136" s="36" t="s">
        <v>54</v>
      </c>
      <c r="E136" s="19" t="s">
        <v>9</v>
      </c>
      <c r="F136" s="19">
        <v>0.1</v>
      </c>
      <c r="G136" s="19">
        <v>1.72</v>
      </c>
      <c r="H136">
        <v>1</v>
      </c>
      <c r="I136">
        <v>1</v>
      </c>
      <c r="J136">
        <v>0</v>
      </c>
      <c r="K136" s="24">
        <f t="shared" si="54"/>
        <v>1.82</v>
      </c>
      <c r="L136" s="246"/>
      <c r="M136" s="72" t="s">
        <v>94</v>
      </c>
      <c r="N136" s="72"/>
      <c r="O136" s="36" t="s">
        <v>54</v>
      </c>
      <c r="P136" s="19" t="s">
        <v>9</v>
      </c>
      <c r="Q136" s="19">
        <v>0.1</v>
      </c>
      <c r="R136" s="19">
        <v>1.72</v>
      </c>
      <c r="S136">
        <v>1</v>
      </c>
      <c r="T136">
        <v>1</v>
      </c>
      <c r="U136">
        <v>0</v>
      </c>
      <c r="V136" s="24">
        <f t="shared" si="55"/>
        <v>1.82</v>
      </c>
      <c r="W136" s="246"/>
      <c r="X136" s="74" t="s">
        <v>94</v>
      </c>
      <c r="Y136" s="74"/>
      <c r="Z136" s="36" t="s">
        <v>54</v>
      </c>
      <c r="AA136" s="19" t="s">
        <v>9</v>
      </c>
      <c r="AB136" s="19">
        <v>0.1</v>
      </c>
      <c r="AC136" s="19">
        <v>1.72</v>
      </c>
      <c r="AD136">
        <v>1</v>
      </c>
      <c r="AE136">
        <v>1</v>
      </c>
      <c r="AF136">
        <v>0</v>
      </c>
      <c r="AG136" s="24">
        <f t="shared" si="58"/>
        <v>1.82</v>
      </c>
      <c r="AH136" s="246"/>
      <c r="AI136" s="74" t="s">
        <v>94</v>
      </c>
      <c r="AJ136" s="81"/>
      <c r="AK136" s="36" t="s">
        <v>54</v>
      </c>
      <c r="AL136" s="19" t="s">
        <v>9</v>
      </c>
      <c r="AM136" s="19">
        <v>0.1</v>
      </c>
      <c r="AN136" s="19">
        <v>1.72</v>
      </c>
      <c r="AO136">
        <v>1</v>
      </c>
      <c r="AP136">
        <v>1</v>
      </c>
      <c r="AQ136">
        <v>0</v>
      </c>
      <c r="AR136" s="24">
        <f t="shared" si="59"/>
        <v>1.82</v>
      </c>
      <c r="AS136" s="246"/>
      <c r="AT136" s="74" t="s">
        <v>94</v>
      </c>
      <c r="AU136" s="81"/>
      <c r="AV136" s="36" t="s">
        <v>54</v>
      </c>
      <c r="AW136" s="19" t="s">
        <v>9</v>
      </c>
      <c r="AX136" s="19">
        <v>0.1</v>
      </c>
      <c r="AY136" s="19">
        <v>1.72</v>
      </c>
      <c r="AZ136">
        <v>1</v>
      </c>
      <c r="BA136">
        <v>1</v>
      </c>
      <c r="BB136">
        <v>0</v>
      </c>
      <c r="BC136" s="24">
        <f t="shared" si="56"/>
        <v>1.82</v>
      </c>
      <c r="BD136" s="246"/>
      <c r="BE136" s="74" t="s">
        <v>94</v>
      </c>
      <c r="BF136" s="81"/>
      <c r="BG136" s="36" t="s">
        <v>54</v>
      </c>
      <c r="BH136" s="19" t="s">
        <v>9</v>
      </c>
      <c r="BI136" s="19">
        <v>0.1</v>
      </c>
      <c r="BJ136" s="19">
        <v>1.72</v>
      </c>
      <c r="BK136">
        <v>1</v>
      </c>
      <c r="BL136">
        <v>1</v>
      </c>
      <c r="BM136">
        <v>0</v>
      </c>
      <c r="BN136" s="24">
        <f t="shared" si="57"/>
        <v>1.82</v>
      </c>
    </row>
    <row r="137" spans="1:66" s="19" customFormat="1" x14ac:dyDescent="0.3">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x14ac:dyDescent="0.3">
      <c r="K138" s="24">
        <f t="shared" si="54"/>
        <v>0</v>
      </c>
    </row>
    <row r="139" spans="1:66" x14ac:dyDescent="0.3">
      <c r="K139" s="24">
        <f t="shared" si="54"/>
        <v>0</v>
      </c>
    </row>
    <row r="140" spans="1:66" x14ac:dyDescent="0.3">
      <c r="K140" s="24">
        <f t="shared" si="54"/>
        <v>0</v>
      </c>
    </row>
    <row r="141" spans="1:66" s="19" customFormat="1" x14ac:dyDescent="0.3">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x14ac:dyDescent="0.3">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3">
      <c r="A143" s="245" t="s">
        <v>60</v>
      </c>
      <c r="B143" s="39"/>
      <c r="C143" s="39">
        <v>12</v>
      </c>
      <c r="D143" s="36" t="s">
        <v>36</v>
      </c>
      <c r="E143" s="19" t="s">
        <v>37</v>
      </c>
      <c r="F143" s="19">
        <v>0</v>
      </c>
      <c r="G143" s="19">
        <v>0</v>
      </c>
      <c r="H143">
        <v>1</v>
      </c>
      <c r="I143">
        <v>1</v>
      </c>
      <c r="J143">
        <v>0</v>
      </c>
      <c r="K143" s="24">
        <f>(F143*H143+G143*I143)*(1+J143)</f>
        <v>0</v>
      </c>
      <c r="L143" s="245" t="s">
        <v>60</v>
      </c>
      <c r="M143" s="71"/>
      <c r="N143" s="71">
        <v>12</v>
      </c>
      <c r="O143" s="36" t="s">
        <v>36</v>
      </c>
      <c r="P143" s="19" t="s">
        <v>37</v>
      </c>
      <c r="Q143" s="19">
        <v>0</v>
      </c>
      <c r="R143" s="19">
        <v>0</v>
      </c>
      <c r="S143">
        <v>1</v>
      </c>
      <c r="T143">
        <v>1</v>
      </c>
      <c r="U143">
        <v>0</v>
      </c>
      <c r="V143" s="24">
        <f>(Q143*S143+R143*T143)*(1+U143)</f>
        <v>0</v>
      </c>
      <c r="W143" s="245" t="s">
        <v>226</v>
      </c>
      <c r="X143" s="73"/>
      <c r="Y143" s="73">
        <v>12</v>
      </c>
      <c r="Z143" s="36" t="s">
        <v>36</v>
      </c>
      <c r="AA143" s="19" t="s">
        <v>37</v>
      </c>
      <c r="AB143" s="19">
        <v>0</v>
      </c>
      <c r="AC143" s="19">
        <v>0</v>
      </c>
      <c r="AD143">
        <v>1</v>
      </c>
      <c r="AE143">
        <v>1</v>
      </c>
      <c r="AF143">
        <v>0</v>
      </c>
      <c r="AG143" s="24">
        <f>(AB143*AD143+AC143*AE143)*(1+AF143)</f>
        <v>0</v>
      </c>
      <c r="AH143" s="245" t="s">
        <v>229</v>
      </c>
      <c r="AI143" s="73"/>
      <c r="AJ143" s="80">
        <v>12</v>
      </c>
      <c r="AK143" s="36" t="s">
        <v>36</v>
      </c>
      <c r="AL143" s="19" t="s">
        <v>37</v>
      </c>
      <c r="AM143" s="19">
        <v>0</v>
      </c>
      <c r="AN143" s="19">
        <v>0</v>
      </c>
      <c r="AO143">
        <v>1</v>
      </c>
      <c r="AP143">
        <v>1</v>
      </c>
      <c r="AQ143">
        <v>0</v>
      </c>
      <c r="AR143" s="24">
        <f>(AM143*AO143+AN143*AP143)*(1+AQ143)</f>
        <v>0</v>
      </c>
      <c r="AS143" s="245" t="s">
        <v>229</v>
      </c>
      <c r="AT143" s="73"/>
      <c r="AU143" s="80">
        <v>12</v>
      </c>
      <c r="AV143" s="36" t="s">
        <v>36</v>
      </c>
      <c r="AW143" s="19" t="s">
        <v>37</v>
      </c>
      <c r="AX143" s="19">
        <v>0</v>
      </c>
      <c r="AY143" s="19">
        <v>0</v>
      </c>
      <c r="AZ143">
        <v>1</v>
      </c>
      <c r="BA143">
        <v>1</v>
      </c>
      <c r="BB143">
        <v>0</v>
      </c>
      <c r="BC143" s="24">
        <f>(AX143*AZ143+AY143*BA143)*(1+BB143)</f>
        <v>0</v>
      </c>
      <c r="BD143" s="245"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x14ac:dyDescent="0.3">
      <c r="A144" s="246"/>
      <c r="B144" s="43" t="s">
        <v>192</v>
      </c>
      <c r="C144" s="40"/>
      <c r="D144" s="36" t="s">
        <v>61</v>
      </c>
      <c r="E144" s="19" t="s">
        <v>9</v>
      </c>
      <c r="F144" s="19">
        <v>13.35</v>
      </c>
      <c r="G144" s="19">
        <v>5.3</v>
      </c>
      <c r="H144">
        <v>1.5</v>
      </c>
      <c r="I144">
        <v>1</v>
      </c>
      <c r="J144">
        <v>0</v>
      </c>
      <c r="K144" s="24">
        <f>(F144*H144+G144*I144)*(1+J144)</f>
        <v>25.324999999999999</v>
      </c>
      <c r="L144" s="246"/>
      <c r="M144" s="72" t="s">
        <v>192</v>
      </c>
      <c r="N144" s="72"/>
      <c r="O144" s="36" t="s">
        <v>61</v>
      </c>
      <c r="P144" s="19" t="s">
        <v>9</v>
      </c>
      <c r="Q144" s="19">
        <v>13.35</v>
      </c>
      <c r="R144" s="19">
        <v>5.3</v>
      </c>
      <c r="S144">
        <v>1.5</v>
      </c>
      <c r="T144">
        <v>1</v>
      </c>
      <c r="U144">
        <v>0</v>
      </c>
      <c r="V144" s="24">
        <f>(Q144*S144+R144*T144)*(1+U144)</f>
        <v>25.324999999999999</v>
      </c>
      <c r="W144" s="246"/>
      <c r="X144" s="74" t="s">
        <v>192</v>
      </c>
      <c r="Y144" s="74"/>
      <c r="Z144" s="36" t="s">
        <v>61</v>
      </c>
      <c r="AA144" s="19" t="s">
        <v>9</v>
      </c>
      <c r="AB144" s="19">
        <v>13.35</v>
      </c>
      <c r="AC144" s="19">
        <v>5.3</v>
      </c>
      <c r="AD144">
        <v>1.5</v>
      </c>
      <c r="AE144">
        <v>1</v>
      </c>
      <c r="AF144">
        <v>0</v>
      </c>
      <c r="AG144" s="24">
        <f>(AB144*AD144+AC144*AE144)*(1+AF144)</f>
        <v>25.324999999999999</v>
      </c>
      <c r="AH144" s="246"/>
      <c r="AI144" s="74" t="s">
        <v>192</v>
      </c>
      <c r="AJ144" s="81"/>
      <c r="AK144" s="36" t="s">
        <v>61</v>
      </c>
      <c r="AL144" s="19" t="s">
        <v>9</v>
      </c>
      <c r="AM144" s="19">
        <v>13.35</v>
      </c>
      <c r="AN144" s="19">
        <v>5.3</v>
      </c>
      <c r="AO144">
        <v>1.5</v>
      </c>
      <c r="AP144">
        <v>1</v>
      </c>
      <c r="AQ144">
        <v>0</v>
      </c>
      <c r="AR144" s="24">
        <f>(AM144*AO144+AN144*AP144)*(1+AQ144)</f>
        <v>25.324999999999999</v>
      </c>
      <c r="AS144" s="246"/>
      <c r="AT144" s="74" t="s">
        <v>192</v>
      </c>
      <c r="AU144" s="81"/>
      <c r="AV144" s="36" t="s">
        <v>61</v>
      </c>
      <c r="AW144" s="19" t="s">
        <v>9</v>
      </c>
      <c r="AX144" s="19">
        <v>13.35</v>
      </c>
      <c r="AY144" s="19">
        <v>5.3</v>
      </c>
      <c r="AZ144">
        <v>1.5</v>
      </c>
      <c r="BA144">
        <v>1</v>
      </c>
      <c r="BB144">
        <v>0</v>
      </c>
      <c r="BC144" s="24">
        <f>(AX144*AZ144+AY144*BA144)*(1+BB144)</f>
        <v>25.324999999999999</v>
      </c>
      <c r="BD144" s="246"/>
      <c r="BE144" s="57" t="s">
        <v>192</v>
      </c>
      <c r="BF144" s="81"/>
      <c r="BG144" s="36" t="s">
        <v>61</v>
      </c>
      <c r="BH144" s="19" t="s">
        <v>9</v>
      </c>
      <c r="BI144" s="19">
        <v>13.35</v>
      </c>
      <c r="BJ144" s="19">
        <v>5.3</v>
      </c>
      <c r="BK144">
        <v>1.5</v>
      </c>
      <c r="BL144">
        <v>1</v>
      </c>
      <c r="BM144">
        <v>0</v>
      </c>
      <c r="BN144" s="24">
        <f>(BI144*BK144+BJ144*BL144)*(1+BM144)</f>
        <v>25.324999999999999</v>
      </c>
    </row>
    <row r="145" spans="1:66" s="19" customFormat="1" x14ac:dyDescent="0.3">
      <c r="A145" s="244"/>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x14ac:dyDescent="0.3">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3">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3">
      <c r="A148" s="245"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28.8" x14ac:dyDescent="0.3">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x14ac:dyDescent="0.3">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x14ac:dyDescent="0.3">
      <c r="A151" s="247"/>
      <c r="B151" s="39" t="s">
        <v>95</v>
      </c>
      <c r="C151" s="40"/>
      <c r="D151" s="36" t="s">
        <v>63</v>
      </c>
      <c r="E151" s="19" t="s">
        <v>9</v>
      </c>
      <c r="F151" s="19">
        <v>13.1</v>
      </c>
      <c r="G151" s="19">
        <v>0</v>
      </c>
      <c r="H151">
        <v>1</v>
      </c>
      <c r="I151">
        <v>1</v>
      </c>
      <c r="J151">
        <v>0</v>
      </c>
      <c r="K151" s="24">
        <f t="shared" si="60"/>
        <v>13.1</v>
      </c>
      <c r="L151" s="245" t="s">
        <v>65</v>
      </c>
      <c r="M151" s="71" t="s">
        <v>95</v>
      </c>
      <c r="N151" s="72"/>
      <c r="O151" s="36" t="s">
        <v>63</v>
      </c>
      <c r="P151" s="19" t="s">
        <v>9</v>
      </c>
      <c r="Q151" s="19">
        <v>13.1</v>
      </c>
      <c r="R151" s="19">
        <v>0</v>
      </c>
      <c r="S151">
        <v>1</v>
      </c>
      <c r="T151">
        <v>1</v>
      </c>
      <c r="U151">
        <v>0</v>
      </c>
      <c r="V151" s="24">
        <f>(Q151*S151+R151*T151)*(1+U151)</f>
        <v>13.1</v>
      </c>
      <c r="W151" s="245" t="s">
        <v>65</v>
      </c>
      <c r="X151" s="73" t="s">
        <v>95</v>
      </c>
      <c r="Y151" s="74"/>
      <c r="Z151" s="36" t="s">
        <v>63</v>
      </c>
      <c r="AA151" s="19" t="s">
        <v>9</v>
      </c>
      <c r="AB151" s="19">
        <v>13.1</v>
      </c>
      <c r="AC151" s="19">
        <v>0</v>
      </c>
      <c r="AD151">
        <v>1</v>
      </c>
      <c r="AE151">
        <v>1</v>
      </c>
      <c r="AF151">
        <v>0</v>
      </c>
      <c r="AG151" s="24">
        <f>(AB151*AD151+AC151*AE151)*(1+AF151)</f>
        <v>13.1</v>
      </c>
      <c r="AH151" s="245" t="s">
        <v>65</v>
      </c>
      <c r="AI151" s="73" t="s">
        <v>95</v>
      </c>
      <c r="AJ151" s="81"/>
      <c r="AK151" s="36" t="s">
        <v>63</v>
      </c>
      <c r="AL151" s="19" t="s">
        <v>9</v>
      </c>
      <c r="AM151" s="19">
        <v>13.1</v>
      </c>
      <c r="AN151" s="19">
        <v>0</v>
      </c>
      <c r="AO151">
        <v>1</v>
      </c>
      <c r="AP151">
        <v>1</v>
      </c>
      <c r="AQ151">
        <v>0</v>
      </c>
      <c r="AR151" s="24">
        <f>(AM151*AO151+AN151*AP151)*(1+AQ151)</f>
        <v>13.1</v>
      </c>
      <c r="AS151" s="245" t="s">
        <v>65</v>
      </c>
      <c r="AT151" s="73" t="s">
        <v>95</v>
      </c>
      <c r="AU151" s="81"/>
      <c r="AV151" s="36" t="s">
        <v>63</v>
      </c>
      <c r="AW151" s="19" t="s">
        <v>9</v>
      </c>
      <c r="AX151" s="19">
        <v>13.1</v>
      </c>
      <c r="AY151" s="19">
        <v>0</v>
      </c>
      <c r="AZ151">
        <v>1</v>
      </c>
      <c r="BA151">
        <v>1</v>
      </c>
      <c r="BB151">
        <v>0</v>
      </c>
      <c r="BC151" s="24">
        <f>(AX151*AZ151+AY151*BA151)*(1+BB151)</f>
        <v>13.1</v>
      </c>
      <c r="BD151" s="245"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x14ac:dyDescent="0.3">
      <c r="A152" s="247"/>
      <c r="B152" s="39" t="s">
        <v>95</v>
      </c>
      <c r="C152" s="40"/>
      <c r="D152" s="36" t="s">
        <v>64</v>
      </c>
      <c r="E152" s="19" t="s">
        <v>9</v>
      </c>
      <c r="F152" s="19">
        <v>22.5</v>
      </c>
      <c r="G152" s="19">
        <v>8.15</v>
      </c>
      <c r="H152">
        <v>1</v>
      </c>
      <c r="I152">
        <v>1</v>
      </c>
      <c r="J152">
        <v>0</v>
      </c>
      <c r="K152" s="24">
        <f t="shared" si="60"/>
        <v>30.65</v>
      </c>
      <c r="L152" s="245"/>
      <c r="M152" s="71" t="s">
        <v>95</v>
      </c>
      <c r="N152" s="72"/>
      <c r="O152" s="36" t="s">
        <v>64</v>
      </c>
      <c r="P152" s="19" t="s">
        <v>9</v>
      </c>
      <c r="Q152" s="19">
        <v>22.5</v>
      </c>
      <c r="R152" s="19">
        <v>8.15</v>
      </c>
      <c r="S152">
        <v>1</v>
      </c>
      <c r="T152">
        <v>1</v>
      </c>
      <c r="U152">
        <v>0</v>
      </c>
      <c r="V152" s="24">
        <f>(Q152*S152+R152*T152)*(1+U152)</f>
        <v>30.65</v>
      </c>
      <c r="W152" s="245"/>
      <c r="X152" s="73" t="s">
        <v>95</v>
      </c>
      <c r="Y152" s="74"/>
      <c r="Z152" s="36" t="s">
        <v>64</v>
      </c>
      <c r="AA152" s="19" t="s">
        <v>9</v>
      </c>
      <c r="AB152" s="19">
        <v>22.5</v>
      </c>
      <c r="AC152" s="19">
        <v>8.15</v>
      </c>
      <c r="AD152">
        <v>1</v>
      </c>
      <c r="AE152">
        <v>1</v>
      </c>
      <c r="AF152">
        <v>0</v>
      </c>
      <c r="AG152" s="24">
        <f>(AB152*AD152+AC152*AE152)*(1+AF152)</f>
        <v>30.65</v>
      </c>
      <c r="AH152" s="245"/>
      <c r="AI152" s="73" t="s">
        <v>95</v>
      </c>
      <c r="AJ152" s="81"/>
      <c r="AK152" s="36" t="s">
        <v>64</v>
      </c>
      <c r="AL152" s="19" t="s">
        <v>9</v>
      </c>
      <c r="AM152" s="19">
        <v>22.5</v>
      </c>
      <c r="AN152" s="19">
        <v>8.15</v>
      </c>
      <c r="AO152">
        <v>1</v>
      </c>
      <c r="AP152">
        <v>1</v>
      </c>
      <c r="AQ152">
        <v>0</v>
      </c>
      <c r="AR152" s="24">
        <f>(AM152*AO152+AN152*AP152)*(1+AQ152)</f>
        <v>30.65</v>
      </c>
      <c r="AS152" s="245"/>
      <c r="AT152" s="73" t="s">
        <v>95</v>
      </c>
      <c r="AU152" s="81"/>
      <c r="AV152" s="36" t="s">
        <v>64</v>
      </c>
      <c r="AW152" s="19" t="s">
        <v>9</v>
      </c>
      <c r="AX152" s="19">
        <v>22.5</v>
      </c>
      <c r="AY152" s="19">
        <v>8.15</v>
      </c>
      <c r="AZ152">
        <v>1</v>
      </c>
      <c r="BA152">
        <v>1</v>
      </c>
      <c r="BB152">
        <v>0</v>
      </c>
      <c r="BC152" s="24">
        <f>(AX152*AZ152+AY152*BA152)*(1+BB152)</f>
        <v>30.65</v>
      </c>
      <c r="BD152" s="245"/>
      <c r="BE152" s="73" t="s">
        <v>95</v>
      </c>
      <c r="BF152" s="81"/>
      <c r="BG152" s="36" t="s">
        <v>64</v>
      </c>
      <c r="BH152" s="19" t="s">
        <v>9</v>
      </c>
      <c r="BI152" s="19">
        <v>22.5</v>
      </c>
      <c r="BJ152" s="19">
        <v>8.15</v>
      </c>
      <c r="BK152">
        <v>1</v>
      </c>
      <c r="BL152">
        <v>1</v>
      </c>
      <c r="BM152">
        <v>0</v>
      </c>
      <c r="BN152" s="24">
        <f>(BI152*BK152+BJ152*BL152)*(1+BM152)</f>
        <v>30.65</v>
      </c>
    </row>
    <row r="153" spans="1:66" s="19" customFormat="1" ht="30" customHeight="1" x14ac:dyDescent="0.3">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x14ac:dyDescent="0.3">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x14ac:dyDescent="0.3">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3">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28.8" x14ac:dyDescent="0.3">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x14ac:dyDescent="0.3">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x14ac:dyDescent="0.3">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x14ac:dyDescent="0.3">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x14ac:dyDescent="0.3">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1" width="8.6640625" customWidth="1"/>
    <col min="22" max="24" width="15.6640625" customWidth="1"/>
    <col min="25" max="25" width="6.6640625" customWidth="1"/>
    <col min="26" max="26" width="36.6640625" customWidth="1"/>
    <col min="27" max="27" width="6.6640625" customWidth="1"/>
    <col min="28" max="29" width="8.6640625" customWidth="1"/>
    <col min="31" max="33" width="8.6640625" customWidth="1"/>
    <col min="34" max="35" width="15.6640625" customWidth="1"/>
    <col min="36" max="36" width="6.6640625" customWidth="1"/>
    <col min="37" max="37" width="36.6640625" customWidth="1"/>
    <col min="38" max="38" width="6.6640625" customWidth="1"/>
    <col min="39" max="40" width="8.6640625" customWidth="1"/>
    <col min="42" max="44" width="8.6640625" customWidth="1"/>
    <col min="45" max="46" width="15.6640625" customWidth="1"/>
    <col min="47" max="47" width="6.6640625" customWidth="1"/>
    <col min="48" max="48" width="36.6640625" customWidth="1"/>
    <col min="49" max="49" width="6.6640625" customWidth="1"/>
    <col min="50" max="51" width="8.6640625" customWidth="1"/>
    <col min="53" max="55" width="8.6640625" customWidth="1"/>
    <col min="56" max="57" width="15.6640625" customWidth="1"/>
    <col min="58" max="58" width="6.6640625" customWidth="1"/>
    <col min="59" max="59" width="36.6640625" customWidth="1"/>
    <col min="60" max="60" width="6.6640625" customWidth="1"/>
    <col min="61" max="62" width="8.6640625" customWidth="1"/>
    <col min="64" max="66" width="8.6640625" customWidth="1"/>
  </cols>
  <sheetData>
    <row r="1" spans="1:66" ht="21" x14ac:dyDescent="0.4">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 x14ac:dyDescent="0.3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3" t="s">
        <v>233</v>
      </c>
      <c r="B4" s="76" t="s">
        <v>85</v>
      </c>
      <c r="C4" s="76">
        <v>15</v>
      </c>
      <c r="D4" s="31" t="s">
        <v>29</v>
      </c>
      <c r="E4" t="s">
        <v>9</v>
      </c>
      <c r="F4">
        <v>2.5299999999999998</v>
      </c>
      <c r="G4">
        <v>5.6</v>
      </c>
      <c r="H4">
        <v>1</v>
      </c>
      <c r="I4">
        <v>1</v>
      </c>
      <c r="J4">
        <v>0</v>
      </c>
      <c r="K4" s="24">
        <f t="shared" ref="K4:K10" si="0">(F4*H4+G4*I4)*(1+J4)</f>
        <v>8.129999999999999</v>
      </c>
      <c r="L4" s="243" t="s">
        <v>233</v>
      </c>
      <c r="M4" s="76" t="s">
        <v>85</v>
      </c>
      <c r="N4" s="79">
        <v>15</v>
      </c>
      <c r="O4" s="31" t="s">
        <v>29</v>
      </c>
      <c r="P4" t="s">
        <v>9</v>
      </c>
      <c r="Q4">
        <v>2.5299999999999998</v>
      </c>
      <c r="R4">
        <v>5.6</v>
      </c>
      <c r="S4">
        <v>1</v>
      </c>
      <c r="T4">
        <v>1</v>
      </c>
      <c r="U4">
        <v>0</v>
      </c>
      <c r="V4" s="24">
        <f t="shared" ref="V4:V11" si="1">(Q4*S4+R4*T4)*(1+U4)</f>
        <v>8.129999999999999</v>
      </c>
      <c r="W4" s="243" t="s">
        <v>233</v>
      </c>
      <c r="X4" s="76" t="s">
        <v>85</v>
      </c>
      <c r="Y4" s="79">
        <v>15</v>
      </c>
      <c r="Z4" s="31" t="s">
        <v>29</v>
      </c>
      <c r="AA4" t="s">
        <v>9</v>
      </c>
      <c r="AB4">
        <v>2.5299999999999998</v>
      </c>
      <c r="AC4">
        <v>5.6</v>
      </c>
      <c r="AD4">
        <v>1</v>
      </c>
      <c r="AE4">
        <v>1</v>
      </c>
      <c r="AF4">
        <v>0</v>
      </c>
      <c r="AG4" s="24">
        <f t="shared" ref="AG4:AG11" si="2">(AB4*AD4+AC4*AE4)*(1+AF4)</f>
        <v>8.129999999999999</v>
      </c>
      <c r="AH4" s="243" t="s">
        <v>233</v>
      </c>
      <c r="AI4" s="76" t="s">
        <v>85</v>
      </c>
      <c r="AJ4" s="79">
        <v>15</v>
      </c>
      <c r="AK4" s="31" t="s">
        <v>29</v>
      </c>
      <c r="AL4" t="s">
        <v>9</v>
      </c>
      <c r="AM4">
        <v>2.5299999999999998</v>
      </c>
      <c r="AN4">
        <v>5.6</v>
      </c>
      <c r="AO4">
        <v>1</v>
      </c>
      <c r="AP4">
        <v>1</v>
      </c>
      <c r="AQ4">
        <v>0</v>
      </c>
      <c r="AR4" s="24">
        <f t="shared" ref="AR4:AR10" si="3">(AM4*AO4+AN4*AP4)*(1+AQ4)</f>
        <v>8.129999999999999</v>
      </c>
      <c r="AS4" s="243" t="s">
        <v>233</v>
      </c>
      <c r="AT4" s="76" t="s">
        <v>85</v>
      </c>
      <c r="AU4" s="79">
        <v>15</v>
      </c>
      <c r="AV4" s="31" t="s">
        <v>29</v>
      </c>
      <c r="AW4" t="s">
        <v>9</v>
      </c>
      <c r="AX4">
        <v>2.5299999999999998</v>
      </c>
      <c r="AY4">
        <v>5.6</v>
      </c>
      <c r="AZ4">
        <v>1</v>
      </c>
      <c r="BA4">
        <v>1</v>
      </c>
      <c r="BB4">
        <v>0</v>
      </c>
      <c r="BC4" s="24">
        <f t="shared" ref="BC4:BC11" si="4">(AX4*AZ4+AY4*BA4)*(1+BB4)</f>
        <v>8.129999999999999</v>
      </c>
      <c r="BD4" s="243" t="s">
        <v>233</v>
      </c>
      <c r="BE4" s="76" t="s">
        <v>85</v>
      </c>
      <c r="BF4" s="79">
        <v>15</v>
      </c>
      <c r="BG4" s="31" t="s">
        <v>29</v>
      </c>
      <c r="BH4" t="s">
        <v>9</v>
      </c>
      <c r="BI4">
        <v>2.5299999999999998</v>
      </c>
      <c r="BJ4">
        <v>5.6</v>
      </c>
      <c r="BK4">
        <v>1</v>
      </c>
      <c r="BL4">
        <v>1</v>
      </c>
      <c r="BM4">
        <v>0</v>
      </c>
      <c r="BN4" s="24">
        <f t="shared" ref="BN4:BN10" si="5">(BI4*BK4+BJ4*BL4)*(1+BM4)</f>
        <v>8.129999999999999</v>
      </c>
    </row>
    <row r="5" spans="1:66" ht="28.8" x14ac:dyDescent="0.3">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76" t="s">
        <v>85</v>
      </c>
      <c r="AJ5" s="79"/>
      <c r="AK5" s="31" t="s">
        <v>32</v>
      </c>
      <c r="AL5" t="s">
        <v>21</v>
      </c>
      <c r="AM5">
        <v>0.16</v>
      </c>
      <c r="AN5">
        <v>0.13</v>
      </c>
      <c r="AO5">
        <v>1</v>
      </c>
      <c r="AP5">
        <v>1</v>
      </c>
      <c r="AQ5">
        <v>0</v>
      </c>
      <c r="AR5" s="24">
        <f t="shared" si="3"/>
        <v>0.29000000000000004</v>
      </c>
      <c r="AS5" s="243"/>
      <c r="AT5" s="76" t="s">
        <v>85</v>
      </c>
      <c r="AU5" s="79"/>
      <c r="AV5" s="31" t="s">
        <v>32</v>
      </c>
      <c r="AW5" t="s">
        <v>21</v>
      </c>
      <c r="AX5">
        <v>0.16</v>
      </c>
      <c r="AY5">
        <v>0.13</v>
      </c>
      <c r="AZ5">
        <v>1</v>
      </c>
      <c r="BA5">
        <v>1</v>
      </c>
      <c r="BB5">
        <v>0</v>
      </c>
      <c r="BC5" s="24">
        <f t="shared" si="4"/>
        <v>0.29000000000000004</v>
      </c>
      <c r="BD5" s="243"/>
      <c r="BE5" s="76" t="s">
        <v>85</v>
      </c>
      <c r="BF5" s="79"/>
      <c r="BG5" s="31" t="s">
        <v>32</v>
      </c>
      <c r="BH5" t="s">
        <v>21</v>
      </c>
      <c r="BI5">
        <v>0.16</v>
      </c>
      <c r="BJ5">
        <v>0.13</v>
      </c>
      <c r="BK5">
        <v>1</v>
      </c>
      <c r="BL5">
        <v>1</v>
      </c>
      <c r="BM5">
        <v>0</v>
      </c>
      <c r="BN5" s="24">
        <f t="shared" si="5"/>
        <v>0.29000000000000004</v>
      </c>
    </row>
    <row r="6" spans="1:66" ht="28.8" x14ac:dyDescent="0.3">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76" t="s">
        <v>85</v>
      </c>
      <c r="AJ6" s="79"/>
      <c r="AK6" s="31" t="s">
        <v>31</v>
      </c>
      <c r="AL6" t="s">
        <v>30</v>
      </c>
      <c r="AM6">
        <v>0.32</v>
      </c>
      <c r="AN6">
        <v>0.31</v>
      </c>
      <c r="AO6">
        <v>1</v>
      </c>
      <c r="AP6">
        <v>1</v>
      </c>
      <c r="AQ6">
        <v>0</v>
      </c>
      <c r="AR6" s="24">
        <f t="shared" si="3"/>
        <v>0.63</v>
      </c>
      <c r="AS6" s="243"/>
      <c r="AT6" s="76" t="s">
        <v>85</v>
      </c>
      <c r="AU6" s="79"/>
      <c r="AV6" s="31" t="s">
        <v>31</v>
      </c>
      <c r="AW6" t="s">
        <v>30</v>
      </c>
      <c r="AX6">
        <v>0.32</v>
      </c>
      <c r="AY6">
        <v>0.31</v>
      </c>
      <c r="AZ6">
        <v>1</v>
      </c>
      <c r="BA6">
        <v>1</v>
      </c>
      <c r="BB6">
        <v>0</v>
      </c>
      <c r="BC6" s="24">
        <f t="shared" si="4"/>
        <v>0.63</v>
      </c>
      <c r="BD6" s="243"/>
      <c r="BE6" s="76" t="s">
        <v>85</v>
      </c>
      <c r="BF6" s="79"/>
      <c r="BG6" s="31" t="s">
        <v>31</v>
      </c>
      <c r="BH6" t="s">
        <v>30</v>
      </c>
      <c r="BI6">
        <v>0.32</v>
      </c>
      <c r="BJ6">
        <v>0.31</v>
      </c>
      <c r="BK6">
        <v>1</v>
      </c>
      <c r="BL6">
        <v>1</v>
      </c>
      <c r="BM6">
        <v>0</v>
      </c>
      <c r="BN6" s="24">
        <f t="shared" si="5"/>
        <v>0.63</v>
      </c>
    </row>
    <row r="7" spans="1:66" x14ac:dyDescent="0.3">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76" t="s">
        <v>85</v>
      </c>
      <c r="AJ7" s="79"/>
      <c r="AK7" s="31" t="s">
        <v>33</v>
      </c>
      <c r="AL7" t="s">
        <v>6</v>
      </c>
      <c r="AM7">
        <v>0.11</v>
      </c>
      <c r="AN7">
        <v>0.06</v>
      </c>
      <c r="AO7">
        <v>1</v>
      </c>
      <c r="AP7">
        <v>1</v>
      </c>
      <c r="AQ7">
        <v>0</v>
      </c>
      <c r="AR7" s="24">
        <f t="shared" si="3"/>
        <v>0.16999999999999998</v>
      </c>
      <c r="AS7" s="243"/>
      <c r="AT7" s="76" t="s">
        <v>85</v>
      </c>
      <c r="AU7" s="79"/>
      <c r="AV7" s="31" t="s">
        <v>33</v>
      </c>
      <c r="AW7" t="s">
        <v>6</v>
      </c>
      <c r="AX7">
        <v>0.11</v>
      </c>
      <c r="AY7">
        <v>0.06</v>
      </c>
      <c r="AZ7">
        <v>1</v>
      </c>
      <c r="BA7">
        <v>1</v>
      </c>
      <c r="BB7">
        <v>0</v>
      </c>
      <c r="BC7" s="24">
        <f t="shared" si="4"/>
        <v>0.16999999999999998</v>
      </c>
      <c r="BD7" s="243"/>
      <c r="BE7" s="76" t="s">
        <v>85</v>
      </c>
      <c r="BF7" s="79"/>
      <c r="BG7" s="31" t="s">
        <v>33</v>
      </c>
      <c r="BH7" t="s">
        <v>6</v>
      </c>
      <c r="BI7">
        <v>0.11</v>
      </c>
      <c r="BJ7">
        <v>0.06</v>
      </c>
      <c r="BK7">
        <v>1</v>
      </c>
      <c r="BL7">
        <v>1</v>
      </c>
      <c r="BM7">
        <v>0</v>
      </c>
      <c r="BN7" s="24">
        <f t="shared" si="5"/>
        <v>0.16999999999999998</v>
      </c>
    </row>
    <row r="8" spans="1:66" x14ac:dyDescent="0.3">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76" t="s">
        <v>85</v>
      </c>
      <c r="AJ8" s="79"/>
      <c r="AK8" s="31" t="s">
        <v>34</v>
      </c>
      <c r="AL8" t="s">
        <v>9</v>
      </c>
      <c r="AM8">
        <v>0.34</v>
      </c>
      <c r="AN8">
        <v>0.59</v>
      </c>
      <c r="AO8">
        <v>1</v>
      </c>
      <c r="AP8">
        <v>1</v>
      </c>
      <c r="AQ8">
        <v>0</v>
      </c>
      <c r="AR8" s="24">
        <f t="shared" si="3"/>
        <v>0.92999999999999994</v>
      </c>
      <c r="AS8" s="243"/>
      <c r="AT8" s="76" t="s">
        <v>85</v>
      </c>
      <c r="AU8" s="79"/>
      <c r="AV8" s="31" t="s">
        <v>34</v>
      </c>
      <c r="AW8" t="s">
        <v>9</v>
      </c>
      <c r="AX8">
        <v>0.34</v>
      </c>
      <c r="AY8">
        <v>0.59</v>
      </c>
      <c r="AZ8">
        <v>1</v>
      </c>
      <c r="BA8">
        <v>1</v>
      </c>
      <c r="BB8">
        <v>0</v>
      </c>
      <c r="BC8" s="24">
        <f t="shared" si="4"/>
        <v>0.92999999999999994</v>
      </c>
      <c r="BD8" s="243"/>
      <c r="BE8" s="76" t="s">
        <v>85</v>
      </c>
      <c r="BF8" s="79"/>
      <c r="BG8" s="31" t="s">
        <v>34</v>
      </c>
      <c r="BH8" t="s">
        <v>9</v>
      </c>
      <c r="BI8">
        <v>0.34</v>
      </c>
      <c r="BJ8">
        <v>0.59</v>
      </c>
      <c r="BK8">
        <v>1</v>
      </c>
      <c r="BL8">
        <v>1</v>
      </c>
      <c r="BM8">
        <v>0</v>
      </c>
      <c r="BN8" s="24">
        <f t="shared" si="5"/>
        <v>0.92999999999999994</v>
      </c>
    </row>
    <row r="9" spans="1:66" ht="28.8" x14ac:dyDescent="0.3">
      <c r="A9" s="243"/>
      <c r="B9" s="42" t="s">
        <v>88</v>
      </c>
      <c r="C9" s="42"/>
      <c r="D9" s="31" t="s">
        <v>86</v>
      </c>
      <c r="E9" t="s">
        <v>6</v>
      </c>
      <c r="F9">
        <v>0.71</v>
      </c>
      <c r="G9">
        <v>1.1299999999999999</v>
      </c>
      <c r="H9">
        <v>1</v>
      </c>
      <c r="I9">
        <v>1</v>
      </c>
      <c r="J9">
        <v>0</v>
      </c>
      <c r="K9" s="24">
        <f t="shared" si="0"/>
        <v>1.8399999999999999</v>
      </c>
      <c r="L9" s="243"/>
      <c r="M9" s="76" t="s">
        <v>88</v>
      </c>
      <c r="N9" s="79"/>
      <c r="O9" s="31" t="s">
        <v>86</v>
      </c>
      <c r="P9" t="s">
        <v>6</v>
      </c>
      <c r="Q9">
        <v>0.71</v>
      </c>
      <c r="R9">
        <v>1.1299999999999999</v>
      </c>
      <c r="S9">
        <v>1</v>
      </c>
      <c r="T9">
        <v>1</v>
      </c>
      <c r="U9">
        <v>0</v>
      </c>
      <c r="V9" s="24">
        <f t="shared" si="1"/>
        <v>1.8399999999999999</v>
      </c>
      <c r="W9" s="243"/>
      <c r="X9" s="76" t="s">
        <v>88</v>
      </c>
      <c r="Y9" s="79"/>
      <c r="Z9" s="31" t="s">
        <v>86</v>
      </c>
      <c r="AA9" t="s">
        <v>6</v>
      </c>
      <c r="AB9">
        <v>0.71</v>
      </c>
      <c r="AC9">
        <v>1.1299999999999999</v>
      </c>
      <c r="AD9">
        <v>1</v>
      </c>
      <c r="AE9">
        <v>1</v>
      </c>
      <c r="AF9">
        <v>0</v>
      </c>
      <c r="AG9" s="24">
        <f t="shared" si="2"/>
        <v>1.8399999999999999</v>
      </c>
      <c r="AH9" s="243"/>
      <c r="AI9" s="76" t="s">
        <v>88</v>
      </c>
      <c r="AJ9" s="79"/>
      <c r="AK9" s="31" t="s">
        <v>86</v>
      </c>
      <c r="AL9" t="s">
        <v>6</v>
      </c>
      <c r="AM9">
        <v>0.71</v>
      </c>
      <c r="AN9">
        <v>1.1299999999999999</v>
      </c>
      <c r="AO9">
        <v>1</v>
      </c>
      <c r="AP9">
        <v>1</v>
      </c>
      <c r="AQ9">
        <v>0</v>
      </c>
      <c r="AR9" s="24">
        <f t="shared" si="3"/>
        <v>1.8399999999999999</v>
      </c>
      <c r="AS9" s="243"/>
      <c r="AT9" s="76" t="s">
        <v>88</v>
      </c>
      <c r="AU9" s="79"/>
      <c r="AV9" s="31" t="s">
        <v>86</v>
      </c>
      <c r="AW9" t="s">
        <v>6</v>
      </c>
      <c r="AX9">
        <v>0.71</v>
      </c>
      <c r="AY9">
        <v>1.1299999999999999</v>
      </c>
      <c r="AZ9">
        <v>1</v>
      </c>
      <c r="BA9">
        <v>1</v>
      </c>
      <c r="BB9">
        <v>0</v>
      </c>
      <c r="BC9" s="24">
        <f t="shared" si="4"/>
        <v>1.8399999999999999</v>
      </c>
      <c r="BD9" s="243"/>
      <c r="BE9" s="76" t="s">
        <v>88</v>
      </c>
      <c r="BF9" s="79"/>
      <c r="BG9" s="31" t="s">
        <v>86</v>
      </c>
      <c r="BH9" t="s">
        <v>6</v>
      </c>
      <c r="BI9">
        <v>0.71</v>
      </c>
      <c r="BJ9">
        <v>1.1299999999999999</v>
      </c>
      <c r="BK9">
        <v>1</v>
      </c>
      <c r="BL9">
        <v>1</v>
      </c>
      <c r="BM9">
        <v>0</v>
      </c>
      <c r="BN9" s="24">
        <f t="shared" si="5"/>
        <v>1.8399999999999999</v>
      </c>
    </row>
    <row r="10" spans="1:66" ht="28.8" x14ac:dyDescent="0.3">
      <c r="A10" s="243"/>
      <c r="B10" s="76">
        <v>72113101670</v>
      </c>
      <c r="C10" s="76"/>
      <c r="D10" s="36" t="s">
        <v>252</v>
      </c>
      <c r="E10" s="19" t="s">
        <v>9</v>
      </c>
      <c r="F10" s="19">
        <v>1.85</v>
      </c>
      <c r="G10" s="19">
        <v>0.41</v>
      </c>
      <c r="H10">
        <v>1.25</v>
      </c>
      <c r="I10">
        <v>1.25</v>
      </c>
      <c r="J10">
        <v>0.20699999999999999</v>
      </c>
      <c r="K10" s="24">
        <f t="shared" si="0"/>
        <v>3.4097750000000002</v>
      </c>
      <c r="L10" s="243"/>
      <c r="M10" s="76">
        <v>72113101670</v>
      </c>
      <c r="N10" s="79"/>
      <c r="O10" s="36" t="s">
        <v>252</v>
      </c>
      <c r="P10" s="19" t="s">
        <v>9</v>
      </c>
      <c r="Q10" s="19">
        <v>1.85</v>
      </c>
      <c r="R10" s="19">
        <v>0.41</v>
      </c>
      <c r="S10">
        <v>1.33</v>
      </c>
      <c r="T10">
        <v>1.25</v>
      </c>
      <c r="U10">
        <v>0.20699999999999999</v>
      </c>
      <c r="V10" s="24">
        <f t="shared" si="1"/>
        <v>3.5884110000000002</v>
      </c>
      <c r="W10" s="243"/>
      <c r="X10" s="20" t="s">
        <v>113</v>
      </c>
      <c r="Y10" s="79"/>
      <c r="Z10" s="31" t="s">
        <v>237</v>
      </c>
      <c r="AA10" t="s">
        <v>9</v>
      </c>
      <c r="AB10">
        <v>2.1</v>
      </c>
      <c r="AC10">
        <v>0.41</v>
      </c>
      <c r="AD10">
        <v>1.25</v>
      </c>
      <c r="AE10">
        <v>1</v>
      </c>
      <c r="AF10">
        <v>0.19500000000000001</v>
      </c>
      <c r="AG10" s="24">
        <f t="shared" si="2"/>
        <v>3.6268250000000002</v>
      </c>
      <c r="AH10" s="243"/>
      <c r="AI10" s="20" t="s">
        <v>113</v>
      </c>
      <c r="AJ10" s="79"/>
      <c r="AK10" s="31" t="s">
        <v>237</v>
      </c>
      <c r="AL10" t="s">
        <v>9</v>
      </c>
      <c r="AM10">
        <v>2.1</v>
      </c>
      <c r="AN10">
        <v>0.41</v>
      </c>
      <c r="AO10">
        <v>1.33</v>
      </c>
      <c r="AP10">
        <v>1</v>
      </c>
      <c r="AQ10">
        <v>0.19500000000000001</v>
      </c>
      <c r="AR10" s="24">
        <f t="shared" si="3"/>
        <v>3.8275850000000005</v>
      </c>
      <c r="AS10" s="243"/>
      <c r="AT10" s="20" t="s">
        <v>113</v>
      </c>
      <c r="AU10" s="79"/>
      <c r="AV10" s="31" t="s">
        <v>237</v>
      </c>
      <c r="AW10" t="s">
        <v>9</v>
      </c>
      <c r="AX10">
        <v>2.1</v>
      </c>
      <c r="AY10">
        <v>0.41</v>
      </c>
      <c r="AZ10">
        <v>1.33</v>
      </c>
      <c r="BA10">
        <v>1</v>
      </c>
      <c r="BB10">
        <v>0.19500000000000001</v>
      </c>
      <c r="BC10" s="24">
        <f t="shared" si="4"/>
        <v>3.8275850000000005</v>
      </c>
      <c r="BD10" s="243"/>
      <c r="BE10" s="20" t="s">
        <v>123</v>
      </c>
      <c r="BF10" s="79"/>
      <c r="BG10" s="31" t="s">
        <v>234</v>
      </c>
      <c r="BH10" t="s">
        <v>9</v>
      </c>
      <c r="BI10">
        <v>2.1</v>
      </c>
      <c r="BJ10">
        <v>0.94</v>
      </c>
      <c r="BK10">
        <v>1.5</v>
      </c>
      <c r="BL10">
        <v>1.25</v>
      </c>
      <c r="BM10">
        <v>0.19700000000000001</v>
      </c>
      <c r="BN10" s="24">
        <f t="shared" si="5"/>
        <v>5.1770250000000004</v>
      </c>
    </row>
    <row r="11" spans="1:66" ht="28.8" x14ac:dyDescent="0.3">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x14ac:dyDescent="0.3">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3">
      <c r="A14" s="243" t="s">
        <v>35</v>
      </c>
      <c r="B14" s="73" t="s">
        <v>84</v>
      </c>
      <c r="C14" s="73">
        <v>16</v>
      </c>
      <c r="D14" s="36" t="s">
        <v>36</v>
      </c>
      <c r="E14" s="19" t="s">
        <v>37</v>
      </c>
      <c r="F14" s="19">
        <v>0</v>
      </c>
      <c r="G14" s="19">
        <v>1.1000000000000001</v>
      </c>
      <c r="H14">
        <v>1</v>
      </c>
      <c r="I14">
        <v>1</v>
      </c>
      <c r="J14">
        <v>0</v>
      </c>
      <c r="K14" s="24">
        <f t="shared" ref="K14:K25" si="6">(F14*H14+G14*I14)*(1+J14)</f>
        <v>1.1000000000000001</v>
      </c>
      <c r="L14" s="243" t="s">
        <v>35</v>
      </c>
      <c r="M14" s="73" t="s">
        <v>84</v>
      </c>
      <c r="N14" s="80">
        <v>16</v>
      </c>
      <c r="O14" s="36" t="s">
        <v>36</v>
      </c>
      <c r="P14" s="19" t="s">
        <v>37</v>
      </c>
      <c r="Q14" s="19">
        <v>0</v>
      </c>
      <c r="R14" s="19">
        <v>1.1000000000000001</v>
      </c>
      <c r="S14">
        <v>1</v>
      </c>
      <c r="T14">
        <v>1</v>
      </c>
      <c r="U14">
        <v>0</v>
      </c>
      <c r="V14" s="24">
        <f t="shared" ref="V14:V25" si="7">(Q14*S14+R14*T14)*(1+U14)</f>
        <v>1.1000000000000001</v>
      </c>
      <c r="W14" s="243"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5"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5"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5"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3.2" x14ac:dyDescent="0.3">
      <c r="A15" s="243"/>
      <c r="B15" s="73" t="s">
        <v>84</v>
      </c>
      <c r="C15" s="74"/>
      <c r="D15" s="36" t="s">
        <v>38</v>
      </c>
      <c r="E15" s="19" t="s">
        <v>6</v>
      </c>
      <c r="F15" s="19">
        <v>0.09</v>
      </c>
      <c r="G15" s="19">
        <v>0.71</v>
      </c>
      <c r="H15">
        <v>1</v>
      </c>
      <c r="I15">
        <v>1</v>
      </c>
      <c r="J15">
        <v>0</v>
      </c>
      <c r="K15" s="24">
        <f t="shared" si="6"/>
        <v>0.79999999999999993</v>
      </c>
      <c r="L15" s="243"/>
      <c r="M15" s="73" t="s">
        <v>84</v>
      </c>
      <c r="N15" s="81"/>
      <c r="O15" s="36" t="s">
        <v>38</v>
      </c>
      <c r="P15" s="19" t="s">
        <v>6</v>
      </c>
      <c r="Q15" s="19">
        <v>0.09</v>
      </c>
      <c r="R15" s="19">
        <v>0.71</v>
      </c>
      <c r="S15">
        <v>1</v>
      </c>
      <c r="T15">
        <v>1</v>
      </c>
      <c r="U15">
        <v>0</v>
      </c>
      <c r="V15" s="24">
        <f t="shared" si="7"/>
        <v>0.79999999999999993</v>
      </c>
      <c r="W15" s="243"/>
      <c r="X15" s="73" t="s">
        <v>84</v>
      </c>
      <c r="Y15" s="81"/>
      <c r="Z15" s="36" t="s">
        <v>38</v>
      </c>
      <c r="AA15" s="19" t="s">
        <v>6</v>
      </c>
      <c r="AB15" s="19">
        <v>0.09</v>
      </c>
      <c r="AC15" s="19">
        <v>0.71</v>
      </c>
      <c r="AD15">
        <v>1</v>
      </c>
      <c r="AE15">
        <v>1</v>
      </c>
      <c r="AF15">
        <v>0</v>
      </c>
      <c r="AG15" s="24">
        <f t="shared" si="8"/>
        <v>0.79999999999999993</v>
      </c>
      <c r="AH15" s="245"/>
      <c r="AI15" s="73" t="s">
        <v>84</v>
      </c>
      <c r="AJ15" s="81"/>
      <c r="AK15" s="36" t="s">
        <v>38</v>
      </c>
      <c r="AL15" s="19" t="s">
        <v>6</v>
      </c>
      <c r="AM15" s="19">
        <v>0.09</v>
      </c>
      <c r="AN15" s="19">
        <v>0.71</v>
      </c>
      <c r="AO15">
        <v>1</v>
      </c>
      <c r="AP15">
        <v>1</v>
      </c>
      <c r="AQ15">
        <v>0</v>
      </c>
      <c r="AR15" s="24">
        <f t="shared" si="9"/>
        <v>0.79999999999999993</v>
      </c>
      <c r="AS15" s="245"/>
      <c r="AT15" s="73" t="s">
        <v>84</v>
      </c>
      <c r="AU15" s="81"/>
      <c r="AV15" s="36" t="s">
        <v>38</v>
      </c>
      <c r="AW15" s="19" t="s">
        <v>6</v>
      </c>
      <c r="AX15" s="19">
        <v>0.09</v>
      </c>
      <c r="AY15" s="19">
        <v>0.71</v>
      </c>
      <c r="AZ15">
        <v>1</v>
      </c>
      <c r="BA15">
        <v>1</v>
      </c>
      <c r="BB15">
        <v>0</v>
      </c>
      <c r="BC15" s="24">
        <f t="shared" si="10"/>
        <v>0.79999999999999993</v>
      </c>
      <c r="BD15" s="245"/>
      <c r="BE15" s="73" t="s">
        <v>84</v>
      </c>
      <c r="BF15" s="81"/>
      <c r="BG15" s="36" t="s">
        <v>38</v>
      </c>
      <c r="BH15" s="19" t="s">
        <v>6</v>
      </c>
      <c r="BI15" s="19">
        <v>0.09</v>
      </c>
      <c r="BJ15" s="19">
        <v>0.71</v>
      </c>
      <c r="BK15">
        <v>1</v>
      </c>
      <c r="BL15">
        <v>1</v>
      </c>
      <c r="BM15">
        <v>0</v>
      </c>
      <c r="BN15" s="24">
        <f t="shared" si="11"/>
        <v>0.79999999999999993</v>
      </c>
    </row>
    <row r="16" spans="1:66" ht="28.8" x14ac:dyDescent="0.3">
      <c r="A16" s="243"/>
      <c r="B16" s="73" t="s">
        <v>84</v>
      </c>
      <c r="C16" s="74"/>
      <c r="D16" s="36" t="s">
        <v>39</v>
      </c>
      <c r="E16" s="19" t="s">
        <v>40</v>
      </c>
      <c r="F16" s="19">
        <v>1.02</v>
      </c>
      <c r="G16" s="19">
        <v>0</v>
      </c>
      <c r="H16">
        <v>1</v>
      </c>
      <c r="I16">
        <v>1</v>
      </c>
      <c r="J16">
        <v>0</v>
      </c>
      <c r="K16" s="24">
        <f t="shared" si="6"/>
        <v>1.02</v>
      </c>
      <c r="L16" s="243"/>
      <c r="M16" s="73" t="s">
        <v>84</v>
      </c>
      <c r="N16" s="81"/>
      <c r="O16" s="36" t="s">
        <v>39</v>
      </c>
      <c r="P16" s="19" t="s">
        <v>40</v>
      </c>
      <c r="Q16" s="19">
        <v>1.02</v>
      </c>
      <c r="R16" s="19">
        <v>0</v>
      </c>
      <c r="S16">
        <v>1</v>
      </c>
      <c r="T16">
        <v>1</v>
      </c>
      <c r="U16">
        <v>0</v>
      </c>
      <c r="V16" s="24">
        <f t="shared" si="7"/>
        <v>1.02</v>
      </c>
      <c r="W16" s="243"/>
      <c r="X16" s="73" t="s">
        <v>84</v>
      </c>
      <c r="Y16" s="81"/>
      <c r="Z16" s="36" t="s">
        <v>39</v>
      </c>
      <c r="AA16" s="19" t="s">
        <v>40</v>
      </c>
      <c r="AB16" s="19">
        <v>1.02</v>
      </c>
      <c r="AC16" s="19">
        <v>0</v>
      </c>
      <c r="AD16">
        <v>1</v>
      </c>
      <c r="AE16">
        <v>1</v>
      </c>
      <c r="AF16">
        <v>0</v>
      </c>
      <c r="AG16" s="24">
        <f t="shared" si="8"/>
        <v>1.02</v>
      </c>
      <c r="AH16" s="245"/>
      <c r="AI16" s="73" t="s">
        <v>84</v>
      </c>
      <c r="AJ16" s="81"/>
      <c r="AK16" s="36" t="s">
        <v>39</v>
      </c>
      <c r="AL16" s="19" t="s">
        <v>40</v>
      </c>
      <c r="AM16" s="19">
        <v>1.02</v>
      </c>
      <c r="AN16" s="19">
        <v>0</v>
      </c>
      <c r="AO16">
        <v>1</v>
      </c>
      <c r="AP16">
        <v>1</v>
      </c>
      <c r="AQ16">
        <v>0</v>
      </c>
      <c r="AR16" s="24">
        <f t="shared" si="9"/>
        <v>1.02</v>
      </c>
      <c r="AS16" s="245"/>
      <c r="AT16" s="73" t="s">
        <v>84</v>
      </c>
      <c r="AU16" s="81"/>
      <c r="AV16" s="36" t="s">
        <v>39</v>
      </c>
      <c r="AW16" s="19" t="s">
        <v>40</v>
      </c>
      <c r="AX16" s="19">
        <v>1.02</v>
      </c>
      <c r="AY16" s="19">
        <v>0</v>
      </c>
      <c r="AZ16">
        <v>1</v>
      </c>
      <c r="BA16">
        <v>1</v>
      </c>
      <c r="BB16">
        <v>0</v>
      </c>
      <c r="BC16" s="24">
        <f t="shared" si="10"/>
        <v>1.02</v>
      </c>
      <c r="BD16" s="245"/>
      <c r="BE16" s="73" t="s">
        <v>84</v>
      </c>
      <c r="BF16" s="81"/>
      <c r="BG16" s="36" t="s">
        <v>39</v>
      </c>
      <c r="BH16" s="19" t="s">
        <v>40</v>
      </c>
      <c r="BI16" s="19">
        <v>1.02</v>
      </c>
      <c r="BJ16" s="19">
        <v>0</v>
      </c>
      <c r="BK16">
        <v>1</v>
      </c>
      <c r="BL16">
        <v>1</v>
      </c>
      <c r="BM16">
        <v>0</v>
      </c>
      <c r="BN16" s="24">
        <f t="shared" si="11"/>
        <v>1.02</v>
      </c>
    </row>
    <row r="17" spans="1:66" ht="28.8" x14ac:dyDescent="0.3">
      <c r="A17" s="243"/>
      <c r="B17" s="73" t="s">
        <v>84</v>
      </c>
      <c r="C17" s="74"/>
      <c r="D17" s="36" t="s">
        <v>55</v>
      </c>
      <c r="E17" s="19" t="s">
        <v>27</v>
      </c>
      <c r="F17" s="19">
        <v>0.17</v>
      </c>
      <c r="G17" s="19">
        <v>0</v>
      </c>
      <c r="H17">
        <v>1</v>
      </c>
      <c r="I17">
        <v>1</v>
      </c>
      <c r="J17">
        <v>0</v>
      </c>
      <c r="K17" s="24">
        <f t="shared" si="6"/>
        <v>0.17</v>
      </c>
      <c r="L17" s="243"/>
      <c r="M17" s="73" t="s">
        <v>84</v>
      </c>
      <c r="N17" s="81"/>
      <c r="O17" s="36" t="s">
        <v>55</v>
      </c>
      <c r="P17" s="19" t="s">
        <v>27</v>
      </c>
      <c r="Q17" s="19">
        <v>0.17</v>
      </c>
      <c r="R17" s="19">
        <v>0</v>
      </c>
      <c r="S17">
        <v>1</v>
      </c>
      <c r="T17">
        <v>1</v>
      </c>
      <c r="U17">
        <v>0</v>
      </c>
      <c r="V17" s="24">
        <f t="shared" si="7"/>
        <v>0.17</v>
      </c>
      <c r="W17" s="243"/>
      <c r="X17" s="73" t="s">
        <v>84</v>
      </c>
      <c r="Y17" s="81"/>
      <c r="Z17" s="36" t="s">
        <v>55</v>
      </c>
      <c r="AA17" s="19" t="s">
        <v>27</v>
      </c>
      <c r="AB17" s="19">
        <v>0.17</v>
      </c>
      <c r="AC17" s="19">
        <v>0</v>
      </c>
      <c r="AD17">
        <v>1</v>
      </c>
      <c r="AE17">
        <v>1</v>
      </c>
      <c r="AF17">
        <v>0</v>
      </c>
      <c r="AG17" s="24">
        <f t="shared" si="8"/>
        <v>0.17</v>
      </c>
      <c r="AH17" s="245"/>
      <c r="AI17" s="73" t="s">
        <v>84</v>
      </c>
      <c r="AJ17" s="81"/>
      <c r="AK17" s="36" t="s">
        <v>55</v>
      </c>
      <c r="AL17" s="19" t="s">
        <v>27</v>
      </c>
      <c r="AM17" s="19">
        <v>0.17</v>
      </c>
      <c r="AN17" s="19">
        <v>0</v>
      </c>
      <c r="AO17">
        <v>1</v>
      </c>
      <c r="AP17">
        <v>1</v>
      </c>
      <c r="AQ17">
        <v>0</v>
      </c>
      <c r="AR17" s="24">
        <f t="shared" si="9"/>
        <v>0.17</v>
      </c>
      <c r="AS17" s="245"/>
      <c r="AT17" s="73" t="s">
        <v>84</v>
      </c>
      <c r="AU17" s="81"/>
      <c r="AV17" s="36" t="s">
        <v>55</v>
      </c>
      <c r="AW17" s="19" t="s">
        <v>27</v>
      </c>
      <c r="AX17" s="19">
        <v>0.17</v>
      </c>
      <c r="AY17" s="19">
        <v>0</v>
      </c>
      <c r="AZ17">
        <v>1</v>
      </c>
      <c r="BA17">
        <v>1</v>
      </c>
      <c r="BB17">
        <v>0</v>
      </c>
      <c r="BC17" s="24">
        <f t="shared" si="10"/>
        <v>0.17</v>
      </c>
      <c r="BD17" s="245"/>
      <c r="BE17" s="73" t="s">
        <v>84</v>
      </c>
      <c r="BF17" s="81"/>
      <c r="BG17" s="36" t="s">
        <v>55</v>
      </c>
      <c r="BH17" s="19" t="s">
        <v>27</v>
      </c>
      <c r="BI17" s="19">
        <v>0.17</v>
      </c>
      <c r="BJ17" s="19">
        <v>0</v>
      </c>
      <c r="BK17">
        <v>1</v>
      </c>
      <c r="BL17">
        <v>1</v>
      </c>
      <c r="BM17">
        <v>0</v>
      </c>
      <c r="BN17" s="24">
        <f t="shared" si="11"/>
        <v>0.17</v>
      </c>
    </row>
    <row r="18" spans="1:66" ht="28.8" x14ac:dyDescent="0.3">
      <c r="A18" s="243"/>
      <c r="B18" s="73" t="s">
        <v>84</v>
      </c>
      <c r="C18" s="74"/>
      <c r="D18" s="36" t="s">
        <v>41</v>
      </c>
      <c r="E18" s="19" t="s">
        <v>9</v>
      </c>
      <c r="F18" s="19">
        <v>0.5</v>
      </c>
      <c r="G18" s="19">
        <v>0.74</v>
      </c>
      <c r="H18">
        <v>1</v>
      </c>
      <c r="I18">
        <v>1</v>
      </c>
      <c r="J18">
        <v>0</v>
      </c>
      <c r="K18" s="24">
        <f t="shared" si="6"/>
        <v>1.24</v>
      </c>
      <c r="L18" s="243"/>
      <c r="M18" s="73" t="s">
        <v>84</v>
      </c>
      <c r="N18" s="81"/>
      <c r="O18" s="36" t="s">
        <v>41</v>
      </c>
      <c r="P18" s="19" t="s">
        <v>9</v>
      </c>
      <c r="Q18" s="19">
        <v>0.5</v>
      </c>
      <c r="R18" s="19">
        <v>0.74</v>
      </c>
      <c r="S18">
        <v>1</v>
      </c>
      <c r="T18">
        <v>1</v>
      </c>
      <c r="U18">
        <v>0</v>
      </c>
      <c r="V18" s="24">
        <f t="shared" si="7"/>
        <v>1.24</v>
      </c>
      <c r="W18" s="243"/>
      <c r="X18" s="73" t="s">
        <v>84</v>
      </c>
      <c r="Y18" s="81"/>
      <c r="Z18" s="36" t="s">
        <v>41</v>
      </c>
      <c r="AA18" s="19" t="s">
        <v>9</v>
      </c>
      <c r="AB18" s="19">
        <v>0.5</v>
      </c>
      <c r="AC18" s="19">
        <v>0.74</v>
      </c>
      <c r="AD18">
        <v>1</v>
      </c>
      <c r="AE18">
        <v>1</v>
      </c>
      <c r="AF18">
        <v>0</v>
      </c>
      <c r="AG18" s="24">
        <f t="shared" si="8"/>
        <v>1.24</v>
      </c>
      <c r="AH18" s="245"/>
      <c r="AI18" s="73" t="s">
        <v>84</v>
      </c>
      <c r="AJ18" s="81"/>
      <c r="AK18" s="36" t="s">
        <v>41</v>
      </c>
      <c r="AL18" s="19" t="s">
        <v>9</v>
      </c>
      <c r="AM18" s="19">
        <v>0.5</v>
      </c>
      <c r="AN18" s="19">
        <v>0.74</v>
      </c>
      <c r="AO18">
        <v>1</v>
      </c>
      <c r="AP18">
        <v>1</v>
      </c>
      <c r="AQ18">
        <v>0</v>
      </c>
      <c r="AR18" s="24">
        <f t="shared" si="9"/>
        <v>1.24</v>
      </c>
      <c r="AS18" s="245"/>
      <c r="AT18" s="73" t="s">
        <v>84</v>
      </c>
      <c r="AU18" s="81"/>
      <c r="AV18" s="36" t="s">
        <v>41</v>
      </c>
      <c r="AW18" s="19" t="s">
        <v>9</v>
      </c>
      <c r="AX18" s="19">
        <v>0.5</v>
      </c>
      <c r="AY18" s="19">
        <v>0.74</v>
      </c>
      <c r="AZ18">
        <v>1</v>
      </c>
      <c r="BA18">
        <v>1</v>
      </c>
      <c r="BB18">
        <v>0</v>
      </c>
      <c r="BC18" s="24">
        <f t="shared" si="10"/>
        <v>1.24</v>
      </c>
      <c r="BD18" s="245"/>
      <c r="BE18" s="73" t="s">
        <v>84</v>
      </c>
      <c r="BF18" s="81"/>
      <c r="BG18" s="36" t="s">
        <v>41</v>
      </c>
      <c r="BH18" s="19" t="s">
        <v>9</v>
      </c>
      <c r="BI18" s="19">
        <v>0.5</v>
      </c>
      <c r="BJ18" s="19">
        <v>0.74</v>
      </c>
      <c r="BK18">
        <v>1</v>
      </c>
      <c r="BL18">
        <v>1</v>
      </c>
      <c r="BM18">
        <v>0</v>
      </c>
      <c r="BN18" s="24">
        <f t="shared" si="11"/>
        <v>1.24</v>
      </c>
    </row>
    <row r="19" spans="1:66" ht="43.2" x14ac:dyDescent="0.3">
      <c r="A19" s="243"/>
      <c r="B19" s="73" t="s">
        <v>84</v>
      </c>
      <c r="C19" s="74"/>
      <c r="D19" s="36" t="s">
        <v>43</v>
      </c>
      <c r="E19" s="19" t="s">
        <v>42</v>
      </c>
      <c r="F19" s="19">
        <v>1.48</v>
      </c>
      <c r="G19" s="19">
        <v>1.64</v>
      </c>
      <c r="H19">
        <v>1</v>
      </c>
      <c r="I19">
        <v>1</v>
      </c>
      <c r="J19">
        <v>0</v>
      </c>
      <c r="K19" s="24">
        <f t="shared" si="6"/>
        <v>3.12</v>
      </c>
      <c r="L19" s="243"/>
      <c r="M19" s="73" t="s">
        <v>84</v>
      </c>
      <c r="N19" s="81"/>
      <c r="O19" s="36" t="s">
        <v>43</v>
      </c>
      <c r="P19" s="19" t="s">
        <v>42</v>
      </c>
      <c r="Q19" s="19">
        <v>1.48</v>
      </c>
      <c r="R19" s="19">
        <v>1.64</v>
      </c>
      <c r="S19">
        <v>1</v>
      </c>
      <c r="T19">
        <v>1</v>
      </c>
      <c r="U19">
        <v>0</v>
      </c>
      <c r="V19" s="24">
        <f t="shared" si="7"/>
        <v>3.12</v>
      </c>
      <c r="W19" s="243"/>
      <c r="X19" s="73" t="s">
        <v>84</v>
      </c>
      <c r="Y19" s="81"/>
      <c r="Z19" s="36" t="s">
        <v>43</v>
      </c>
      <c r="AA19" s="19" t="s">
        <v>42</v>
      </c>
      <c r="AB19" s="19">
        <v>1.48</v>
      </c>
      <c r="AC19" s="19">
        <v>1.64</v>
      </c>
      <c r="AD19">
        <v>1</v>
      </c>
      <c r="AE19">
        <v>1</v>
      </c>
      <c r="AF19">
        <v>0</v>
      </c>
      <c r="AG19" s="24">
        <f t="shared" si="8"/>
        <v>3.12</v>
      </c>
      <c r="AH19" s="245"/>
      <c r="AI19" s="73" t="s">
        <v>84</v>
      </c>
      <c r="AJ19" s="81"/>
      <c r="AK19" s="36" t="s">
        <v>43</v>
      </c>
      <c r="AL19" s="19" t="s">
        <v>42</v>
      </c>
      <c r="AM19" s="19">
        <v>1.48</v>
      </c>
      <c r="AN19" s="19">
        <v>1.64</v>
      </c>
      <c r="AO19">
        <v>1</v>
      </c>
      <c r="AP19">
        <v>1</v>
      </c>
      <c r="AQ19">
        <v>0</v>
      </c>
      <c r="AR19" s="24">
        <f t="shared" si="9"/>
        <v>3.12</v>
      </c>
      <c r="AS19" s="245"/>
      <c r="AT19" s="73" t="s">
        <v>84</v>
      </c>
      <c r="AU19" s="81"/>
      <c r="AV19" s="36" t="s">
        <v>43</v>
      </c>
      <c r="AW19" s="19" t="s">
        <v>42</v>
      </c>
      <c r="AX19" s="19">
        <v>1.48</v>
      </c>
      <c r="AY19" s="19">
        <v>1.64</v>
      </c>
      <c r="AZ19">
        <v>1</v>
      </c>
      <c r="BA19">
        <v>1</v>
      </c>
      <c r="BB19">
        <v>0</v>
      </c>
      <c r="BC19" s="24">
        <f t="shared" si="10"/>
        <v>3.12</v>
      </c>
      <c r="BD19" s="245"/>
      <c r="BE19" s="73" t="s">
        <v>84</v>
      </c>
      <c r="BF19" s="81"/>
      <c r="BG19" s="36" t="s">
        <v>43</v>
      </c>
      <c r="BH19" s="19" t="s">
        <v>42</v>
      </c>
      <c r="BI19" s="19">
        <v>1.48</v>
      </c>
      <c r="BJ19" s="19">
        <v>1.64</v>
      </c>
      <c r="BK19">
        <v>1</v>
      </c>
      <c r="BL19">
        <v>1</v>
      </c>
      <c r="BM19">
        <v>0</v>
      </c>
      <c r="BN19" s="24">
        <f t="shared" si="11"/>
        <v>3.12</v>
      </c>
    </row>
    <row r="20" spans="1:66" ht="28.8" x14ac:dyDescent="0.3">
      <c r="A20" s="243"/>
      <c r="B20" s="73" t="s">
        <v>84</v>
      </c>
      <c r="C20" s="74"/>
      <c r="D20" s="36" t="s">
        <v>44</v>
      </c>
      <c r="E20" s="19" t="s">
        <v>21</v>
      </c>
      <c r="F20" s="19">
        <v>0.14000000000000001</v>
      </c>
      <c r="G20" s="19">
        <v>0.08</v>
      </c>
      <c r="H20">
        <v>1</v>
      </c>
      <c r="I20">
        <v>1</v>
      </c>
      <c r="J20">
        <v>0</v>
      </c>
      <c r="K20" s="24">
        <f t="shared" si="6"/>
        <v>0.22000000000000003</v>
      </c>
      <c r="L20" s="243"/>
      <c r="M20" s="73" t="s">
        <v>84</v>
      </c>
      <c r="N20" s="81"/>
      <c r="O20" s="36" t="s">
        <v>44</v>
      </c>
      <c r="P20" s="19" t="s">
        <v>21</v>
      </c>
      <c r="Q20" s="19">
        <v>0.14000000000000001</v>
      </c>
      <c r="R20" s="19">
        <v>0.08</v>
      </c>
      <c r="S20">
        <v>1</v>
      </c>
      <c r="T20">
        <v>1</v>
      </c>
      <c r="U20">
        <v>0</v>
      </c>
      <c r="V20" s="24">
        <f t="shared" si="7"/>
        <v>0.22000000000000003</v>
      </c>
      <c r="W20" s="243"/>
      <c r="X20" s="73" t="s">
        <v>84</v>
      </c>
      <c r="Y20" s="81"/>
      <c r="Z20" s="36" t="s">
        <v>44</v>
      </c>
      <c r="AA20" s="19" t="s">
        <v>21</v>
      </c>
      <c r="AB20" s="19">
        <v>0.14000000000000001</v>
      </c>
      <c r="AC20" s="19">
        <v>0.08</v>
      </c>
      <c r="AD20">
        <v>1</v>
      </c>
      <c r="AE20">
        <v>1</v>
      </c>
      <c r="AF20">
        <v>0</v>
      </c>
      <c r="AG20" s="24">
        <f t="shared" si="8"/>
        <v>0.22000000000000003</v>
      </c>
      <c r="AH20" s="245"/>
      <c r="AI20" s="73" t="s">
        <v>84</v>
      </c>
      <c r="AJ20" s="81"/>
      <c r="AK20" s="36" t="s">
        <v>44</v>
      </c>
      <c r="AL20" s="19" t="s">
        <v>21</v>
      </c>
      <c r="AM20" s="19">
        <v>0.14000000000000001</v>
      </c>
      <c r="AN20" s="19">
        <v>0.08</v>
      </c>
      <c r="AO20">
        <v>1</v>
      </c>
      <c r="AP20">
        <v>1</v>
      </c>
      <c r="AQ20">
        <v>0</v>
      </c>
      <c r="AR20" s="24">
        <f t="shared" si="9"/>
        <v>0.22000000000000003</v>
      </c>
      <c r="AS20" s="245"/>
      <c r="AT20" s="73" t="s">
        <v>84</v>
      </c>
      <c r="AU20" s="81"/>
      <c r="AV20" s="36" t="s">
        <v>44</v>
      </c>
      <c r="AW20" s="19" t="s">
        <v>21</v>
      </c>
      <c r="AX20" s="19">
        <v>0.14000000000000001</v>
      </c>
      <c r="AY20" s="19">
        <v>0.08</v>
      </c>
      <c r="AZ20">
        <v>1</v>
      </c>
      <c r="BA20">
        <v>1</v>
      </c>
      <c r="BB20">
        <v>0</v>
      </c>
      <c r="BC20" s="24">
        <f t="shared" si="10"/>
        <v>0.22000000000000003</v>
      </c>
      <c r="BD20" s="245"/>
      <c r="BE20" s="73" t="s">
        <v>84</v>
      </c>
      <c r="BF20" s="81"/>
      <c r="BG20" s="36" t="s">
        <v>44</v>
      </c>
      <c r="BH20" s="19" t="s">
        <v>21</v>
      </c>
      <c r="BI20" s="19">
        <v>0.14000000000000001</v>
      </c>
      <c r="BJ20" s="19">
        <v>0.08</v>
      </c>
      <c r="BK20">
        <v>1</v>
      </c>
      <c r="BL20">
        <v>1</v>
      </c>
      <c r="BM20">
        <v>0</v>
      </c>
      <c r="BN20" s="24">
        <f t="shared" si="11"/>
        <v>0.22000000000000003</v>
      </c>
    </row>
    <row r="21" spans="1:66" x14ac:dyDescent="0.3">
      <c r="A21" s="243"/>
      <c r="B21" s="73" t="s">
        <v>84</v>
      </c>
      <c r="C21" s="74"/>
      <c r="D21" s="36" t="s">
        <v>45</v>
      </c>
      <c r="E21" s="19" t="s">
        <v>9</v>
      </c>
      <c r="F21" s="19">
        <v>0.02</v>
      </c>
      <c r="G21" s="19">
        <v>0.12</v>
      </c>
      <c r="H21">
        <v>1</v>
      </c>
      <c r="I21">
        <v>1</v>
      </c>
      <c r="J21">
        <v>0</v>
      </c>
      <c r="K21" s="24">
        <f t="shared" si="6"/>
        <v>0.13999999999999999</v>
      </c>
      <c r="L21" s="243"/>
      <c r="M21" s="73" t="s">
        <v>84</v>
      </c>
      <c r="N21" s="81"/>
      <c r="O21" s="36" t="s">
        <v>45</v>
      </c>
      <c r="P21" s="19" t="s">
        <v>9</v>
      </c>
      <c r="Q21" s="19">
        <v>0.02</v>
      </c>
      <c r="R21" s="19">
        <v>0.12</v>
      </c>
      <c r="S21">
        <v>1</v>
      </c>
      <c r="T21">
        <v>1</v>
      </c>
      <c r="U21">
        <v>0</v>
      </c>
      <c r="V21" s="24">
        <f t="shared" si="7"/>
        <v>0.13999999999999999</v>
      </c>
      <c r="W21" s="243"/>
      <c r="X21" s="73" t="s">
        <v>84</v>
      </c>
      <c r="Y21" s="81"/>
      <c r="Z21" s="36" t="s">
        <v>45</v>
      </c>
      <c r="AA21" s="19" t="s">
        <v>9</v>
      </c>
      <c r="AB21" s="19">
        <v>0.02</v>
      </c>
      <c r="AC21" s="19">
        <v>0.12</v>
      </c>
      <c r="AD21">
        <v>1</v>
      </c>
      <c r="AE21">
        <v>1</v>
      </c>
      <c r="AF21">
        <v>0</v>
      </c>
      <c r="AG21" s="24">
        <f t="shared" si="8"/>
        <v>0.13999999999999999</v>
      </c>
      <c r="AH21" s="245"/>
      <c r="AI21" s="73" t="s">
        <v>84</v>
      </c>
      <c r="AJ21" s="81"/>
      <c r="AK21" s="36" t="s">
        <v>45</v>
      </c>
      <c r="AL21" s="19" t="s">
        <v>9</v>
      </c>
      <c r="AM21" s="19">
        <v>0.02</v>
      </c>
      <c r="AN21" s="19">
        <v>0.12</v>
      </c>
      <c r="AO21">
        <v>1</v>
      </c>
      <c r="AP21">
        <v>1</v>
      </c>
      <c r="AQ21">
        <v>0</v>
      </c>
      <c r="AR21" s="24">
        <f t="shared" si="9"/>
        <v>0.13999999999999999</v>
      </c>
      <c r="AS21" s="245"/>
      <c r="AT21" s="73" t="s">
        <v>84</v>
      </c>
      <c r="AU21" s="81"/>
      <c r="AV21" s="36" t="s">
        <v>45</v>
      </c>
      <c r="AW21" s="19" t="s">
        <v>9</v>
      </c>
      <c r="AX21" s="19">
        <v>0.02</v>
      </c>
      <c r="AY21" s="19">
        <v>0.12</v>
      </c>
      <c r="AZ21">
        <v>1</v>
      </c>
      <c r="BA21">
        <v>1</v>
      </c>
      <c r="BB21">
        <v>0</v>
      </c>
      <c r="BC21" s="24">
        <f t="shared" si="10"/>
        <v>0.13999999999999999</v>
      </c>
      <c r="BD21" s="245"/>
      <c r="BE21" s="73" t="s">
        <v>84</v>
      </c>
      <c r="BF21" s="81"/>
      <c r="BG21" s="36" t="s">
        <v>45</v>
      </c>
      <c r="BH21" s="19" t="s">
        <v>9</v>
      </c>
      <c r="BI21" s="19">
        <v>0.02</v>
      </c>
      <c r="BJ21" s="19">
        <v>0.12</v>
      </c>
      <c r="BK21">
        <v>1</v>
      </c>
      <c r="BL21">
        <v>1</v>
      </c>
      <c r="BM21">
        <v>0</v>
      </c>
      <c r="BN21" s="24">
        <f t="shared" si="11"/>
        <v>0.13999999999999999</v>
      </c>
    </row>
    <row r="22" spans="1:66" ht="28.8" x14ac:dyDescent="0.3">
      <c r="A22" s="243"/>
      <c r="B22" s="73" t="s">
        <v>84</v>
      </c>
      <c r="C22" s="74"/>
      <c r="D22" s="36" t="s">
        <v>62</v>
      </c>
      <c r="E22" s="19" t="s">
        <v>30</v>
      </c>
      <c r="F22" s="19">
        <v>0.17</v>
      </c>
      <c r="G22" s="19">
        <v>1.4</v>
      </c>
      <c r="H22">
        <v>1</v>
      </c>
      <c r="I22">
        <v>1</v>
      </c>
      <c r="J22">
        <v>0</v>
      </c>
      <c r="K22" s="24">
        <f t="shared" si="6"/>
        <v>1.5699999999999998</v>
      </c>
      <c r="L22" s="243"/>
      <c r="M22" s="73" t="s">
        <v>84</v>
      </c>
      <c r="N22" s="81"/>
      <c r="O22" s="36" t="s">
        <v>62</v>
      </c>
      <c r="P22" s="19" t="s">
        <v>30</v>
      </c>
      <c r="Q22" s="19">
        <v>0.17</v>
      </c>
      <c r="R22" s="19">
        <v>1.4</v>
      </c>
      <c r="S22">
        <v>1</v>
      </c>
      <c r="T22">
        <v>1</v>
      </c>
      <c r="U22">
        <v>0</v>
      </c>
      <c r="V22" s="24">
        <f t="shared" si="7"/>
        <v>1.5699999999999998</v>
      </c>
      <c r="W22" s="243"/>
      <c r="X22" s="73" t="s">
        <v>84</v>
      </c>
      <c r="Y22" s="81"/>
      <c r="Z22" s="36" t="s">
        <v>62</v>
      </c>
      <c r="AA22" s="19" t="s">
        <v>30</v>
      </c>
      <c r="AB22" s="19">
        <v>0.17</v>
      </c>
      <c r="AC22" s="19">
        <v>1.4</v>
      </c>
      <c r="AD22">
        <v>1</v>
      </c>
      <c r="AE22">
        <v>1</v>
      </c>
      <c r="AF22">
        <v>0</v>
      </c>
      <c r="AG22" s="24">
        <f t="shared" si="8"/>
        <v>1.5699999999999998</v>
      </c>
      <c r="AH22" s="245"/>
      <c r="AI22" s="73" t="s">
        <v>84</v>
      </c>
      <c r="AJ22" s="81"/>
      <c r="AK22" s="36" t="s">
        <v>62</v>
      </c>
      <c r="AL22" s="19" t="s">
        <v>30</v>
      </c>
      <c r="AM22" s="19">
        <v>0.17</v>
      </c>
      <c r="AN22" s="19">
        <v>1.4</v>
      </c>
      <c r="AO22">
        <v>1</v>
      </c>
      <c r="AP22">
        <v>1</v>
      </c>
      <c r="AQ22">
        <v>0</v>
      </c>
      <c r="AR22" s="24">
        <f t="shared" si="9"/>
        <v>1.5699999999999998</v>
      </c>
      <c r="AS22" s="245"/>
      <c r="AT22" s="73" t="s">
        <v>84</v>
      </c>
      <c r="AU22" s="81"/>
      <c r="AV22" s="36" t="s">
        <v>62</v>
      </c>
      <c r="AW22" s="19" t="s">
        <v>30</v>
      </c>
      <c r="AX22" s="19">
        <v>0.17</v>
      </c>
      <c r="AY22" s="19">
        <v>1.4</v>
      </c>
      <c r="AZ22">
        <v>1</v>
      </c>
      <c r="BA22">
        <v>1</v>
      </c>
      <c r="BB22">
        <v>0</v>
      </c>
      <c r="BC22" s="24">
        <f t="shared" si="10"/>
        <v>1.5699999999999998</v>
      </c>
      <c r="BD22" s="245"/>
      <c r="BE22" s="73" t="s">
        <v>84</v>
      </c>
      <c r="BF22" s="81"/>
      <c r="BG22" s="36" t="s">
        <v>62</v>
      </c>
      <c r="BH22" s="19" t="s">
        <v>30</v>
      </c>
      <c r="BI22" s="19">
        <v>0.17</v>
      </c>
      <c r="BJ22" s="19">
        <v>1.4</v>
      </c>
      <c r="BK22">
        <v>1</v>
      </c>
      <c r="BL22">
        <v>1</v>
      </c>
      <c r="BM22">
        <v>0</v>
      </c>
      <c r="BN22" s="24">
        <f t="shared" si="11"/>
        <v>1.5699999999999998</v>
      </c>
    </row>
    <row r="23" spans="1:66" ht="28.8" x14ac:dyDescent="0.3">
      <c r="A23" s="243"/>
      <c r="B23" s="76" t="s">
        <v>88</v>
      </c>
      <c r="C23" s="76"/>
      <c r="D23" s="31" t="s">
        <v>86</v>
      </c>
      <c r="E23" t="s">
        <v>6</v>
      </c>
      <c r="F23">
        <v>0.71</v>
      </c>
      <c r="G23">
        <v>1.1299999999999999</v>
      </c>
      <c r="H23">
        <v>1</v>
      </c>
      <c r="I23">
        <v>1</v>
      </c>
      <c r="J23">
        <v>0</v>
      </c>
      <c r="K23" s="24">
        <f t="shared" si="6"/>
        <v>1.8399999999999999</v>
      </c>
      <c r="L23" s="243"/>
      <c r="M23" s="76" t="s">
        <v>88</v>
      </c>
      <c r="N23" s="79"/>
      <c r="O23" s="31" t="s">
        <v>86</v>
      </c>
      <c r="P23" t="s">
        <v>6</v>
      </c>
      <c r="Q23">
        <v>0.71</v>
      </c>
      <c r="R23">
        <v>1.1299999999999999</v>
      </c>
      <c r="S23">
        <v>1</v>
      </c>
      <c r="T23">
        <v>1</v>
      </c>
      <c r="U23">
        <v>0</v>
      </c>
      <c r="V23" s="24">
        <f t="shared" si="7"/>
        <v>1.8399999999999999</v>
      </c>
      <c r="W23" s="243"/>
      <c r="X23" s="76" t="s">
        <v>88</v>
      </c>
      <c r="Y23" s="79"/>
      <c r="Z23" s="31" t="s">
        <v>86</v>
      </c>
      <c r="AA23" t="s">
        <v>6</v>
      </c>
      <c r="AB23">
        <v>0.71</v>
      </c>
      <c r="AC23">
        <v>1.1299999999999999</v>
      </c>
      <c r="AD23">
        <v>1</v>
      </c>
      <c r="AE23">
        <v>1</v>
      </c>
      <c r="AF23">
        <v>0</v>
      </c>
      <c r="AG23" s="24">
        <f t="shared" si="8"/>
        <v>1.8399999999999999</v>
      </c>
      <c r="AH23" s="245"/>
      <c r="AI23" s="76" t="s">
        <v>88</v>
      </c>
      <c r="AJ23" s="79"/>
      <c r="AK23" s="31" t="s">
        <v>86</v>
      </c>
      <c r="AL23" t="s">
        <v>6</v>
      </c>
      <c r="AM23">
        <v>0.71</v>
      </c>
      <c r="AN23">
        <v>1.1299999999999999</v>
      </c>
      <c r="AO23">
        <v>1</v>
      </c>
      <c r="AP23">
        <v>1</v>
      </c>
      <c r="AQ23">
        <v>0</v>
      </c>
      <c r="AR23" s="24">
        <f t="shared" si="9"/>
        <v>1.8399999999999999</v>
      </c>
      <c r="AS23" s="245"/>
      <c r="AT23" s="76" t="s">
        <v>88</v>
      </c>
      <c r="AU23" s="79"/>
      <c r="AV23" s="31" t="s">
        <v>86</v>
      </c>
      <c r="AW23" t="s">
        <v>6</v>
      </c>
      <c r="AX23">
        <v>0.71</v>
      </c>
      <c r="AY23">
        <v>1.1299999999999999</v>
      </c>
      <c r="AZ23">
        <v>1</v>
      </c>
      <c r="BA23">
        <v>1</v>
      </c>
      <c r="BB23">
        <v>0</v>
      </c>
      <c r="BC23" s="24">
        <f t="shared" si="10"/>
        <v>1.8399999999999999</v>
      </c>
      <c r="BD23" s="245"/>
      <c r="BE23" s="76" t="s">
        <v>88</v>
      </c>
      <c r="BF23" s="79"/>
      <c r="BG23" s="31" t="s">
        <v>86</v>
      </c>
      <c r="BH23" t="s">
        <v>6</v>
      </c>
      <c r="BI23">
        <v>0.71</v>
      </c>
      <c r="BJ23">
        <v>1.1299999999999999</v>
      </c>
      <c r="BK23">
        <v>1</v>
      </c>
      <c r="BL23">
        <v>1</v>
      </c>
      <c r="BM23">
        <v>0</v>
      </c>
      <c r="BN23" s="24">
        <f t="shared" si="11"/>
        <v>1.8399999999999999</v>
      </c>
    </row>
    <row r="24" spans="1:66" ht="28.8" x14ac:dyDescent="0.3">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28.8" x14ac:dyDescent="0.3">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x14ac:dyDescent="0.3">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3">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3">
      <c r="A28" s="243" t="s">
        <v>46</v>
      </c>
      <c r="B28" s="73"/>
      <c r="C28" s="73">
        <v>17</v>
      </c>
      <c r="D28" s="36" t="s">
        <v>47</v>
      </c>
      <c r="E28" s="19" t="s">
        <v>37</v>
      </c>
      <c r="F28" s="19">
        <v>0</v>
      </c>
      <c r="G28" s="19">
        <v>0</v>
      </c>
      <c r="H28">
        <v>1</v>
      </c>
      <c r="I28">
        <v>1</v>
      </c>
      <c r="K28" s="24">
        <f>(F28*H28+G28*I28)*(1+J28)</f>
        <v>0</v>
      </c>
      <c r="L28" s="243" t="s">
        <v>46</v>
      </c>
      <c r="M28" s="73"/>
      <c r="N28" s="80">
        <v>17</v>
      </c>
      <c r="O28" s="36" t="s">
        <v>47</v>
      </c>
      <c r="P28" s="19" t="s">
        <v>37</v>
      </c>
      <c r="Q28" s="19">
        <v>0</v>
      </c>
      <c r="R28" s="19">
        <v>0</v>
      </c>
      <c r="S28">
        <v>1</v>
      </c>
      <c r="T28">
        <v>1</v>
      </c>
      <c r="V28" s="24">
        <f>(Q28*S28+R28*T28)*(1+U28)</f>
        <v>0</v>
      </c>
      <c r="W28" s="243" t="s">
        <v>46</v>
      </c>
      <c r="X28" s="73"/>
      <c r="Y28" s="80">
        <v>17</v>
      </c>
      <c r="Z28" s="36" t="s">
        <v>47</v>
      </c>
      <c r="AA28" s="19" t="s">
        <v>37</v>
      </c>
      <c r="AB28" s="19">
        <v>0</v>
      </c>
      <c r="AC28" s="19">
        <v>0</v>
      </c>
      <c r="AD28">
        <v>1</v>
      </c>
      <c r="AE28">
        <v>1</v>
      </c>
      <c r="AG28" s="24">
        <f>(AB28*AD28+AC28*AE28)*(1+AF28)</f>
        <v>0</v>
      </c>
      <c r="AH28" s="245" t="s">
        <v>217</v>
      </c>
      <c r="AI28" s="73"/>
      <c r="AJ28" s="80">
        <v>17</v>
      </c>
      <c r="AK28" s="36" t="s">
        <v>47</v>
      </c>
      <c r="AL28" s="19" t="s">
        <v>37</v>
      </c>
      <c r="AM28" s="19">
        <v>0</v>
      </c>
      <c r="AN28" s="19">
        <v>0</v>
      </c>
      <c r="AO28">
        <v>1</v>
      </c>
      <c r="AP28">
        <v>1</v>
      </c>
      <c r="AR28" s="24">
        <f>(AM28*AO28+AN28*AP28)*(1+AQ28)</f>
        <v>0</v>
      </c>
      <c r="AS28" s="245" t="s">
        <v>217</v>
      </c>
      <c r="AT28" s="73"/>
      <c r="AU28" s="80">
        <v>17</v>
      </c>
      <c r="AV28" s="36" t="s">
        <v>47</v>
      </c>
      <c r="AW28" s="19" t="s">
        <v>37</v>
      </c>
      <c r="AX28" s="19">
        <v>0</v>
      </c>
      <c r="AY28" s="19">
        <v>0</v>
      </c>
      <c r="AZ28">
        <v>1</v>
      </c>
      <c r="BA28">
        <v>1</v>
      </c>
      <c r="BC28" s="24">
        <f>(AX28*AZ28+AY28*BA28)*(1+BB28)</f>
        <v>0</v>
      </c>
      <c r="BD28" s="245" t="s">
        <v>217</v>
      </c>
      <c r="BE28" s="73"/>
      <c r="BF28" s="80">
        <v>17</v>
      </c>
      <c r="BG28" s="36" t="s">
        <v>47</v>
      </c>
      <c r="BH28" s="19" t="s">
        <v>37</v>
      </c>
      <c r="BI28" s="19">
        <v>0</v>
      </c>
      <c r="BJ28" s="19">
        <v>0</v>
      </c>
      <c r="BK28">
        <v>1</v>
      </c>
      <c r="BL28">
        <v>1</v>
      </c>
      <c r="BN28" s="24">
        <f>(BI28*BK28+BJ28*BL28)*(1+BM28)</f>
        <v>0</v>
      </c>
    </row>
    <row r="29" spans="1:66" ht="43.2" x14ac:dyDescent="0.3">
      <c r="A29" s="243"/>
      <c r="B29" s="74" t="s">
        <v>93</v>
      </c>
      <c r="C29" s="74"/>
      <c r="D29" s="36" t="s">
        <v>48</v>
      </c>
      <c r="E29" s="19" t="s">
        <v>9</v>
      </c>
      <c r="F29" s="19">
        <v>52.5</v>
      </c>
      <c r="G29" s="19">
        <v>3.9</v>
      </c>
      <c r="H29">
        <v>1</v>
      </c>
      <c r="I29">
        <v>1</v>
      </c>
      <c r="J29">
        <v>0</v>
      </c>
      <c r="K29" s="24">
        <f>(F29*H29+G29*I29)*(1+J29)</f>
        <v>56.4</v>
      </c>
      <c r="L29" s="243"/>
      <c r="M29" s="74" t="s">
        <v>93</v>
      </c>
      <c r="N29" s="81"/>
      <c r="O29" s="36" t="s">
        <v>48</v>
      </c>
      <c r="P29" s="19" t="s">
        <v>9</v>
      </c>
      <c r="Q29" s="19">
        <v>52.5</v>
      </c>
      <c r="R29" s="19">
        <v>3.9</v>
      </c>
      <c r="S29">
        <v>1</v>
      </c>
      <c r="T29">
        <v>1</v>
      </c>
      <c r="U29">
        <v>0</v>
      </c>
      <c r="V29" s="24">
        <f>(Q29*S29+R29*T29)*(1+U29)</f>
        <v>56.4</v>
      </c>
      <c r="W29" s="243"/>
      <c r="X29" s="74" t="s">
        <v>93</v>
      </c>
      <c r="Y29" s="81"/>
      <c r="Z29" s="36" t="s">
        <v>48</v>
      </c>
      <c r="AA29" s="19" t="s">
        <v>9</v>
      </c>
      <c r="AB29" s="19">
        <v>52.5</v>
      </c>
      <c r="AC29" s="19">
        <v>3.9</v>
      </c>
      <c r="AD29">
        <v>1</v>
      </c>
      <c r="AE29">
        <v>1</v>
      </c>
      <c r="AF29">
        <v>0</v>
      </c>
      <c r="AG29" s="24">
        <f>(AB29*AD29+AC29*AE29)*(1+AF29)</f>
        <v>56.4</v>
      </c>
      <c r="AH29" s="245"/>
      <c r="AI29" s="74" t="s">
        <v>93</v>
      </c>
      <c r="AJ29" s="81"/>
      <c r="AK29" s="36" t="s">
        <v>48</v>
      </c>
      <c r="AL29" s="19" t="s">
        <v>9</v>
      </c>
      <c r="AM29" s="19">
        <v>52.5</v>
      </c>
      <c r="AN29" s="19">
        <v>3.9</v>
      </c>
      <c r="AO29">
        <v>1</v>
      </c>
      <c r="AP29">
        <v>1</v>
      </c>
      <c r="AQ29">
        <v>0</v>
      </c>
      <c r="AR29" s="24">
        <f>(AM29*AO29+AN29*AP29)*(1+AQ29)</f>
        <v>56.4</v>
      </c>
      <c r="AS29" s="245"/>
      <c r="AT29" s="74" t="s">
        <v>93</v>
      </c>
      <c r="AU29" s="81"/>
      <c r="AV29" s="36" t="s">
        <v>48</v>
      </c>
      <c r="AW29" s="19" t="s">
        <v>9</v>
      </c>
      <c r="AX29" s="19">
        <v>52.5</v>
      </c>
      <c r="AY29" s="19">
        <v>3.9</v>
      </c>
      <c r="AZ29">
        <v>1</v>
      </c>
      <c r="BA29">
        <v>1</v>
      </c>
      <c r="BB29">
        <v>0</v>
      </c>
      <c r="BC29" s="24">
        <f>(AX29*AZ29+AY29*BA29)*(1+BB29)</f>
        <v>56.4</v>
      </c>
      <c r="BD29" s="245"/>
      <c r="BE29" s="74" t="s">
        <v>93</v>
      </c>
      <c r="BF29" s="81"/>
      <c r="BG29" s="36" t="s">
        <v>48</v>
      </c>
      <c r="BH29" s="19" t="s">
        <v>9</v>
      </c>
      <c r="BI29" s="19">
        <v>52.5</v>
      </c>
      <c r="BJ29" s="19">
        <v>3.9</v>
      </c>
      <c r="BK29">
        <v>1</v>
      </c>
      <c r="BL29">
        <v>1</v>
      </c>
      <c r="BM29">
        <v>0</v>
      </c>
      <c r="BN29" s="24">
        <f>(BI29*BK29+BJ29*BL29)*(1+BM29)</f>
        <v>56.4</v>
      </c>
    </row>
    <row r="30" spans="1:66" ht="28.8" x14ac:dyDescent="0.3">
      <c r="A30" s="243"/>
      <c r="B30" s="76" t="s">
        <v>88</v>
      </c>
      <c r="C30" s="76"/>
      <c r="D30" s="31" t="s">
        <v>86</v>
      </c>
      <c r="E30" t="s">
        <v>6</v>
      </c>
      <c r="F30">
        <v>0.71</v>
      </c>
      <c r="G30">
        <v>1.1299999999999999</v>
      </c>
      <c r="H30">
        <v>1</v>
      </c>
      <c r="I30">
        <v>1</v>
      </c>
      <c r="J30">
        <v>0</v>
      </c>
      <c r="K30" s="24">
        <f>(F30*H30+G30*I30)*(1+J30)</f>
        <v>1.8399999999999999</v>
      </c>
      <c r="L30" s="243"/>
      <c r="M30" s="76" t="s">
        <v>88</v>
      </c>
      <c r="N30" s="79"/>
      <c r="O30" s="31" t="s">
        <v>86</v>
      </c>
      <c r="P30" t="s">
        <v>6</v>
      </c>
      <c r="Q30">
        <v>0.71</v>
      </c>
      <c r="R30">
        <v>1.1299999999999999</v>
      </c>
      <c r="S30">
        <v>1</v>
      </c>
      <c r="T30">
        <v>1</v>
      </c>
      <c r="U30">
        <v>0</v>
      </c>
      <c r="V30" s="24">
        <f>(Q30*S30+R30*T30)*(1+U30)</f>
        <v>1.8399999999999999</v>
      </c>
      <c r="W30" s="243"/>
      <c r="X30" s="76" t="s">
        <v>88</v>
      </c>
      <c r="Y30" s="79"/>
      <c r="Z30" s="31" t="s">
        <v>86</v>
      </c>
      <c r="AA30" t="s">
        <v>6</v>
      </c>
      <c r="AB30">
        <v>0.71</v>
      </c>
      <c r="AC30">
        <v>1.1299999999999999</v>
      </c>
      <c r="AD30">
        <v>1</v>
      </c>
      <c r="AE30">
        <v>1</v>
      </c>
      <c r="AF30">
        <v>0</v>
      </c>
      <c r="AG30" s="24">
        <f>(AB30*AD30+AC30*AE30)*(1+AF30)</f>
        <v>1.8399999999999999</v>
      </c>
      <c r="AH30" s="245"/>
      <c r="AI30" s="76" t="s">
        <v>88</v>
      </c>
      <c r="AJ30" s="79"/>
      <c r="AK30" s="31" t="s">
        <v>86</v>
      </c>
      <c r="AL30" t="s">
        <v>6</v>
      </c>
      <c r="AM30">
        <v>0.71</v>
      </c>
      <c r="AN30">
        <v>1.1299999999999999</v>
      </c>
      <c r="AO30">
        <v>1</v>
      </c>
      <c r="AP30">
        <v>1</v>
      </c>
      <c r="AQ30">
        <v>0</v>
      </c>
      <c r="AR30" s="24">
        <f>(AM30*AO30+AN30*AP30)*(1+AQ30)</f>
        <v>1.8399999999999999</v>
      </c>
      <c r="AS30" s="245"/>
      <c r="AT30" s="76" t="s">
        <v>88</v>
      </c>
      <c r="AU30" s="79"/>
      <c r="AV30" s="31" t="s">
        <v>86</v>
      </c>
      <c r="AW30" t="s">
        <v>6</v>
      </c>
      <c r="AX30">
        <v>0.71</v>
      </c>
      <c r="AY30">
        <v>1.1299999999999999</v>
      </c>
      <c r="AZ30">
        <v>1</v>
      </c>
      <c r="BA30">
        <v>1</v>
      </c>
      <c r="BB30">
        <v>0</v>
      </c>
      <c r="BC30" s="24">
        <f>(AX30*AZ30+AY30*BA30)*(1+BB30)</f>
        <v>1.8399999999999999</v>
      </c>
      <c r="BD30" s="245"/>
      <c r="BE30" s="76" t="s">
        <v>88</v>
      </c>
      <c r="BF30" s="79"/>
      <c r="BG30" s="31" t="s">
        <v>86</v>
      </c>
      <c r="BH30" t="s">
        <v>6</v>
      </c>
      <c r="BI30">
        <v>0.71</v>
      </c>
      <c r="BJ30">
        <v>1.1299999999999999</v>
      </c>
      <c r="BK30">
        <v>1</v>
      </c>
      <c r="BL30">
        <v>1</v>
      </c>
      <c r="BM30">
        <v>0</v>
      </c>
      <c r="BN30" s="24">
        <f>(BI30*BK30+BJ30*BL30)*(1+BM30)</f>
        <v>1.8399999999999999</v>
      </c>
    </row>
    <row r="31" spans="1:66" ht="28.8" x14ac:dyDescent="0.3">
      <c r="A31" s="243"/>
      <c r="B31" s="76">
        <v>72113101670</v>
      </c>
      <c r="C31" s="76"/>
      <c r="D31" s="36" t="s">
        <v>252</v>
      </c>
      <c r="E31" s="19" t="s">
        <v>9</v>
      </c>
      <c r="F31" s="19">
        <v>1.85</v>
      </c>
      <c r="G31" s="19">
        <v>0.41</v>
      </c>
      <c r="H31">
        <v>1.25</v>
      </c>
      <c r="I31">
        <v>1.25</v>
      </c>
      <c r="J31">
        <v>0.20699999999999999</v>
      </c>
      <c r="K31" s="24">
        <f>(F31*H31+G31*I31)*(1+J31)</f>
        <v>3.4097750000000002</v>
      </c>
      <c r="L31" s="243"/>
      <c r="M31" s="76">
        <v>72113101670</v>
      </c>
      <c r="N31" s="79"/>
      <c r="O31" s="36" t="s">
        <v>252</v>
      </c>
      <c r="P31" s="19" t="s">
        <v>9</v>
      </c>
      <c r="Q31" s="19">
        <v>1.85</v>
      </c>
      <c r="R31" s="19">
        <v>0.41</v>
      </c>
      <c r="S31">
        <v>1.33</v>
      </c>
      <c r="T31">
        <v>1.25</v>
      </c>
      <c r="U31">
        <v>0.20699999999999999</v>
      </c>
      <c r="V31" s="24">
        <f>(Q31*S31+R31*T31)*(1+U31)</f>
        <v>3.5884110000000002</v>
      </c>
      <c r="W31" s="243"/>
      <c r="X31" s="20" t="s">
        <v>113</v>
      </c>
      <c r="Y31" s="79"/>
      <c r="Z31" s="31" t="s">
        <v>237</v>
      </c>
      <c r="AA31" t="s">
        <v>9</v>
      </c>
      <c r="AB31">
        <v>2.1</v>
      </c>
      <c r="AC31">
        <v>0.41</v>
      </c>
      <c r="AD31">
        <v>1.25</v>
      </c>
      <c r="AE31">
        <v>1</v>
      </c>
      <c r="AF31">
        <v>0.19500000000000001</v>
      </c>
      <c r="AG31" s="24">
        <f>(AB31*AD31+AC31*AE31)*(1+AF31)</f>
        <v>3.6268250000000002</v>
      </c>
      <c r="AH31" s="245"/>
      <c r="AI31" s="20" t="s">
        <v>113</v>
      </c>
      <c r="AJ31" s="79"/>
      <c r="AK31" s="31" t="s">
        <v>237</v>
      </c>
      <c r="AL31" t="s">
        <v>9</v>
      </c>
      <c r="AM31">
        <v>2.1</v>
      </c>
      <c r="AN31">
        <v>0.41</v>
      </c>
      <c r="AO31">
        <v>1.33</v>
      </c>
      <c r="AP31">
        <v>1</v>
      </c>
      <c r="AQ31">
        <v>0.19500000000000001</v>
      </c>
      <c r="AR31" s="24">
        <f>(AM31*AO31+AN31*AP31)*(1+AQ31)</f>
        <v>3.8275850000000005</v>
      </c>
      <c r="AS31" s="245"/>
      <c r="AT31" s="20" t="s">
        <v>113</v>
      </c>
      <c r="AU31" s="79"/>
      <c r="AV31" s="31" t="s">
        <v>237</v>
      </c>
      <c r="AW31" t="s">
        <v>9</v>
      </c>
      <c r="AX31">
        <v>2.1</v>
      </c>
      <c r="AY31">
        <v>0.41</v>
      </c>
      <c r="AZ31">
        <v>1.33</v>
      </c>
      <c r="BA31">
        <v>1</v>
      </c>
      <c r="BB31">
        <v>0.19500000000000001</v>
      </c>
      <c r="BC31" s="24">
        <f>(AX31*AZ31+AY31*BA31)*(1+BB31)</f>
        <v>3.8275850000000005</v>
      </c>
      <c r="BD31" s="245"/>
      <c r="BE31" s="20" t="s">
        <v>123</v>
      </c>
      <c r="BF31" s="79"/>
      <c r="BG31" s="31" t="s">
        <v>234</v>
      </c>
      <c r="BH31" t="s">
        <v>9</v>
      </c>
      <c r="BI31">
        <v>2.1</v>
      </c>
      <c r="BJ31">
        <v>0.94</v>
      </c>
      <c r="BK31">
        <v>1.5</v>
      </c>
      <c r="BL31">
        <v>1.25</v>
      </c>
      <c r="BM31">
        <v>0.19700000000000001</v>
      </c>
      <c r="BN31" s="24">
        <f>(BI31*BK31+BJ31*BL31)*(1+BM31)</f>
        <v>5.1770250000000004</v>
      </c>
    </row>
    <row r="32" spans="1:66" ht="28.8" x14ac:dyDescent="0.3">
      <c r="A32" s="243"/>
      <c r="B32" s="76">
        <v>92910330400</v>
      </c>
      <c r="C32" s="76"/>
      <c r="D32" s="36" t="s">
        <v>236</v>
      </c>
      <c r="E32" s="19" t="s">
        <v>9</v>
      </c>
      <c r="F32" s="19">
        <v>0.36</v>
      </c>
      <c r="G32" s="19">
        <v>0.3</v>
      </c>
      <c r="H32">
        <v>1</v>
      </c>
      <c r="I32">
        <v>1</v>
      </c>
      <c r="J32">
        <v>0.378</v>
      </c>
      <c r="K32" s="24">
        <f>(F32*H32+G32*I32)*(1+J32)</f>
        <v>0.90947999999999996</v>
      </c>
      <c r="L32" s="243"/>
      <c r="M32" s="76">
        <v>92910330400</v>
      </c>
      <c r="N32" s="79"/>
      <c r="O32" s="36" t="s">
        <v>236</v>
      </c>
      <c r="P32" s="19" t="s">
        <v>9</v>
      </c>
      <c r="Q32" s="19">
        <v>0.36</v>
      </c>
      <c r="R32" s="19">
        <v>0.3</v>
      </c>
      <c r="S32">
        <v>1</v>
      </c>
      <c r="T32">
        <v>1</v>
      </c>
      <c r="U32">
        <v>0.378</v>
      </c>
      <c r="V32" s="24">
        <f>(Q32*S32+R32*T32)*(1+U32)</f>
        <v>0.90947999999999996</v>
      </c>
      <c r="W32" s="243"/>
      <c r="X32" s="76">
        <v>92910330400</v>
      </c>
      <c r="Y32" s="79"/>
      <c r="Z32" s="36" t="s">
        <v>236</v>
      </c>
      <c r="AA32" s="19" t="s">
        <v>9</v>
      </c>
      <c r="AB32" s="19">
        <v>0.36</v>
      </c>
      <c r="AC32" s="19">
        <v>0.3</v>
      </c>
      <c r="AD32">
        <v>1</v>
      </c>
      <c r="AE32">
        <v>1</v>
      </c>
      <c r="AF32">
        <v>0.378</v>
      </c>
      <c r="AG32" s="24">
        <f>(AB32*AD32+AC32*AE32)*(1+AF32)</f>
        <v>0.90947999999999996</v>
      </c>
      <c r="AH32" s="245"/>
      <c r="AI32" s="76">
        <v>92910330400</v>
      </c>
      <c r="AJ32" s="79"/>
      <c r="AK32" s="36" t="s">
        <v>236</v>
      </c>
      <c r="AL32" s="19" t="s">
        <v>9</v>
      </c>
      <c r="AM32" s="19">
        <v>0.36</v>
      </c>
      <c r="AN32" s="19">
        <v>0.3</v>
      </c>
      <c r="AO32">
        <v>1</v>
      </c>
      <c r="AP32">
        <v>1</v>
      </c>
      <c r="AQ32">
        <v>0.378</v>
      </c>
      <c r="AR32" s="24">
        <f>(AM32*AO32+AN32*AP32)*(1+AQ32)</f>
        <v>0.90947999999999996</v>
      </c>
      <c r="AS32" s="245"/>
      <c r="AT32" s="76">
        <v>92910330400</v>
      </c>
      <c r="AU32" s="79"/>
      <c r="AV32" s="36" t="s">
        <v>236</v>
      </c>
      <c r="AW32" s="19" t="s">
        <v>9</v>
      </c>
      <c r="AX32" s="19">
        <v>0.36</v>
      </c>
      <c r="AY32" s="19">
        <v>0.3</v>
      </c>
      <c r="AZ32">
        <v>1</v>
      </c>
      <c r="BA32">
        <v>1</v>
      </c>
      <c r="BB32">
        <v>0.378</v>
      </c>
      <c r="BC32" s="24">
        <f>(AX32*AZ32+AY32*BA32)*(1+BB32)</f>
        <v>0.90947999999999996</v>
      </c>
      <c r="BD32" s="245"/>
      <c r="BE32" s="76">
        <v>92910330400</v>
      </c>
      <c r="BF32" s="79"/>
      <c r="BG32" s="36" t="s">
        <v>236</v>
      </c>
      <c r="BH32" s="19" t="s">
        <v>9</v>
      </c>
      <c r="BI32" s="19">
        <v>0.36</v>
      </c>
      <c r="BJ32" s="19">
        <v>0.3</v>
      </c>
      <c r="BK32">
        <v>1</v>
      </c>
      <c r="BL32">
        <v>1</v>
      </c>
      <c r="BM32">
        <v>0.378</v>
      </c>
      <c r="BN32" s="24">
        <f>(BI32*BK32+BJ32*BL32)*(1+BM32)</f>
        <v>0.90947999999999996</v>
      </c>
    </row>
    <row r="33" spans="1:66" ht="15" customHeight="1" x14ac:dyDescent="0.3">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3">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3">
      <c r="A35" s="243" t="s">
        <v>49</v>
      </c>
      <c r="B35" s="73"/>
      <c r="C35" s="73">
        <v>18</v>
      </c>
      <c r="D35" s="36" t="s">
        <v>36</v>
      </c>
      <c r="E35" s="19" t="s">
        <v>37</v>
      </c>
      <c r="F35" s="19">
        <v>0</v>
      </c>
      <c r="G35" s="19">
        <v>0</v>
      </c>
      <c r="H35">
        <v>1</v>
      </c>
      <c r="I35">
        <v>1</v>
      </c>
      <c r="J35">
        <v>0</v>
      </c>
      <c r="K35" s="24">
        <f t="shared" ref="K35:K42" si="12">(F35*H35+G35*I35)*(1+J35)</f>
        <v>0</v>
      </c>
      <c r="L35" s="243" t="s">
        <v>49</v>
      </c>
      <c r="M35" s="73"/>
      <c r="N35" s="80">
        <v>18</v>
      </c>
      <c r="O35" s="36" t="s">
        <v>36</v>
      </c>
      <c r="P35" s="19" t="s">
        <v>37</v>
      </c>
      <c r="Q35" s="19">
        <v>0</v>
      </c>
      <c r="R35" s="19">
        <v>0</v>
      </c>
      <c r="S35">
        <v>1</v>
      </c>
      <c r="T35">
        <v>1</v>
      </c>
      <c r="U35">
        <v>0</v>
      </c>
      <c r="V35" s="24">
        <f t="shared" ref="V35:V42" si="13">(Q35*S35+R35*T35)*(1+U35)</f>
        <v>0</v>
      </c>
      <c r="W35" s="243" t="s">
        <v>49</v>
      </c>
      <c r="X35" s="73"/>
      <c r="Y35" s="80">
        <v>18</v>
      </c>
      <c r="Z35" s="36" t="s">
        <v>36</v>
      </c>
      <c r="AA35" s="19" t="s">
        <v>37</v>
      </c>
      <c r="AB35" s="19">
        <v>0</v>
      </c>
      <c r="AC35" s="19">
        <v>0</v>
      </c>
      <c r="AD35">
        <v>1</v>
      </c>
      <c r="AE35">
        <v>1</v>
      </c>
      <c r="AF35">
        <v>0</v>
      </c>
      <c r="AG35" s="24">
        <f t="shared" ref="AG35:AG42" si="14">(AB35*AD35+AC35*AE35)*(1+AF35)</f>
        <v>0</v>
      </c>
      <c r="AH35" s="245" t="s">
        <v>235</v>
      </c>
      <c r="AI35" s="73"/>
      <c r="AJ35" s="80">
        <v>18</v>
      </c>
      <c r="AK35" s="36" t="s">
        <v>36</v>
      </c>
      <c r="AL35" s="19" t="s">
        <v>37</v>
      </c>
      <c r="AM35" s="19">
        <v>0</v>
      </c>
      <c r="AN35" s="19">
        <v>0</v>
      </c>
      <c r="AO35">
        <v>1</v>
      </c>
      <c r="AP35">
        <v>1</v>
      </c>
      <c r="AQ35">
        <v>0</v>
      </c>
      <c r="AR35" s="24">
        <f t="shared" ref="AR35:AR42" si="15">(AM35*AO35+AN35*AP35)*(1+AQ35)</f>
        <v>0</v>
      </c>
      <c r="AS35" s="245" t="s">
        <v>235</v>
      </c>
      <c r="AT35" s="73"/>
      <c r="AU35" s="80">
        <v>18</v>
      </c>
      <c r="AV35" s="36" t="s">
        <v>36</v>
      </c>
      <c r="AW35" s="19" t="s">
        <v>37</v>
      </c>
      <c r="AX35" s="19">
        <v>0</v>
      </c>
      <c r="AY35" s="19">
        <v>0</v>
      </c>
      <c r="AZ35">
        <v>1</v>
      </c>
      <c r="BA35">
        <v>1</v>
      </c>
      <c r="BB35">
        <v>0</v>
      </c>
      <c r="BC35" s="24">
        <f t="shared" ref="BC35:BC42" si="16">(AX35*AZ35+AY35*BA35)*(1+BB35)</f>
        <v>0</v>
      </c>
      <c r="BD35" s="245" t="s">
        <v>235</v>
      </c>
      <c r="BE35" s="73"/>
      <c r="BF35" s="80">
        <v>18</v>
      </c>
      <c r="BG35" s="36" t="s">
        <v>36</v>
      </c>
      <c r="BH35" s="19" t="s">
        <v>37</v>
      </c>
      <c r="BI35" s="19">
        <v>0</v>
      </c>
      <c r="BJ35" s="19">
        <v>0</v>
      </c>
      <c r="BK35">
        <v>1</v>
      </c>
      <c r="BL35">
        <v>1</v>
      </c>
      <c r="BM35">
        <v>0</v>
      </c>
      <c r="BN35" s="24">
        <f t="shared" ref="BN35:BN42" si="17">(BI35*BK35+BJ35*BL35)*(1+BM35)</f>
        <v>0</v>
      </c>
    </row>
    <row r="36" spans="1:66" ht="28.8" x14ac:dyDescent="0.3">
      <c r="A36" s="243"/>
      <c r="B36" s="74" t="s">
        <v>94</v>
      </c>
      <c r="C36" s="74"/>
      <c r="D36" s="36" t="s">
        <v>50</v>
      </c>
      <c r="E36" s="19" t="s">
        <v>51</v>
      </c>
      <c r="F36" s="19">
        <v>2.2000000000000002</v>
      </c>
      <c r="G36" s="19">
        <v>10.7</v>
      </c>
      <c r="H36">
        <v>1</v>
      </c>
      <c r="I36">
        <v>1</v>
      </c>
      <c r="J36">
        <v>0</v>
      </c>
      <c r="K36" s="24">
        <f t="shared" si="12"/>
        <v>12.899999999999999</v>
      </c>
      <c r="L36" s="243"/>
      <c r="M36" s="74" t="s">
        <v>94</v>
      </c>
      <c r="N36" s="81"/>
      <c r="O36" s="36" t="s">
        <v>50</v>
      </c>
      <c r="P36" s="19" t="s">
        <v>51</v>
      </c>
      <c r="Q36" s="19">
        <v>2.2000000000000002</v>
      </c>
      <c r="R36" s="19">
        <v>10.7</v>
      </c>
      <c r="S36">
        <v>1</v>
      </c>
      <c r="T36">
        <v>1</v>
      </c>
      <c r="U36">
        <v>0</v>
      </c>
      <c r="V36" s="24">
        <f t="shared" si="13"/>
        <v>12.899999999999999</v>
      </c>
      <c r="W36" s="243"/>
      <c r="X36" s="74" t="s">
        <v>94</v>
      </c>
      <c r="Y36" s="81"/>
      <c r="Z36" s="36" t="s">
        <v>50</v>
      </c>
      <c r="AA36" s="19" t="s">
        <v>51</v>
      </c>
      <c r="AB36" s="19">
        <v>2.2000000000000002</v>
      </c>
      <c r="AC36" s="19">
        <v>10.7</v>
      </c>
      <c r="AD36">
        <v>1</v>
      </c>
      <c r="AE36">
        <v>1</v>
      </c>
      <c r="AF36">
        <v>0</v>
      </c>
      <c r="AG36" s="24">
        <f t="shared" si="14"/>
        <v>12.899999999999999</v>
      </c>
      <c r="AH36" s="245"/>
      <c r="AI36" s="74" t="s">
        <v>94</v>
      </c>
      <c r="AJ36" s="81"/>
      <c r="AK36" s="36" t="s">
        <v>50</v>
      </c>
      <c r="AL36" s="19" t="s">
        <v>51</v>
      </c>
      <c r="AM36" s="19">
        <v>2.2000000000000002</v>
      </c>
      <c r="AN36" s="19">
        <v>10.7</v>
      </c>
      <c r="AO36">
        <v>1</v>
      </c>
      <c r="AP36">
        <v>1</v>
      </c>
      <c r="AQ36">
        <v>0</v>
      </c>
      <c r="AR36" s="24">
        <f t="shared" si="15"/>
        <v>12.899999999999999</v>
      </c>
      <c r="AS36" s="245"/>
      <c r="AT36" s="74" t="s">
        <v>94</v>
      </c>
      <c r="AU36" s="81"/>
      <c r="AV36" s="36" t="s">
        <v>50</v>
      </c>
      <c r="AW36" s="19" t="s">
        <v>51</v>
      </c>
      <c r="AX36" s="19">
        <v>2.2000000000000002</v>
      </c>
      <c r="AY36" s="19">
        <v>10.7</v>
      </c>
      <c r="AZ36">
        <v>1</v>
      </c>
      <c r="BA36">
        <v>1</v>
      </c>
      <c r="BB36">
        <v>0</v>
      </c>
      <c r="BC36" s="24">
        <f t="shared" si="16"/>
        <v>12.899999999999999</v>
      </c>
      <c r="BD36" s="245"/>
      <c r="BE36" s="74" t="s">
        <v>94</v>
      </c>
      <c r="BF36" s="81"/>
      <c r="BG36" s="36" t="s">
        <v>50</v>
      </c>
      <c r="BH36" s="19" t="s">
        <v>51</v>
      </c>
      <c r="BI36" s="19">
        <v>2.2000000000000002</v>
      </c>
      <c r="BJ36" s="19">
        <v>10.7</v>
      </c>
      <c r="BK36">
        <v>1</v>
      </c>
      <c r="BL36">
        <v>1</v>
      </c>
      <c r="BM36">
        <v>0</v>
      </c>
      <c r="BN36" s="24">
        <f t="shared" si="17"/>
        <v>12.899999999999999</v>
      </c>
    </row>
    <row r="37" spans="1:66" ht="28.8" x14ac:dyDescent="0.3">
      <c r="A37" s="243"/>
      <c r="B37" s="74" t="s">
        <v>94</v>
      </c>
      <c r="C37" s="74"/>
      <c r="D37" s="36" t="s">
        <v>52</v>
      </c>
      <c r="E37" s="19" t="s">
        <v>30</v>
      </c>
      <c r="F37" s="19">
        <v>0.41</v>
      </c>
      <c r="G37" s="19">
        <v>0.27</v>
      </c>
      <c r="H37">
        <v>1</v>
      </c>
      <c r="I37">
        <v>1</v>
      </c>
      <c r="J37">
        <v>0</v>
      </c>
      <c r="K37" s="24">
        <f t="shared" si="12"/>
        <v>0.67999999999999994</v>
      </c>
      <c r="L37" s="243"/>
      <c r="M37" s="74" t="s">
        <v>94</v>
      </c>
      <c r="N37" s="81"/>
      <c r="O37" s="36" t="s">
        <v>52</v>
      </c>
      <c r="P37" s="19" t="s">
        <v>30</v>
      </c>
      <c r="Q37" s="19">
        <v>0.41</v>
      </c>
      <c r="R37" s="19">
        <v>0.27</v>
      </c>
      <c r="S37">
        <v>1</v>
      </c>
      <c r="T37">
        <v>1</v>
      </c>
      <c r="U37">
        <v>0</v>
      </c>
      <c r="V37" s="24">
        <f t="shared" si="13"/>
        <v>0.67999999999999994</v>
      </c>
      <c r="W37" s="243"/>
      <c r="X37" s="74" t="s">
        <v>94</v>
      </c>
      <c r="Y37" s="81"/>
      <c r="Z37" s="36" t="s">
        <v>52</v>
      </c>
      <c r="AA37" s="19" t="s">
        <v>30</v>
      </c>
      <c r="AB37" s="19">
        <v>0.41</v>
      </c>
      <c r="AC37" s="19">
        <v>0.27</v>
      </c>
      <c r="AD37">
        <v>1</v>
      </c>
      <c r="AE37">
        <v>1</v>
      </c>
      <c r="AF37">
        <v>0</v>
      </c>
      <c r="AG37" s="24">
        <f t="shared" si="14"/>
        <v>0.67999999999999994</v>
      </c>
      <c r="AH37" s="245"/>
      <c r="AI37" s="74" t="s">
        <v>94</v>
      </c>
      <c r="AJ37" s="81"/>
      <c r="AK37" s="36" t="s">
        <v>52</v>
      </c>
      <c r="AL37" s="19" t="s">
        <v>30</v>
      </c>
      <c r="AM37" s="19">
        <v>0.41</v>
      </c>
      <c r="AN37" s="19">
        <v>0.27</v>
      </c>
      <c r="AO37">
        <v>1</v>
      </c>
      <c r="AP37">
        <v>1</v>
      </c>
      <c r="AQ37">
        <v>0</v>
      </c>
      <c r="AR37" s="24">
        <f t="shared" si="15"/>
        <v>0.67999999999999994</v>
      </c>
      <c r="AS37" s="245"/>
      <c r="AT37" s="74" t="s">
        <v>94</v>
      </c>
      <c r="AU37" s="81"/>
      <c r="AV37" s="36" t="s">
        <v>52</v>
      </c>
      <c r="AW37" s="19" t="s">
        <v>30</v>
      </c>
      <c r="AX37" s="19">
        <v>0.41</v>
      </c>
      <c r="AY37" s="19">
        <v>0.27</v>
      </c>
      <c r="AZ37">
        <v>1</v>
      </c>
      <c r="BA37">
        <v>1</v>
      </c>
      <c r="BB37">
        <v>0</v>
      </c>
      <c r="BC37" s="24">
        <f t="shared" si="16"/>
        <v>0.67999999999999994</v>
      </c>
      <c r="BD37" s="245"/>
      <c r="BE37" s="74" t="s">
        <v>94</v>
      </c>
      <c r="BF37" s="81"/>
      <c r="BG37" s="36" t="s">
        <v>52</v>
      </c>
      <c r="BH37" s="19" t="s">
        <v>30</v>
      </c>
      <c r="BI37" s="19">
        <v>0.41</v>
      </c>
      <c r="BJ37" s="19">
        <v>0.27</v>
      </c>
      <c r="BK37">
        <v>1</v>
      </c>
      <c r="BL37">
        <v>1</v>
      </c>
      <c r="BM37">
        <v>0</v>
      </c>
      <c r="BN37" s="24">
        <f t="shared" si="17"/>
        <v>0.67999999999999994</v>
      </c>
    </row>
    <row r="38" spans="1:66" ht="43.2" x14ac:dyDescent="0.3">
      <c r="A38" s="243"/>
      <c r="B38" s="74" t="s">
        <v>94</v>
      </c>
      <c r="C38" s="74"/>
      <c r="D38" s="36" t="s">
        <v>53</v>
      </c>
      <c r="E38" s="19" t="s">
        <v>42</v>
      </c>
      <c r="F38" s="19">
        <v>2.12</v>
      </c>
      <c r="G38" s="19">
        <v>0.76</v>
      </c>
      <c r="H38">
        <v>1</v>
      </c>
      <c r="I38">
        <v>1</v>
      </c>
      <c r="J38">
        <v>0</v>
      </c>
      <c r="K38" s="24">
        <f t="shared" si="12"/>
        <v>2.88</v>
      </c>
      <c r="L38" s="243"/>
      <c r="M38" s="74" t="s">
        <v>94</v>
      </c>
      <c r="N38" s="81"/>
      <c r="O38" s="36" t="s">
        <v>53</v>
      </c>
      <c r="P38" s="19" t="s">
        <v>42</v>
      </c>
      <c r="Q38" s="19">
        <v>2.12</v>
      </c>
      <c r="R38" s="19">
        <v>0.76</v>
      </c>
      <c r="S38">
        <v>1</v>
      </c>
      <c r="T38">
        <v>1</v>
      </c>
      <c r="U38">
        <v>0</v>
      </c>
      <c r="V38" s="24">
        <f t="shared" si="13"/>
        <v>2.88</v>
      </c>
      <c r="W38" s="243"/>
      <c r="X38" s="74" t="s">
        <v>94</v>
      </c>
      <c r="Y38" s="81"/>
      <c r="Z38" s="36" t="s">
        <v>53</v>
      </c>
      <c r="AA38" s="19" t="s">
        <v>42</v>
      </c>
      <c r="AB38" s="19">
        <v>2.12</v>
      </c>
      <c r="AC38" s="19">
        <v>0.76</v>
      </c>
      <c r="AD38">
        <v>1</v>
      </c>
      <c r="AE38">
        <v>1</v>
      </c>
      <c r="AF38">
        <v>0</v>
      </c>
      <c r="AG38" s="24">
        <f t="shared" si="14"/>
        <v>2.88</v>
      </c>
      <c r="AH38" s="245"/>
      <c r="AI38" s="74" t="s">
        <v>94</v>
      </c>
      <c r="AJ38" s="81"/>
      <c r="AK38" s="36" t="s">
        <v>53</v>
      </c>
      <c r="AL38" s="19" t="s">
        <v>42</v>
      </c>
      <c r="AM38" s="19">
        <v>2.12</v>
      </c>
      <c r="AN38" s="19">
        <v>0.76</v>
      </c>
      <c r="AO38">
        <v>1</v>
      </c>
      <c r="AP38">
        <v>1</v>
      </c>
      <c r="AQ38">
        <v>0</v>
      </c>
      <c r="AR38" s="24">
        <f t="shared" si="15"/>
        <v>2.88</v>
      </c>
      <c r="AS38" s="245"/>
      <c r="AT38" s="74" t="s">
        <v>94</v>
      </c>
      <c r="AU38" s="81"/>
      <c r="AV38" s="36" t="s">
        <v>53</v>
      </c>
      <c r="AW38" s="19" t="s">
        <v>42</v>
      </c>
      <c r="AX38" s="19">
        <v>2.12</v>
      </c>
      <c r="AY38" s="19">
        <v>0.76</v>
      </c>
      <c r="AZ38">
        <v>1</v>
      </c>
      <c r="BA38">
        <v>1</v>
      </c>
      <c r="BB38">
        <v>0</v>
      </c>
      <c r="BC38" s="24">
        <f t="shared" si="16"/>
        <v>2.88</v>
      </c>
      <c r="BD38" s="245"/>
      <c r="BE38" s="74" t="s">
        <v>94</v>
      </c>
      <c r="BF38" s="81"/>
      <c r="BG38" s="36" t="s">
        <v>53</v>
      </c>
      <c r="BH38" s="19" t="s">
        <v>42</v>
      </c>
      <c r="BI38" s="19">
        <v>2.12</v>
      </c>
      <c r="BJ38" s="19">
        <v>0.76</v>
      </c>
      <c r="BK38">
        <v>1</v>
      </c>
      <c r="BL38">
        <v>1</v>
      </c>
      <c r="BM38">
        <v>0</v>
      </c>
      <c r="BN38" s="24">
        <f t="shared" si="17"/>
        <v>2.88</v>
      </c>
    </row>
    <row r="39" spans="1:66" ht="28.8" x14ac:dyDescent="0.3">
      <c r="A39" s="243"/>
      <c r="B39" s="74" t="s">
        <v>94</v>
      </c>
      <c r="C39" s="74"/>
      <c r="D39" s="36" t="s">
        <v>54</v>
      </c>
      <c r="E39" s="19" t="s">
        <v>9</v>
      </c>
      <c r="F39" s="19">
        <v>0.1</v>
      </c>
      <c r="G39" s="19">
        <v>1.72</v>
      </c>
      <c r="H39">
        <v>1</v>
      </c>
      <c r="I39">
        <v>1</v>
      </c>
      <c r="J39">
        <v>0</v>
      </c>
      <c r="K39" s="24">
        <f t="shared" si="12"/>
        <v>1.82</v>
      </c>
      <c r="L39" s="243"/>
      <c r="M39" s="74" t="s">
        <v>94</v>
      </c>
      <c r="N39" s="81"/>
      <c r="O39" s="36" t="s">
        <v>54</v>
      </c>
      <c r="P39" s="19" t="s">
        <v>9</v>
      </c>
      <c r="Q39" s="19">
        <v>0.1</v>
      </c>
      <c r="R39" s="19">
        <v>1.72</v>
      </c>
      <c r="S39">
        <v>1</v>
      </c>
      <c r="T39">
        <v>1</v>
      </c>
      <c r="U39">
        <v>0</v>
      </c>
      <c r="V39" s="24">
        <f t="shared" si="13"/>
        <v>1.82</v>
      </c>
      <c r="W39" s="243"/>
      <c r="X39" s="74" t="s">
        <v>94</v>
      </c>
      <c r="Y39" s="81"/>
      <c r="Z39" s="36" t="s">
        <v>54</v>
      </c>
      <c r="AA39" s="19" t="s">
        <v>9</v>
      </c>
      <c r="AB39" s="19">
        <v>0.1</v>
      </c>
      <c r="AC39" s="19">
        <v>1.72</v>
      </c>
      <c r="AD39">
        <v>1</v>
      </c>
      <c r="AE39">
        <v>1</v>
      </c>
      <c r="AF39">
        <v>0</v>
      </c>
      <c r="AG39" s="24">
        <f t="shared" si="14"/>
        <v>1.82</v>
      </c>
      <c r="AH39" s="245"/>
      <c r="AI39" s="74" t="s">
        <v>94</v>
      </c>
      <c r="AJ39" s="81"/>
      <c r="AK39" s="36" t="s">
        <v>54</v>
      </c>
      <c r="AL39" s="19" t="s">
        <v>9</v>
      </c>
      <c r="AM39" s="19">
        <v>0.1</v>
      </c>
      <c r="AN39" s="19">
        <v>1.72</v>
      </c>
      <c r="AO39">
        <v>1</v>
      </c>
      <c r="AP39">
        <v>1</v>
      </c>
      <c r="AQ39">
        <v>0</v>
      </c>
      <c r="AR39" s="24">
        <f t="shared" si="15"/>
        <v>1.82</v>
      </c>
      <c r="AS39" s="245"/>
      <c r="AT39" s="74" t="s">
        <v>94</v>
      </c>
      <c r="AU39" s="81"/>
      <c r="AV39" s="36" t="s">
        <v>54</v>
      </c>
      <c r="AW39" s="19" t="s">
        <v>9</v>
      </c>
      <c r="AX39" s="19">
        <v>0.1</v>
      </c>
      <c r="AY39" s="19">
        <v>1.72</v>
      </c>
      <c r="AZ39">
        <v>1</v>
      </c>
      <c r="BA39">
        <v>1</v>
      </c>
      <c r="BB39">
        <v>0</v>
      </c>
      <c r="BC39" s="24">
        <f t="shared" si="16"/>
        <v>1.82</v>
      </c>
      <c r="BD39" s="245"/>
      <c r="BE39" s="74" t="s">
        <v>94</v>
      </c>
      <c r="BF39" s="81"/>
      <c r="BG39" s="36" t="s">
        <v>54</v>
      </c>
      <c r="BH39" s="19" t="s">
        <v>9</v>
      </c>
      <c r="BI39" s="19">
        <v>0.1</v>
      </c>
      <c r="BJ39" s="19">
        <v>1.72</v>
      </c>
      <c r="BK39">
        <v>1</v>
      </c>
      <c r="BL39">
        <v>1</v>
      </c>
      <c r="BM39">
        <v>0</v>
      </c>
      <c r="BN39" s="24">
        <f t="shared" si="17"/>
        <v>1.82</v>
      </c>
    </row>
    <row r="40" spans="1:66" ht="15" customHeight="1" x14ac:dyDescent="0.3">
      <c r="A40" s="243"/>
      <c r="B40" s="76" t="s">
        <v>88</v>
      </c>
      <c r="C40" s="76"/>
      <c r="D40" s="31" t="s">
        <v>86</v>
      </c>
      <c r="E40" t="s">
        <v>6</v>
      </c>
      <c r="F40">
        <v>0.71</v>
      </c>
      <c r="G40">
        <v>1.1299999999999999</v>
      </c>
      <c r="H40">
        <v>1</v>
      </c>
      <c r="I40">
        <v>1</v>
      </c>
      <c r="J40">
        <v>0</v>
      </c>
      <c r="K40" s="24">
        <f t="shared" si="12"/>
        <v>1.8399999999999999</v>
      </c>
      <c r="L40" s="243"/>
      <c r="M40" s="76" t="s">
        <v>88</v>
      </c>
      <c r="N40" s="79"/>
      <c r="O40" s="31" t="s">
        <v>86</v>
      </c>
      <c r="P40" t="s">
        <v>6</v>
      </c>
      <c r="Q40">
        <v>0.71</v>
      </c>
      <c r="R40">
        <v>1.1299999999999999</v>
      </c>
      <c r="S40">
        <v>1</v>
      </c>
      <c r="T40">
        <v>1</v>
      </c>
      <c r="U40">
        <v>0</v>
      </c>
      <c r="V40" s="24">
        <f t="shared" si="13"/>
        <v>1.8399999999999999</v>
      </c>
      <c r="W40" s="243"/>
      <c r="X40" s="76" t="s">
        <v>88</v>
      </c>
      <c r="Y40" s="79"/>
      <c r="Z40" s="31" t="s">
        <v>86</v>
      </c>
      <c r="AA40" t="s">
        <v>6</v>
      </c>
      <c r="AB40">
        <v>0.71</v>
      </c>
      <c r="AC40">
        <v>1.1299999999999999</v>
      </c>
      <c r="AD40">
        <v>1</v>
      </c>
      <c r="AE40">
        <v>1</v>
      </c>
      <c r="AF40">
        <v>0</v>
      </c>
      <c r="AG40" s="24">
        <f t="shared" si="14"/>
        <v>1.8399999999999999</v>
      </c>
      <c r="AH40" s="245"/>
      <c r="AI40" s="76" t="s">
        <v>88</v>
      </c>
      <c r="AJ40" s="79"/>
      <c r="AK40" s="31" t="s">
        <v>86</v>
      </c>
      <c r="AL40" t="s">
        <v>6</v>
      </c>
      <c r="AM40">
        <v>0.71</v>
      </c>
      <c r="AN40">
        <v>1.1299999999999999</v>
      </c>
      <c r="AO40">
        <v>1</v>
      </c>
      <c r="AP40">
        <v>1</v>
      </c>
      <c r="AQ40">
        <v>0</v>
      </c>
      <c r="AR40" s="24">
        <f t="shared" si="15"/>
        <v>1.8399999999999999</v>
      </c>
      <c r="AS40" s="245"/>
      <c r="AT40" s="76" t="s">
        <v>88</v>
      </c>
      <c r="AU40" s="79"/>
      <c r="AV40" s="31" t="s">
        <v>86</v>
      </c>
      <c r="AW40" t="s">
        <v>6</v>
      </c>
      <c r="AX40">
        <v>0.71</v>
      </c>
      <c r="AY40">
        <v>1.1299999999999999</v>
      </c>
      <c r="AZ40">
        <v>1</v>
      </c>
      <c r="BA40">
        <v>1</v>
      </c>
      <c r="BB40">
        <v>0</v>
      </c>
      <c r="BC40" s="24">
        <f t="shared" si="16"/>
        <v>1.8399999999999999</v>
      </c>
      <c r="BD40" s="245"/>
      <c r="BE40" s="76" t="s">
        <v>88</v>
      </c>
      <c r="BF40" s="79"/>
      <c r="BG40" s="31" t="s">
        <v>86</v>
      </c>
      <c r="BH40" t="s">
        <v>6</v>
      </c>
      <c r="BI40">
        <v>0.71</v>
      </c>
      <c r="BJ40">
        <v>1.1299999999999999</v>
      </c>
      <c r="BK40">
        <v>1</v>
      </c>
      <c r="BL40">
        <v>1</v>
      </c>
      <c r="BM40">
        <v>0</v>
      </c>
      <c r="BN40" s="24">
        <f t="shared" si="17"/>
        <v>1.8399999999999999</v>
      </c>
    </row>
    <row r="41" spans="1:66" ht="28.8" x14ac:dyDescent="0.3">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28.8" x14ac:dyDescent="0.3">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x14ac:dyDescent="0.3">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3">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3" t="s">
        <v>195</v>
      </c>
      <c r="B4" s="76" t="s">
        <v>85</v>
      </c>
      <c r="C4" s="76">
        <v>1</v>
      </c>
      <c r="D4" s="31" t="s">
        <v>29</v>
      </c>
      <c r="E4" t="s">
        <v>9</v>
      </c>
      <c r="F4">
        <v>2.5299999999999998</v>
      </c>
      <c r="G4">
        <v>5.6</v>
      </c>
      <c r="H4">
        <v>1</v>
      </c>
      <c r="I4">
        <v>1</v>
      </c>
      <c r="J4">
        <v>0</v>
      </c>
      <c r="K4" s="24">
        <f t="shared" ref="K4:K9" si="0">(F4*H4+G4*I4)*(1+J4)</f>
        <v>8.129999999999999</v>
      </c>
      <c r="L4" s="243" t="s">
        <v>195</v>
      </c>
      <c r="M4" s="76" t="s">
        <v>85</v>
      </c>
      <c r="N4" s="79">
        <v>1</v>
      </c>
      <c r="O4" s="31" t="s">
        <v>29</v>
      </c>
      <c r="P4" t="s">
        <v>9</v>
      </c>
      <c r="Q4">
        <v>2.5299999999999998</v>
      </c>
      <c r="R4">
        <v>5.6</v>
      </c>
      <c r="S4">
        <v>1</v>
      </c>
      <c r="T4">
        <v>1</v>
      </c>
      <c r="U4">
        <v>0</v>
      </c>
      <c r="V4" s="24">
        <f t="shared" ref="V4:V9" si="1">(Q4*S4+R4*T4)*(1+U4)</f>
        <v>8.129999999999999</v>
      </c>
      <c r="W4" s="243" t="s">
        <v>195</v>
      </c>
      <c r="X4" s="76" t="s">
        <v>85</v>
      </c>
      <c r="Y4" s="79">
        <v>1</v>
      </c>
      <c r="Z4" s="31" t="s">
        <v>29</v>
      </c>
      <c r="AA4" t="s">
        <v>9</v>
      </c>
      <c r="AB4">
        <v>2.5299999999999998</v>
      </c>
      <c r="AC4">
        <v>5.6</v>
      </c>
      <c r="AD4">
        <v>1</v>
      </c>
      <c r="AE4">
        <v>1</v>
      </c>
      <c r="AF4">
        <v>0</v>
      </c>
      <c r="AG4" s="24">
        <f t="shared" ref="AG4:AG9" si="2">(AB4*AD4+AC4*AE4)*(1+AF4)</f>
        <v>8.129999999999999</v>
      </c>
      <c r="AH4" s="243" t="s">
        <v>195</v>
      </c>
      <c r="AI4" s="44" t="s">
        <v>85</v>
      </c>
      <c r="AJ4" s="79">
        <v>1</v>
      </c>
      <c r="AK4" s="31" t="s">
        <v>29</v>
      </c>
      <c r="AL4" t="s">
        <v>9</v>
      </c>
      <c r="AM4">
        <v>2.5299999999999998</v>
      </c>
      <c r="AN4">
        <v>5.6</v>
      </c>
      <c r="AO4">
        <v>1</v>
      </c>
      <c r="AP4">
        <v>1</v>
      </c>
      <c r="AQ4">
        <v>0</v>
      </c>
      <c r="AR4" s="24">
        <f t="shared" ref="AR4:AR9" si="3">(AM4*AO4+AN4*AP4)*(1+AQ4)</f>
        <v>8.129999999999999</v>
      </c>
      <c r="AS4" s="243" t="s">
        <v>195</v>
      </c>
      <c r="AT4" s="44" t="s">
        <v>85</v>
      </c>
      <c r="AU4" s="79">
        <v>1</v>
      </c>
      <c r="AV4" s="31" t="s">
        <v>29</v>
      </c>
      <c r="AW4" t="s">
        <v>9</v>
      </c>
      <c r="AX4">
        <v>2.5299999999999998</v>
      </c>
      <c r="AY4">
        <v>5.6</v>
      </c>
      <c r="AZ4">
        <v>1</v>
      </c>
      <c r="BA4">
        <v>1</v>
      </c>
      <c r="BB4">
        <v>0</v>
      </c>
      <c r="BC4" s="24">
        <f t="shared" ref="BC4:BC9" si="4">(AX4*AZ4+AY4*BA4)*(1+BB4)</f>
        <v>8.129999999999999</v>
      </c>
      <c r="BD4" s="243"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3">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44" t="s">
        <v>85</v>
      </c>
      <c r="AJ5" s="79"/>
      <c r="AK5" s="31" t="s">
        <v>32</v>
      </c>
      <c r="AL5" t="s">
        <v>21</v>
      </c>
      <c r="AM5">
        <v>0.16</v>
      </c>
      <c r="AN5">
        <v>0.13</v>
      </c>
      <c r="AO5">
        <v>1</v>
      </c>
      <c r="AP5">
        <v>1</v>
      </c>
      <c r="AQ5">
        <v>0</v>
      </c>
      <c r="AR5" s="24">
        <f t="shared" si="3"/>
        <v>0.29000000000000004</v>
      </c>
      <c r="AS5" s="243"/>
      <c r="AT5" s="44" t="s">
        <v>85</v>
      </c>
      <c r="AU5" s="79"/>
      <c r="AV5" s="31" t="s">
        <v>32</v>
      </c>
      <c r="AW5" t="s">
        <v>21</v>
      </c>
      <c r="AX5">
        <v>0.16</v>
      </c>
      <c r="AY5">
        <v>0.13</v>
      </c>
      <c r="AZ5">
        <v>1</v>
      </c>
      <c r="BA5">
        <v>1</v>
      </c>
      <c r="BB5">
        <v>0</v>
      </c>
      <c r="BC5" s="24">
        <f t="shared" si="4"/>
        <v>0.29000000000000004</v>
      </c>
      <c r="BD5" s="243"/>
      <c r="BE5" s="44" t="s">
        <v>85</v>
      </c>
      <c r="BF5" s="79"/>
      <c r="BG5" s="31" t="s">
        <v>32</v>
      </c>
      <c r="BH5" t="s">
        <v>21</v>
      </c>
      <c r="BI5">
        <v>0.16</v>
      </c>
      <c r="BJ5">
        <v>0.13</v>
      </c>
      <c r="BK5">
        <v>1</v>
      </c>
      <c r="BL5">
        <v>1</v>
      </c>
      <c r="BM5">
        <v>0</v>
      </c>
      <c r="BN5" s="24">
        <f t="shared" si="5"/>
        <v>0.29000000000000004</v>
      </c>
    </row>
    <row r="6" spans="1:66" ht="33" customHeight="1" x14ac:dyDescent="0.3">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44" t="s">
        <v>85</v>
      </c>
      <c r="AJ6" s="79"/>
      <c r="AK6" s="31" t="s">
        <v>31</v>
      </c>
      <c r="AL6" t="s">
        <v>30</v>
      </c>
      <c r="AM6">
        <v>0.32</v>
      </c>
      <c r="AN6">
        <v>0.31</v>
      </c>
      <c r="AO6">
        <v>1</v>
      </c>
      <c r="AP6">
        <v>1</v>
      </c>
      <c r="AQ6">
        <v>0</v>
      </c>
      <c r="AR6" s="24">
        <f t="shared" si="3"/>
        <v>0.63</v>
      </c>
      <c r="AS6" s="243"/>
      <c r="AT6" s="44" t="s">
        <v>85</v>
      </c>
      <c r="AU6" s="79"/>
      <c r="AV6" s="31" t="s">
        <v>31</v>
      </c>
      <c r="AW6" t="s">
        <v>30</v>
      </c>
      <c r="AX6">
        <v>0.32</v>
      </c>
      <c r="AY6">
        <v>0.31</v>
      </c>
      <c r="AZ6">
        <v>1</v>
      </c>
      <c r="BA6">
        <v>1</v>
      </c>
      <c r="BB6">
        <v>0</v>
      </c>
      <c r="BC6" s="24">
        <f t="shared" si="4"/>
        <v>0.63</v>
      </c>
      <c r="BD6" s="243"/>
      <c r="BE6" s="44" t="s">
        <v>85</v>
      </c>
      <c r="BF6" s="79"/>
      <c r="BG6" s="31" t="s">
        <v>31</v>
      </c>
      <c r="BH6" t="s">
        <v>30</v>
      </c>
      <c r="BI6">
        <v>0.32</v>
      </c>
      <c r="BJ6">
        <v>0.31</v>
      </c>
      <c r="BK6">
        <v>1</v>
      </c>
      <c r="BL6">
        <v>1</v>
      </c>
      <c r="BM6">
        <v>0</v>
      </c>
      <c r="BN6" s="24">
        <f t="shared" si="5"/>
        <v>0.63</v>
      </c>
    </row>
    <row r="7" spans="1:66" ht="23.25" customHeight="1" x14ac:dyDescent="0.3">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44" t="s">
        <v>85</v>
      </c>
      <c r="AJ7" s="79"/>
      <c r="AK7" s="31" t="s">
        <v>33</v>
      </c>
      <c r="AL7" t="s">
        <v>6</v>
      </c>
      <c r="AM7">
        <v>0.11</v>
      </c>
      <c r="AN7">
        <v>0.06</v>
      </c>
      <c r="AO7">
        <v>1</v>
      </c>
      <c r="AP7">
        <v>1</v>
      </c>
      <c r="AQ7">
        <v>0</v>
      </c>
      <c r="AR7" s="24">
        <f t="shared" si="3"/>
        <v>0.16999999999999998</v>
      </c>
      <c r="AS7" s="243"/>
      <c r="AT7" s="44" t="s">
        <v>85</v>
      </c>
      <c r="AU7" s="79"/>
      <c r="AV7" s="31" t="s">
        <v>33</v>
      </c>
      <c r="AW7" t="s">
        <v>6</v>
      </c>
      <c r="AX7">
        <v>0.11</v>
      </c>
      <c r="AY7">
        <v>0.06</v>
      </c>
      <c r="AZ7">
        <v>1</v>
      </c>
      <c r="BA7">
        <v>1</v>
      </c>
      <c r="BB7">
        <v>0</v>
      </c>
      <c r="BC7" s="24">
        <f t="shared" si="4"/>
        <v>0.16999999999999998</v>
      </c>
      <c r="BD7" s="243"/>
      <c r="BE7" s="44" t="s">
        <v>85</v>
      </c>
      <c r="BF7" s="79"/>
      <c r="BG7" s="31" t="s">
        <v>33</v>
      </c>
      <c r="BH7" t="s">
        <v>6</v>
      </c>
      <c r="BI7">
        <v>0.11</v>
      </c>
      <c r="BJ7">
        <v>0.06</v>
      </c>
      <c r="BK7">
        <v>1</v>
      </c>
      <c r="BL7">
        <v>1</v>
      </c>
      <c r="BM7">
        <v>0</v>
      </c>
      <c r="BN7" s="24">
        <f t="shared" si="5"/>
        <v>0.16999999999999998</v>
      </c>
    </row>
    <row r="8" spans="1:66" ht="30.75" customHeight="1" x14ac:dyDescent="0.3">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44" t="s">
        <v>85</v>
      </c>
      <c r="AJ8" s="79"/>
      <c r="AK8" s="31" t="s">
        <v>34</v>
      </c>
      <c r="AL8" t="s">
        <v>9</v>
      </c>
      <c r="AM8">
        <v>0.34</v>
      </c>
      <c r="AN8">
        <v>0.59</v>
      </c>
      <c r="AO8">
        <v>1</v>
      </c>
      <c r="AP8">
        <v>1</v>
      </c>
      <c r="AQ8">
        <v>0</v>
      </c>
      <c r="AR8" s="24">
        <f t="shared" si="3"/>
        <v>0.92999999999999994</v>
      </c>
      <c r="AS8" s="243"/>
      <c r="AT8" s="44" t="s">
        <v>85</v>
      </c>
      <c r="AU8" s="79"/>
      <c r="AV8" s="31" t="s">
        <v>34</v>
      </c>
      <c r="AW8" t="s">
        <v>9</v>
      </c>
      <c r="AX8">
        <v>0.34</v>
      </c>
      <c r="AY8">
        <v>0.59</v>
      </c>
      <c r="AZ8">
        <v>1</v>
      </c>
      <c r="BA8">
        <v>1</v>
      </c>
      <c r="BB8">
        <v>0</v>
      </c>
      <c r="BC8" s="24">
        <f t="shared" si="4"/>
        <v>0.92999999999999994</v>
      </c>
      <c r="BD8" s="243"/>
      <c r="BE8" s="44" t="s">
        <v>85</v>
      </c>
      <c r="BF8" s="79"/>
      <c r="BG8" s="31" t="s">
        <v>34</v>
      </c>
      <c r="BH8" t="s">
        <v>9</v>
      </c>
      <c r="BI8">
        <v>0.34</v>
      </c>
      <c r="BJ8">
        <v>0.59</v>
      </c>
      <c r="BK8">
        <v>1</v>
      </c>
      <c r="BL8">
        <v>1</v>
      </c>
      <c r="BM8">
        <v>0</v>
      </c>
      <c r="BN8" s="24">
        <f t="shared" si="5"/>
        <v>0.92999999999999994</v>
      </c>
    </row>
    <row r="9" spans="1:66" ht="23.25" customHeight="1" x14ac:dyDescent="0.3">
      <c r="A9" s="243"/>
      <c r="B9" s="20" t="s">
        <v>114</v>
      </c>
      <c r="C9" s="74"/>
      <c r="D9" s="36" t="s">
        <v>59</v>
      </c>
      <c r="E9" s="19" t="s">
        <v>9</v>
      </c>
      <c r="F9" s="19">
        <v>1.1299999999999999</v>
      </c>
      <c r="G9" s="19">
        <v>0.41</v>
      </c>
      <c r="H9">
        <v>1</v>
      </c>
      <c r="I9">
        <v>1</v>
      </c>
      <c r="J9">
        <v>0.253</v>
      </c>
      <c r="K9" s="24">
        <f t="shared" si="0"/>
        <v>1.9296199999999999</v>
      </c>
      <c r="L9" s="243"/>
      <c r="M9" s="20" t="s">
        <v>115</v>
      </c>
      <c r="N9" s="81"/>
      <c r="O9" s="31" t="s">
        <v>137</v>
      </c>
      <c r="P9" t="s">
        <v>9</v>
      </c>
      <c r="Q9">
        <v>1.58</v>
      </c>
      <c r="R9">
        <v>0.41</v>
      </c>
      <c r="S9">
        <v>1</v>
      </c>
      <c r="T9">
        <v>1</v>
      </c>
      <c r="U9">
        <v>0.221</v>
      </c>
      <c r="V9" s="24">
        <f t="shared" si="1"/>
        <v>2.4297900000000001</v>
      </c>
      <c r="W9" s="243"/>
      <c r="X9" s="20" t="s">
        <v>114</v>
      </c>
      <c r="Y9" s="81"/>
      <c r="Z9" s="36" t="s">
        <v>59</v>
      </c>
      <c r="AA9" s="19" t="s">
        <v>9</v>
      </c>
      <c r="AB9" s="19">
        <v>1.1299999999999999</v>
      </c>
      <c r="AC9" s="19">
        <v>0.41</v>
      </c>
      <c r="AD9">
        <v>2</v>
      </c>
      <c r="AE9">
        <v>1.33</v>
      </c>
      <c r="AF9">
        <v>0.253</v>
      </c>
      <c r="AG9" s="24">
        <f t="shared" si="2"/>
        <v>3.5150409000000002</v>
      </c>
      <c r="AH9" s="243"/>
      <c r="AI9" s="45">
        <v>72113101940</v>
      </c>
      <c r="AJ9" s="81"/>
      <c r="AK9" s="36" t="s">
        <v>59</v>
      </c>
      <c r="AL9" s="19" t="s">
        <v>9</v>
      </c>
      <c r="AM9" s="19">
        <v>1.1299999999999999</v>
      </c>
      <c r="AN9" s="19">
        <v>0.41</v>
      </c>
      <c r="AO9">
        <v>2</v>
      </c>
      <c r="AP9">
        <v>1.33</v>
      </c>
      <c r="AQ9">
        <v>0.253</v>
      </c>
      <c r="AR9" s="24">
        <f t="shared" si="3"/>
        <v>3.5150409000000002</v>
      </c>
      <c r="AS9" s="243"/>
      <c r="AT9" s="45">
        <v>72113101940</v>
      </c>
      <c r="AU9" s="81"/>
      <c r="AV9" s="36" t="s">
        <v>59</v>
      </c>
      <c r="AW9" s="19" t="s">
        <v>9</v>
      </c>
      <c r="AX9" s="19">
        <v>1.1299999999999999</v>
      </c>
      <c r="AY9" s="19">
        <v>0.41</v>
      </c>
      <c r="AZ9">
        <v>2</v>
      </c>
      <c r="BA9">
        <v>1.33</v>
      </c>
      <c r="BB9">
        <v>0.253</v>
      </c>
      <c r="BC9" s="24">
        <f t="shared" si="4"/>
        <v>3.5150409000000002</v>
      </c>
      <c r="BD9" s="243"/>
      <c r="BE9" s="20" t="s">
        <v>115</v>
      </c>
      <c r="BF9" s="81"/>
      <c r="BG9" s="31" t="s">
        <v>137</v>
      </c>
      <c r="BH9" t="s">
        <v>9</v>
      </c>
      <c r="BI9">
        <v>1.58</v>
      </c>
      <c r="BJ9">
        <v>0.41</v>
      </c>
      <c r="BK9">
        <v>1.75</v>
      </c>
      <c r="BL9">
        <v>1.33</v>
      </c>
      <c r="BM9">
        <v>0.221</v>
      </c>
      <c r="BN9" s="24">
        <f t="shared" si="5"/>
        <v>4.0418763000000002</v>
      </c>
    </row>
    <row r="10" spans="1:66" x14ac:dyDescent="0.3">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3" t="s">
        <v>196</v>
      </c>
      <c r="B12" s="76" t="s">
        <v>85</v>
      </c>
      <c r="C12" s="76">
        <v>2</v>
      </c>
      <c r="D12" s="31" t="s">
        <v>29</v>
      </c>
      <c r="E12" t="s">
        <v>9</v>
      </c>
      <c r="F12">
        <v>2.5299999999999998</v>
      </c>
      <c r="G12">
        <v>5.6</v>
      </c>
      <c r="H12">
        <v>1</v>
      </c>
      <c r="I12">
        <v>1</v>
      </c>
      <c r="J12">
        <v>0</v>
      </c>
      <c r="K12" s="24">
        <f t="shared" ref="K12:K20" si="6">(F12*H12+G12*I12)*(1+J12)</f>
        <v>8.129999999999999</v>
      </c>
      <c r="L12" s="243" t="s">
        <v>196</v>
      </c>
      <c r="M12" s="76" t="s">
        <v>85</v>
      </c>
      <c r="N12" s="79">
        <v>2</v>
      </c>
      <c r="O12" s="31" t="s">
        <v>29</v>
      </c>
      <c r="P12" t="s">
        <v>9</v>
      </c>
      <c r="Q12">
        <v>2.5299999999999998</v>
      </c>
      <c r="R12">
        <v>5.6</v>
      </c>
      <c r="S12">
        <v>1</v>
      </c>
      <c r="T12">
        <v>1</v>
      </c>
      <c r="U12">
        <v>0</v>
      </c>
      <c r="V12" s="24">
        <f t="shared" ref="V12:V20" si="7">(Q12*S12+R12*T12)*(1+U12)</f>
        <v>8.129999999999999</v>
      </c>
      <c r="W12" s="243" t="s">
        <v>196</v>
      </c>
      <c r="X12" s="76" t="s">
        <v>85</v>
      </c>
      <c r="Y12" s="79">
        <v>2</v>
      </c>
      <c r="Z12" s="31" t="s">
        <v>29</v>
      </c>
      <c r="AA12" t="s">
        <v>9</v>
      </c>
      <c r="AB12">
        <v>2.5299999999999998</v>
      </c>
      <c r="AC12">
        <v>5.6</v>
      </c>
      <c r="AD12">
        <v>1</v>
      </c>
      <c r="AE12">
        <v>1</v>
      </c>
      <c r="AF12">
        <v>0</v>
      </c>
      <c r="AG12" s="24">
        <f t="shared" ref="AG12:AG20" si="8">(AB12*AD12+AC12*AE12)*(1+AF12)</f>
        <v>8.129999999999999</v>
      </c>
      <c r="AH12" s="243" t="s">
        <v>196</v>
      </c>
      <c r="AI12" s="76" t="s">
        <v>85</v>
      </c>
      <c r="AJ12" s="79">
        <v>2</v>
      </c>
      <c r="AK12" s="31" t="s">
        <v>29</v>
      </c>
      <c r="AL12" t="s">
        <v>9</v>
      </c>
      <c r="AM12">
        <v>2.5299999999999998</v>
      </c>
      <c r="AN12">
        <v>5.6</v>
      </c>
      <c r="AO12">
        <v>1</v>
      </c>
      <c r="AP12">
        <v>1</v>
      </c>
      <c r="AQ12">
        <v>0</v>
      </c>
      <c r="AR12" s="24">
        <f t="shared" ref="AR12:AR20" si="9">(AM12*AO12+AN12*AP12)*(1+AQ12)</f>
        <v>8.129999999999999</v>
      </c>
      <c r="AS12" s="243" t="s">
        <v>196</v>
      </c>
      <c r="AT12" s="76" t="s">
        <v>85</v>
      </c>
      <c r="AU12" s="79">
        <v>2</v>
      </c>
      <c r="AV12" s="31" t="s">
        <v>29</v>
      </c>
      <c r="AW12" t="s">
        <v>9</v>
      </c>
      <c r="AX12">
        <v>2.5299999999999998</v>
      </c>
      <c r="AY12">
        <v>5.6</v>
      </c>
      <c r="AZ12">
        <v>1</v>
      </c>
      <c r="BA12">
        <v>1</v>
      </c>
      <c r="BB12">
        <v>0</v>
      </c>
      <c r="BC12" s="24">
        <f t="shared" ref="BC12:BC20" si="10">(AX12*AZ12+AY12*BA12)*(1+BB12)</f>
        <v>8.129999999999999</v>
      </c>
      <c r="BD12" s="243"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3">
      <c r="A13" s="243"/>
      <c r="B13" s="76" t="s">
        <v>85</v>
      </c>
      <c r="C13" s="76"/>
      <c r="D13" s="31" t="s">
        <v>32</v>
      </c>
      <c r="E13" t="s">
        <v>21</v>
      </c>
      <c r="F13">
        <v>0.16</v>
      </c>
      <c r="G13">
        <v>0.13</v>
      </c>
      <c r="H13">
        <v>1</v>
      </c>
      <c r="I13">
        <v>1</v>
      </c>
      <c r="J13">
        <v>0</v>
      </c>
      <c r="K13" s="24">
        <f t="shared" si="6"/>
        <v>0.29000000000000004</v>
      </c>
      <c r="L13" s="243"/>
      <c r="M13" s="76" t="s">
        <v>85</v>
      </c>
      <c r="N13" s="79"/>
      <c r="O13" s="31" t="s">
        <v>32</v>
      </c>
      <c r="P13" t="s">
        <v>21</v>
      </c>
      <c r="Q13">
        <v>0.16</v>
      </c>
      <c r="R13">
        <v>0.13</v>
      </c>
      <c r="S13">
        <v>1</v>
      </c>
      <c r="T13">
        <v>1</v>
      </c>
      <c r="U13">
        <v>0</v>
      </c>
      <c r="V13" s="24">
        <f t="shared" si="7"/>
        <v>0.29000000000000004</v>
      </c>
      <c r="W13" s="243"/>
      <c r="X13" s="76" t="s">
        <v>85</v>
      </c>
      <c r="Y13" s="79"/>
      <c r="Z13" s="31" t="s">
        <v>32</v>
      </c>
      <c r="AA13" t="s">
        <v>21</v>
      </c>
      <c r="AB13">
        <v>0.16</v>
      </c>
      <c r="AC13">
        <v>0.13</v>
      </c>
      <c r="AD13">
        <v>1</v>
      </c>
      <c r="AE13">
        <v>1</v>
      </c>
      <c r="AF13">
        <v>0</v>
      </c>
      <c r="AG13" s="24">
        <f t="shared" si="8"/>
        <v>0.29000000000000004</v>
      </c>
      <c r="AH13" s="243"/>
      <c r="AI13" s="76" t="s">
        <v>85</v>
      </c>
      <c r="AJ13" s="79"/>
      <c r="AK13" s="31" t="s">
        <v>32</v>
      </c>
      <c r="AL13" t="s">
        <v>21</v>
      </c>
      <c r="AM13">
        <v>0.16</v>
      </c>
      <c r="AN13">
        <v>0.13</v>
      </c>
      <c r="AO13">
        <v>1</v>
      </c>
      <c r="AP13">
        <v>1</v>
      </c>
      <c r="AQ13">
        <v>0</v>
      </c>
      <c r="AR13" s="24">
        <f t="shared" si="9"/>
        <v>0.29000000000000004</v>
      </c>
      <c r="AS13" s="243"/>
      <c r="AT13" s="76" t="s">
        <v>85</v>
      </c>
      <c r="AU13" s="79"/>
      <c r="AV13" s="31" t="s">
        <v>32</v>
      </c>
      <c r="AW13" t="s">
        <v>21</v>
      </c>
      <c r="AX13">
        <v>0.16</v>
      </c>
      <c r="AY13">
        <v>0.13</v>
      </c>
      <c r="AZ13">
        <v>1</v>
      </c>
      <c r="BA13">
        <v>1</v>
      </c>
      <c r="BB13">
        <v>0</v>
      </c>
      <c r="BC13" s="24">
        <f t="shared" si="10"/>
        <v>0.29000000000000004</v>
      </c>
      <c r="BD13" s="243"/>
      <c r="BE13" s="76" t="s">
        <v>85</v>
      </c>
      <c r="BF13" s="79"/>
      <c r="BG13" s="31" t="s">
        <v>32</v>
      </c>
      <c r="BH13" t="s">
        <v>21</v>
      </c>
      <c r="BI13">
        <v>0.16</v>
      </c>
      <c r="BJ13">
        <v>0.13</v>
      </c>
      <c r="BK13">
        <v>1</v>
      </c>
      <c r="BL13">
        <v>1</v>
      </c>
      <c r="BM13">
        <v>0</v>
      </c>
      <c r="BN13" s="24">
        <f t="shared" si="11"/>
        <v>0.29000000000000004</v>
      </c>
    </row>
    <row r="14" spans="1:66" ht="33" customHeight="1" x14ac:dyDescent="0.3">
      <c r="A14" s="243"/>
      <c r="B14" s="76" t="s">
        <v>85</v>
      </c>
      <c r="C14" s="76"/>
      <c r="D14" s="31" t="s">
        <v>31</v>
      </c>
      <c r="E14" t="s">
        <v>30</v>
      </c>
      <c r="F14">
        <v>0.32</v>
      </c>
      <c r="G14">
        <v>0.31</v>
      </c>
      <c r="H14">
        <v>1</v>
      </c>
      <c r="I14">
        <v>1</v>
      </c>
      <c r="J14">
        <v>0</v>
      </c>
      <c r="K14" s="24">
        <f t="shared" si="6"/>
        <v>0.63</v>
      </c>
      <c r="L14" s="243"/>
      <c r="M14" s="76" t="s">
        <v>85</v>
      </c>
      <c r="N14" s="79"/>
      <c r="O14" s="31" t="s">
        <v>31</v>
      </c>
      <c r="P14" t="s">
        <v>30</v>
      </c>
      <c r="Q14">
        <v>0.32</v>
      </c>
      <c r="R14">
        <v>0.31</v>
      </c>
      <c r="S14">
        <v>1</v>
      </c>
      <c r="T14">
        <v>1</v>
      </c>
      <c r="U14">
        <v>0</v>
      </c>
      <c r="V14" s="24">
        <f t="shared" si="7"/>
        <v>0.63</v>
      </c>
      <c r="W14" s="243"/>
      <c r="X14" s="76" t="s">
        <v>85</v>
      </c>
      <c r="Y14" s="79"/>
      <c r="Z14" s="31" t="s">
        <v>31</v>
      </c>
      <c r="AA14" t="s">
        <v>30</v>
      </c>
      <c r="AB14">
        <v>0.32</v>
      </c>
      <c r="AC14">
        <v>0.31</v>
      </c>
      <c r="AD14">
        <v>1</v>
      </c>
      <c r="AE14">
        <v>1</v>
      </c>
      <c r="AF14">
        <v>0</v>
      </c>
      <c r="AG14" s="24">
        <f t="shared" si="8"/>
        <v>0.63</v>
      </c>
      <c r="AH14" s="243"/>
      <c r="AI14" s="76" t="s">
        <v>85</v>
      </c>
      <c r="AJ14" s="79"/>
      <c r="AK14" s="31" t="s">
        <v>31</v>
      </c>
      <c r="AL14" t="s">
        <v>30</v>
      </c>
      <c r="AM14">
        <v>0.32</v>
      </c>
      <c r="AN14">
        <v>0.31</v>
      </c>
      <c r="AO14">
        <v>1</v>
      </c>
      <c r="AP14">
        <v>1</v>
      </c>
      <c r="AQ14">
        <v>0</v>
      </c>
      <c r="AR14" s="24">
        <f t="shared" si="9"/>
        <v>0.63</v>
      </c>
      <c r="AS14" s="243"/>
      <c r="AT14" s="76" t="s">
        <v>85</v>
      </c>
      <c r="AU14" s="79"/>
      <c r="AV14" s="31" t="s">
        <v>31</v>
      </c>
      <c r="AW14" t="s">
        <v>30</v>
      </c>
      <c r="AX14">
        <v>0.32</v>
      </c>
      <c r="AY14">
        <v>0.31</v>
      </c>
      <c r="AZ14">
        <v>1</v>
      </c>
      <c r="BA14">
        <v>1</v>
      </c>
      <c r="BB14">
        <v>0</v>
      </c>
      <c r="BC14" s="24">
        <f t="shared" si="10"/>
        <v>0.63</v>
      </c>
      <c r="BD14" s="243"/>
      <c r="BE14" s="76" t="s">
        <v>85</v>
      </c>
      <c r="BF14" s="79"/>
      <c r="BG14" s="31" t="s">
        <v>31</v>
      </c>
      <c r="BH14" t="s">
        <v>30</v>
      </c>
      <c r="BI14">
        <v>0.32</v>
      </c>
      <c r="BJ14">
        <v>0.31</v>
      </c>
      <c r="BK14">
        <v>1</v>
      </c>
      <c r="BL14">
        <v>1</v>
      </c>
      <c r="BM14">
        <v>0</v>
      </c>
      <c r="BN14" s="24">
        <f t="shared" si="11"/>
        <v>0.63</v>
      </c>
    </row>
    <row r="15" spans="1:66" ht="23.25" customHeight="1" x14ac:dyDescent="0.3">
      <c r="A15" s="243"/>
      <c r="B15" s="76" t="s">
        <v>85</v>
      </c>
      <c r="C15" s="76"/>
      <c r="D15" s="31" t="s">
        <v>33</v>
      </c>
      <c r="E15" t="s">
        <v>6</v>
      </c>
      <c r="F15">
        <v>0.11</v>
      </c>
      <c r="G15">
        <v>0.06</v>
      </c>
      <c r="H15">
        <v>1</v>
      </c>
      <c r="I15">
        <v>1</v>
      </c>
      <c r="J15">
        <v>0</v>
      </c>
      <c r="K15" s="24">
        <f t="shared" si="6"/>
        <v>0.16999999999999998</v>
      </c>
      <c r="L15" s="243"/>
      <c r="M15" s="76" t="s">
        <v>85</v>
      </c>
      <c r="N15" s="79"/>
      <c r="O15" s="31" t="s">
        <v>33</v>
      </c>
      <c r="P15" t="s">
        <v>6</v>
      </c>
      <c r="Q15">
        <v>0.11</v>
      </c>
      <c r="R15">
        <v>0.06</v>
      </c>
      <c r="S15">
        <v>1</v>
      </c>
      <c r="T15">
        <v>1</v>
      </c>
      <c r="U15">
        <v>0</v>
      </c>
      <c r="V15" s="24">
        <f t="shared" si="7"/>
        <v>0.16999999999999998</v>
      </c>
      <c r="W15" s="243"/>
      <c r="X15" s="76" t="s">
        <v>85</v>
      </c>
      <c r="Y15" s="79"/>
      <c r="Z15" s="31" t="s">
        <v>33</v>
      </c>
      <c r="AA15" t="s">
        <v>6</v>
      </c>
      <c r="AB15">
        <v>0.11</v>
      </c>
      <c r="AC15">
        <v>0.06</v>
      </c>
      <c r="AD15">
        <v>1</v>
      </c>
      <c r="AE15">
        <v>1</v>
      </c>
      <c r="AF15">
        <v>0</v>
      </c>
      <c r="AG15" s="24">
        <f t="shared" si="8"/>
        <v>0.16999999999999998</v>
      </c>
      <c r="AH15" s="243"/>
      <c r="AI15" s="76" t="s">
        <v>85</v>
      </c>
      <c r="AJ15" s="79"/>
      <c r="AK15" s="31" t="s">
        <v>33</v>
      </c>
      <c r="AL15" t="s">
        <v>6</v>
      </c>
      <c r="AM15">
        <v>0.11</v>
      </c>
      <c r="AN15">
        <v>0.06</v>
      </c>
      <c r="AO15">
        <v>1</v>
      </c>
      <c r="AP15">
        <v>1</v>
      </c>
      <c r="AQ15">
        <v>0</v>
      </c>
      <c r="AR15" s="24">
        <f t="shared" si="9"/>
        <v>0.16999999999999998</v>
      </c>
      <c r="AS15" s="243"/>
      <c r="AT15" s="76" t="s">
        <v>85</v>
      </c>
      <c r="AU15" s="79"/>
      <c r="AV15" s="31" t="s">
        <v>33</v>
      </c>
      <c r="AW15" t="s">
        <v>6</v>
      </c>
      <c r="AX15">
        <v>0.11</v>
      </c>
      <c r="AY15">
        <v>0.06</v>
      </c>
      <c r="AZ15">
        <v>1</v>
      </c>
      <c r="BA15">
        <v>1</v>
      </c>
      <c r="BB15">
        <v>0</v>
      </c>
      <c r="BC15" s="24">
        <f t="shared" si="10"/>
        <v>0.16999999999999998</v>
      </c>
      <c r="BD15" s="243"/>
      <c r="BE15" s="76" t="s">
        <v>85</v>
      </c>
      <c r="BF15" s="79"/>
      <c r="BG15" s="31" t="s">
        <v>33</v>
      </c>
      <c r="BH15" t="s">
        <v>6</v>
      </c>
      <c r="BI15">
        <v>0.11</v>
      </c>
      <c r="BJ15">
        <v>0.06</v>
      </c>
      <c r="BK15">
        <v>1</v>
      </c>
      <c r="BL15">
        <v>1</v>
      </c>
      <c r="BM15">
        <v>0</v>
      </c>
      <c r="BN15" s="24">
        <f t="shared" si="11"/>
        <v>0.16999999999999998</v>
      </c>
    </row>
    <row r="16" spans="1:66" ht="30.75" customHeight="1" x14ac:dyDescent="0.3">
      <c r="A16" s="243"/>
      <c r="B16" s="76" t="s">
        <v>85</v>
      </c>
      <c r="C16" s="76"/>
      <c r="D16" s="31" t="s">
        <v>34</v>
      </c>
      <c r="E16" t="s">
        <v>9</v>
      </c>
      <c r="F16">
        <v>0.34</v>
      </c>
      <c r="G16">
        <v>0.59</v>
      </c>
      <c r="H16">
        <v>1</v>
      </c>
      <c r="I16">
        <v>1</v>
      </c>
      <c r="J16">
        <v>0</v>
      </c>
      <c r="K16" s="24">
        <f t="shared" si="6"/>
        <v>0.92999999999999994</v>
      </c>
      <c r="L16" s="243"/>
      <c r="M16" s="76" t="s">
        <v>85</v>
      </c>
      <c r="N16" s="79"/>
      <c r="O16" s="31" t="s">
        <v>34</v>
      </c>
      <c r="P16" t="s">
        <v>9</v>
      </c>
      <c r="Q16">
        <v>0.34</v>
      </c>
      <c r="R16">
        <v>0.59</v>
      </c>
      <c r="S16">
        <v>1</v>
      </c>
      <c r="T16">
        <v>1</v>
      </c>
      <c r="U16">
        <v>0</v>
      </c>
      <c r="V16" s="24">
        <f t="shared" si="7"/>
        <v>0.92999999999999994</v>
      </c>
      <c r="W16" s="243"/>
      <c r="X16" s="76" t="s">
        <v>85</v>
      </c>
      <c r="Y16" s="79"/>
      <c r="Z16" s="31" t="s">
        <v>34</v>
      </c>
      <c r="AA16" t="s">
        <v>9</v>
      </c>
      <c r="AB16">
        <v>0.34</v>
      </c>
      <c r="AC16">
        <v>0.59</v>
      </c>
      <c r="AD16">
        <v>1</v>
      </c>
      <c r="AE16">
        <v>1</v>
      </c>
      <c r="AF16">
        <v>0</v>
      </c>
      <c r="AG16" s="24">
        <f t="shared" si="8"/>
        <v>0.92999999999999994</v>
      </c>
      <c r="AH16" s="243"/>
      <c r="AI16" s="76" t="s">
        <v>85</v>
      </c>
      <c r="AJ16" s="79"/>
      <c r="AK16" s="31" t="s">
        <v>34</v>
      </c>
      <c r="AL16" t="s">
        <v>9</v>
      </c>
      <c r="AM16">
        <v>0.34</v>
      </c>
      <c r="AN16">
        <v>0.59</v>
      </c>
      <c r="AO16">
        <v>1</v>
      </c>
      <c r="AP16">
        <v>1</v>
      </c>
      <c r="AQ16">
        <v>0</v>
      </c>
      <c r="AR16" s="24">
        <f t="shared" si="9"/>
        <v>0.92999999999999994</v>
      </c>
      <c r="AS16" s="243"/>
      <c r="AT16" s="76" t="s">
        <v>85</v>
      </c>
      <c r="AU16" s="79"/>
      <c r="AV16" s="31" t="s">
        <v>34</v>
      </c>
      <c r="AW16" t="s">
        <v>9</v>
      </c>
      <c r="AX16">
        <v>0.34</v>
      </c>
      <c r="AY16">
        <v>0.59</v>
      </c>
      <c r="AZ16">
        <v>1</v>
      </c>
      <c r="BA16">
        <v>1</v>
      </c>
      <c r="BB16">
        <v>0</v>
      </c>
      <c r="BC16" s="24">
        <f t="shared" si="10"/>
        <v>0.92999999999999994</v>
      </c>
      <c r="BD16" s="243"/>
      <c r="BE16" s="76" t="s">
        <v>85</v>
      </c>
      <c r="BF16" s="79"/>
      <c r="BG16" s="31" t="s">
        <v>34</v>
      </c>
      <c r="BH16" t="s">
        <v>9</v>
      </c>
      <c r="BI16">
        <v>0.34</v>
      </c>
      <c r="BJ16">
        <v>0.59</v>
      </c>
      <c r="BK16">
        <v>1</v>
      </c>
      <c r="BL16">
        <v>1</v>
      </c>
      <c r="BM16">
        <v>0</v>
      </c>
      <c r="BN16" s="24">
        <f t="shared" si="11"/>
        <v>0.92999999999999994</v>
      </c>
    </row>
    <row r="17" spans="1:66" ht="23.25" customHeight="1" x14ac:dyDescent="0.3">
      <c r="A17" s="243"/>
      <c r="B17" s="75">
        <v>92910300300</v>
      </c>
      <c r="C17" s="75"/>
      <c r="D17" s="31" t="s">
        <v>11</v>
      </c>
      <c r="E17" t="s">
        <v>9</v>
      </c>
      <c r="F17">
        <v>0.33</v>
      </c>
      <c r="G17">
        <v>0.3</v>
      </c>
      <c r="H17">
        <v>1</v>
      </c>
      <c r="I17">
        <v>1</v>
      </c>
      <c r="J17">
        <v>0.38100000000000001</v>
      </c>
      <c r="K17" s="24">
        <f t="shared" si="6"/>
        <v>0.87002999999999997</v>
      </c>
      <c r="L17" s="243"/>
      <c r="M17" s="75">
        <v>92910300300</v>
      </c>
      <c r="N17" s="78"/>
      <c r="O17" s="31" t="s">
        <v>11</v>
      </c>
      <c r="P17" t="s">
        <v>9</v>
      </c>
      <c r="Q17">
        <v>0.33</v>
      </c>
      <c r="R17">
        <v>0.3</v>
      </c>
      <c r="S17">
        <v>1</v>
      </c>
      <c r="T17">
        <v>1</v>
      </c>
      <c r="U17">
        <v>0.38100000000000001</v>
      </c>
      <c r="V17" s="24">
        <f t="shared" si="7"/>
        <v>0.87002999999999997</v>
      </c>
      <c r="W17" s="243"/>
      <c r="X17" s="75">
        <v>92910300300</v>
      </c>
      <c r="Y17" s="78"/>
      <c r="Z17" s="31" t="s">
        <v>11</v>
      </c>
      <c r="AA17" t="s">
        <v>9</v>
      </c>
      <c r="AB17">
        <v>0.33</v>
      </c>
      <c r="AC17">
        <v>0.3</v>
      </c>
      <c r="AD17">
        <v>1</v>
      </c>
      <c r="AE17">
        <v>1</v>
      </c>
      <c r="AF17">
        <v>0.38100000000000001</v>
      </c>
      <c r="AG17" s="24">
        <f t="shared" si="8"/>
        <v>0.87002999999999997</v>
      </c>
      <c r="AH17" s="243"/>
      <c r="AI17" s="75">
        <v>92910300300</v>
      </c>
      <c r="AJ17" s="78"/>
      <c r="AK17" s="31" t="s">
        <v>11</v>
      </c>
      <c r="AL17" t="s">
        <v>9</v>
      </c>
      <c r="AM17">
        <v>0.33</v>
      </c>
      <c r="AN17">
        <v>0.3</v>
      </c>
      <c r="AO17">
        <v>1</v>
      </c>
      <c r="AP17">
        <v>1</v>
      </c>
      <c r="AQ17">
        <v>0.38100000000000001</v>
      </c>
      <c r="AR17" s="24">
        <f t="shared" si="9"/>
        <v>0.87002999999999997</v>
      </c>
      <c r="AS17" s="243"/>
      <c r="AT17" s="75">
        <v>92910300300</v>
      </c>
      <c r="AU17" s="78"/>
      <c r="AV17" s="31" t="s">
        <v>11</v>
      </c>
      <c r="AW17" t="s">
        <v>9</v>
      </c>
      <c r="AX17">
        <v>0.33</v>
      </c>
      <c r="AY17">
        <v>0.3</v>
      </c>
      <c r="AZ17">
        <v>1</v>
      </c>
      <c r="BA17">
        <v>1</v>
      </c>
      <c r="BB17">
        <v>0.38100000000000001</v>
      </c>
      <c r="BC17" s="24">
        <f t="shared" si="10"/>
        <v>0.87002999999999997</v>
      </c>
      <c r="BD17" s="243"/>
      <c r="BE17" s="75">
        <v>92910300300</v>
      </c>
      <c r="BF17" s="78"/>
      <c r="BG17" s="31" t="s">
        <v>11</v>
      </c>
      <c r="BH17" t="s">
        <v>9</v>
      </c>
      <c r="BI17">
        <v>0.33</v>
      </c>
      <c r="BJ17">
        <v>0.3</v>
      </c>
      <c r="BK17">
        <v>1</v>
      </c>
      <c r="BL17">
        <v>1</v>
      </c>
      <c r="BM17">
        <v>0.38100000000000001</v>
      </c>
      <c r="BN17" s="24">
        <f t="shared" si="11"/>
        <v>0.87002999999999997</v>
      </c>
    </row>
    <row r="18" spans="1:66" ht="28.8" x14ac:dyDescent="0.3">
      <c r="A18" s="244"/>
      <c r="B18" s="76" t="s">
        <v>90</v>
      </c>
      <c r="C18" s="76"/>
      <c r="D18" s="31" t="s">
        <v>57</v>
      </c>
      <c r="E18" t="s">
        <v>6</v>
      </c>
      <c r="F18">
        <v>1.35</v>
      </c>
      <c r="G18">
        <v>1.54</v>
      </c>
      <c r="H18">
        <v>1</v>
      </c>
      <c r="I18">
        <v>1</v>
      </c>
      <c r="J18">
        <v>0</v>
      </c>
      <c r="K18" s="24">
        <f t="shared" si="6"/>
        <v>2.89</v>
      </c>
      <c r="L18" s="244"/>
      <c r="M18" s="76" t="s">
        <v>90</v>
      </c>
      <c r="N18" s="79"/>
      <c r="O18" s="31" t="s">
        <v>57</v>
      </c>
      <c r="P18" t="s">
        <v>6</v>
      </c>
      <c r="Q18">
        <v>1.35</v>
      </c>
      <c r="R18">
        <v>1.54</v>
      </c>
      <c r="S18">
        <v>1</v>
      </c>
      <c r="T18">
        <v>1</v>
      </c>
      <c r="U18">
        <v>0</v>
      </c>
      <c r="V18" s="24">
        <f t="shared" si="7"/>
        <v>2.89</v>
      </c>
      <c r="W18" s="244"/>
      <c r="X18" s="76" t="s">
        <v>90</v>
      </c>
      <c r="Y18" s="79"/>
      <c r="Z18" s="31" t="s">
        <v>57</v>
      </c>
      <c r="AA18" t="s">
        <v>6</v>
      </c>
      <c r="AB18">
        <v>1.35</v>
      </c>
      <c r="AC18">
        <v>1.54</v>
      </c>
      <c r="AD18">
        <v>1</v>
      </c>
      <c r="AE18">
        <v>1</v>
      </c>
      <c r="AF18">
        <v>0</v>
      </c>
      <c r="AG18" s="24">
        <f t="shared" si="8"/>
        <v>2.89</v>
      </c>
      <c r="AH18" s="244"/>
      <c r="AI18" s="76" t="s">
        <v>90</v>
      </c>
      <c r="AJ18" s="79"/>
      <c r="AK18" s="31" t="s">
        <v>57</v>
      </c>
      <c r="AL18" t="s">
        <v>6</v>
      </c>
      <c r="AM18">
        <v>1.35</v>
      </c>
      <c r="AN18">
        <v>1.54</v>
      </c>
      <c r="AO18">
        <v>1</v>
      </c>
      <c r="AP18">
        <v>1</v>
      </c>
      <c r="AQ18">
        <v>0</v>
      </c>
      <c r="AR18" s="24">
        <f t="shared" si="9"/>
        <v>2.89</v>
      </c>
      <c r="AS18" s="244"/>
      <c r="AT18" s="76" t="s">
        <v>90</v>
      </c>
      <c r="AU18" s="79"/>
      <c r="AV18" s="31" t="s">
        <v>57</v>
      </c>
      <c r="AW18" t="s">
        <v>6</v>
      </c>
      <c r="AX18">
        <v>1.35</v>
      </c>
      <c r="AY18">
        <v>1.54</v>
      </c>
      <c r="AZ18">
        <v>1</v>
      </c>
      <c r="BA18">
        <v>1</v>
      </c>
      <c r="BB18">
        <v>0</v>
      </c>
      <c r="BC18" s="24">
        <f t="shared" si="10"/>
        <v>2.89</v>
      </c>
      <c r="BD18" s="244"/>
      <c r="BE18" s="76" t="s">
        <v>90</v>
      </c>
      <c r="BF18" s="79"/>
      <c r="BG18" s="31" t="s">
        <v>57</v>
      </c>
      <c r="BH18" t="s">
        <v>6</v>
      </c>
      <c r="BI18">
        <v>1.35</v>
      </c>
      <c r="BJ18">
        <v>1.54</v>
      </c>
      <c r="BK18">
        <v>1</v>
      </c>
      <c r="BL18">
        <v>1</v>
      </c>
      <c r="BM18">
        <v>0</v>
      </c>
      <c r="BN18" s="24">
        <f t="shared" si="11"/>
        <v>2.89</v>
      </c>
    </row>
    <row r="19" spans="1:66" x14ac:dyDescent="0.3">
      <c r="A19" s="244"/>
      <c r="B19" s="76">
        <v>72610100700</v>
      </c>
      <c r="C19" s="76"/>
      <c r="D19" s="31" t="s">
        <v>12</v>
      </c>
      <c r="E19" t="s">
        <v>9</v>
      </c>
      <c r="F19">
        <v>2.5000000000000001E-2</v>
      </c>
      <c r="G19">
        <v>8.2000000000000003E-2</v>
      </c>
      <c r="H19">
        <v>1</v>
      </c>
      <c r="I19">
        <v>1</v>
      </c>
      <c r="J19">
        <v>0.54300000000000004</v>
      </c>
      <c r="K19" s="24">
        <f t="shared" si="6"/>
        <v>0.16510100000000003</v>
      </c>
      <c r="L19" s="244"/>
      <c r="M19" s="76">
        <v>72610100700</v>
      </c>
      <c r="N19" s="79"/>
      <c r="O19" s="31" t="s">
        <v>12</v>
      </c>
      <c r="P19" t="s">
        <v>9</v>
      </c>
      <c r="Q19">
        <v>2.5000000000000001E-2</v>
      </c>
      <c r="R19">
        <v>8.2000000000000003E-2</v>
      </c>
      <c r="S19">
        <v>1</v>
      </c>
      <c r="T19">
        <v>1</v>
      </c>
      <c r="U19">
        <v>0.54300000000000004</v>
      </c>
      <c r="V19" s="24">
        <f t="shared" si="7"/>
        <v>0.16510100000000003</v>
      </c>
      <c r="W19" s="244"/>
      <c r="X19" s="76">
        <v>72610100700</v>
      </c>
      <c r="Y19" s="79"/>
      <c r="Z19" s="31" t="s">
        <v>12</v>
      </c>
      <c r="AA19" t="s">
        <v>9</v>
      </c>
      <c r="AB19">
        <v>2.5000000000000001E-2</v>
      </c>
      <c r="AC19">
        <v>8.2000000000000003E-2</v>
      </c>
      <c r="AD19">
        <v>1</v>
      </c>
      <c r="AE19">
        <v>1</v>
      </c>
      <c r="AF19">
        <v>0.54300000000000004</v>
      </c>
      <c r="AG19" s="24">
        <f t="shared" si="8"/>
        <v>0.16510100000000003</v>
      </c>
      <c r="AH19" s="244"/>
      <c r="AI19" s="76">
        <v>72610100700</v>
      </c>
      <c r="AJ19" s="79"/>
      <c r="AK19" s="31" t="s">
        <v>12</v>
      </c>
      <c r="AL19" t="s">
        <v>9</v>
      </c>
      <c r="AM19">
        <v>2.5000000000000001E-2</v>
      </c>
      <c r="AN19">
        <v>8.2000000000000003E-2</v>
      </c>
      <c r="AO19">
        <v>1</v>
      </c>
      <c r="AP19">
        <v>1</v>
      </c>
      <c r="AQ19">
        <v>0.54300000000000004</v>
      </c>
      <c r="AR19" s="24">
        <f t="shared" si="9"/>
        <v>0.16510100000000003</v>
      </c>
      <c r="AS19" s="244"/>
      <c r="AT19" s="76">
        <v>72610100700</v>
      </c>
      <c r="AU19" s="79"/>
      <c r="AV19" s="31" t="s">
        <v>12</v>
      </c>
      <c r="AW19" t="s">
        <v>9</v>
      </c>
      <c r="AX19">
        <v>2.5000000000000001E-2</v>
      </c>
      <c r="AY19">
        <v>8.2000000000000003E-2</v>
      </c>
      <c r="AZ19">
        <v>1</v>
      </c>
      <c r="BA19">
        <v>1</v>
      </c>
      <c r="BB19">
        <v>0.54300000000000004</v>
      </c>
      <c r="BC19" s="24">
        <f t="shared" si="10"/>
        <v>0.16510100000000003</v>
      </c>
      <c r="BD19" s="244"/>
      <c r="BE19" s="76"/>
      <c r="BF19" s="79"/>
      <c r="BG19" s="31"/>
      <c r="BN19" s="24"/>
    </row>
    <row r="20" spans="1:66" ht="28.8" x14ac:dyDescent="0.3">
      <c r="A20" s="244"/>
      <c r="B20" s="20" t="s">
        <v>116</v>
      </c>
      <c r="D20" t="s">
        <v>197</v>
      </c>
      <c r="E20" t="s">
        <v>9</v>
      </c>
      <c r="F20">
        <v>0.47</v>
      </c>
      <c r="G20">
        <v>0.19</v>
      </c>
      <c r="H20">
        <v>1</v>
      </c>
      <c r="I20">
        <v>1</v>
      </c>
      <c r="J20">
        <v>0.27</v>
      </c>
      <c r="K20" s="24">
        <f t="shared" si="6"/>
        <v>0.83819999999999995</v>
      </c>
      <c r="L20" s="244"/>
      <c r="M20" s="20" t="s">
        <v>117</v>
      </c>
      <c r="O20" s="31" t="s">
        <v>199</v>
      </c>
      <c r="P20" t="s">
        <v>9</v>
      </c>
      <c r="Q20">
        <v>0.48</v>
      </c>
      <c r="R20">
        <v>0.19</v>
      </c>
      <c r="S20">
        <v>1</v>
      </c>
      <c r="T20">
        <v>1</v>
      </c>
      <c r="U20">
        <v>0.27</v>
      </c>
      <c r="V20" s="24">
        <f t="shared" si="7"/>
        <v>0.85089999999999988</v>
      </c>
      <c r="W20" s="244"/>
      <c r="X20" s="20" t="s">
        <v>119</v>
      </c>
      <c r="Z20" t="s">
        <v>198</v>
      </c>
      <c r="AA20" t="s">
        <v>9</v>
      </c>
      <c r="AB20">
        <v>0.64</v>
      </c>
      <c r="AC20">
        <v>0.19</v>
      </c>
      <c r="AD20">
        <v>1</v>
      </c>
      <c r="AE20">
        <v>1</v>
      </c>
      <c r="AF20">
        <v>0.23</v>
      </c>
      <c r="AG20" s="24">
        <f t="shared" si="8"/>
        <v>1.0209000000000001</v>
      </c>
      <c r="AH20" s="244"/>
      <c r="AI20" s="20" t="s">
        <v>119</v>
      </c>
      <c r="AK20" t="s">
        <v>198</v>
      </c>
      <c r="AL20" t="s">
        <v>9</v>
      </c>
      <c r="AM20">
        <v>0.64</v>
      </c>
      <c r="AN20">
        <v>0.19</v>
      </c>
      <c r="AO20">
        <v>1</v>
      </c>
      <c r="AP20">
        <v>1</v>
      </c>
      <c r="AQ20">
        <v>0.23</v>
      </c>
      <c r="AR20" s="24">
        <f t="shared" si="9"/>
        <v>1.0209000000000001</v>
      </c>
      <c r="AS20" s="244"/>
      <c r="AT20" s="20" t="s">
        <v>119</v>
      </c>
      <c r="AV20" t="s">
        <v>198</v>
      </c>
      <c r="AW20" t="s">
        <v>9</v>
      </c>
      <c r="AX20">
        <v>0.64</v>
      </c>
      <c r="AY20">
        <v>0.19</v>
      </c>
      <c r="AZ20">
        <v>1</v>
      </c>
      <c r="BA20">
        <v>1</v>
      </c>
      <c r="BB20">
        <v>0.23</v>
      </c>
      <c r="BC20" s="24">
        <f t="shared" si="10"/>
        <v>1.0209000000000001</v>
      </c>
      <c r="BD20" s="244"/>
      <c r="BE20" s="20" t="s">
        <v>124</v>
      </c>
      <c r="BG20" t="s">
        <v>253</v>
      </c>
      <c r="BH20" t="s">
        <v>9</v>
      </c>
      <c r="BI20">
        <v>3.15</v>
      </c>
      <c r="BJ20">
        <v>1.39</v>
      </c>
      <c r="BK20">
        <v>1</v>
      </c>
      <c r="BL20">
        <v>1</v>
      </c>
      <c r="BM20">
        <v>0.2</v>
      </c>
      <c r="BN20" s="24">
        <f t="shared" si="11"/>
        <v>5.4479999999999995</v>
      </c>
    </row>
    <row r="21" spans="1:66" x14ac:dyDescent="0.3">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3">
      <c r="A4" s="243" t="s">
        <v>238</v>
      </c>
      <c r="B4" s="20" t="s">
        <v>114</v>
      </c>
      <c r="C4" s="74">
        <v>1</v>
      </c>
      <c r="D4" s="36" t="s">
        <v>59</v>
      </c>
      <c r="E4" s="19" t="s">
        <v>9</v>
      </c>
      <c r="F4" s="19">
        <v>1.1299999999999999</v>
      </c>
      <c r="G4" s="19">
        <v>0.41</v>
      </c>
      <c r="H4">
        <v>1</v>
      </c>
      <c r="I4">
        <v>1</v>
      </c>
      <c r="J4">
        <v>0.253</v>
      </c>
      <c r="K4" s="24">
        <f t="shared" ref="K4:K10" si="0">(F4*H4+G4*I4)*(1+J4)</f>
        <v>1.9296199999999999</v>
      </c>
      <c r="L4" s="243" t="s">
        <v>238</v>
      </c>
      <c r="M4" s="20" t="s">
        <v>115</v>
      </c>
      <c r="N4" s="81">
        <v>1</v>
      </c>
      <c r="O4" s="31" t="s">
        <v>137</v>
      </c>
      <c r="P4" t="s">
        <v>9</v>
      </c>
      <c r="Q4">
        <v>1.58</v>
      </c>
      <c r="R4">
        <v>0.41</v>
      </c>
      <c r="S4">
        <v>1</v>
      </c>
      <c r="T4">
        <v>1</v>
      </c>
      <c r="U4">
        <v>0.221</v>
      </c>
      <c r="V4" s="24">
        <f>(Q4*S4+R4*T4)*(1+U4)</f>
        <v>2.4297900000000001</v>
      </c>
      <c r="W4" s="243" t="s">
        <v>238</v>
      </c>
      <c r="X4" s="76">
        <v>72113101940</v>
      </c>
      <c r="Y4" s="81">
        <v>1</v>
      </c>
      <c r="Z4" s="31" t="s">
        <v>59</v>
      </c>
      <c r="AA4" t="s">
        <v>9</v>
      </c>
      <c r="AB4">
        <v>1.1299999999999999</v>
      </c>
      <c r="AC4">
        <v>0.41</v>
      </c>
      <c r="AD4">
        <v>2</v>
      </c>
      <c r="AE4">
        <v>1.25</v>
      </c>
      <c r="AF4">
        <v>0.253</v>
      </c>
      <c r="AG4" s="24">
        <f>(AB4*AD4+AC4*AE4)*(1+AF4)</f>
        <v>3.4739425000000002</v>
      </c>
      <c r="AH4" s="243" t="s">
        <v>238</v>
      </c>
      <c r="AI4" s="20" t="s">
        <v>114</v>
      </c>
      <c r="AJ4" s="81">
        <v>1</v>
      </c>
      <c r="AK4" s="36" t="s">
        <v>59</v>
      </c>
      <c r="AL4" t="s">
        <v>9</v>
      </c>
      <c r="AM4">
        <v>1.1299999999999999</v>
      </c>
      <c r="AN4">
        <v>0.41</v>
      </c>
      <c r="AO4">
        <v>2</v>
      </c>
      <c r="AP4">
        <v>1.25</v>
      </c>
      <c r="AQ4">
        <v>0.253</v>
      </c>
      <c r="AR4" s="24">
        <f>(AM4*AO4+AN4*AP4)*(1+AQ4)</f>
        <v>3.4739425000000002</v>
      </c>
      <c r="AS4" s="243" t="s">
        <v>238</v>
      </c>
      <c r="AT4" s="20" t="s">
        <v>114</v>
      </c>
      <c r="AU4" s="81">
        <v>1</v>
      </c>
      <c r="AV4" s="36" t="s">
        <v>59</v>
      </c>
      <c r="AW4" t="s">
        <v>9</v>
      </c>
      <c r="AX4">
        <v>1.1299999999999999</v>
      </c>
      <c r="AY4">
        <v>0.41</v>
      </c>
      <c r="AZ4">
        <v>2</v>
      </c>
      <c r="BA4">
        <v>1.25</v>
      </c>
      <c r="BB4">
        <v>0.253</v>
      </c>
      <c r="BC4" s="24">
        <f>(AX4*AZ4+AY4*BA4)*(1+BB4)</f>
        <v>3.4739425000000002</v>
      </c>
      <c r="BD4" s="243" t="s">
        <v>238</v>
      </c>
      <c r="BE4" s="20" t="s">
        <v>115</v>
      </c>
      <c r="BF4" s="81">
        <v>1</v>
      </c>
      <c r="BG4" s="31" t="s">
        <v>137</v>
      </c>
      <c r="BH4" t="s">
        <v>9</v>
      </c>
      <c r="BI4">
        <v>1.58</v>
      </c>
      <c r="BJ4">
        <v>0.41</v>
      </c>
      <c r="BK4">
        <v>1.75</v>
      </c>
      <c r="BL4">
        <v>1.33</v>
      </c>
      <c r="BM4">
        <v>0.221</v>
      </c>
      <c r="BN4" s="24">
        <f t="shared" ref="BN4:BN10" si="1">(BI4*BK4+BJ4*BL4)*(1+BM4)</f>
        <v>4.0418763000000002</v>
      </c>
    </row>
    <row r="5" spans="1:66" s="19" customFormat="1" x14ac:dyDescent="0.3">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x14ac:dyDescent="0.3">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x14ac:dyDescent="0.3">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x14ac:dyDescent="0.3">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x14ac:dyDescent="0.3">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x14ac:dyDescent="0.3">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3" t="s">
        <v>202</v>
      </c>
      <c r="B12" s="48" t="s">
        <v>203</v>
      </c>
      <c r="C12" s="48">
        <v>2</v>
      </c>
      <c r="D12" s="31" t="s">
        <v>204</v>
      </c>
      <c r="E12" t="s">
        <v>9</v>
      </c>
      <c r="F12">
        <v>2.12</v>
      </c>
      <c r="G12">
        <v>4.7699999999999996</v>
      </c>
      <c r="H12">
        <v>1</v>
      </c>
      <c r="I12">
        <v>1</v>
      </c>
      <c r="J12">
        <v>0</v>
      </c>
      <c r="K12" s="24">
        <f t="shared" ref="K12:K19" si="6">(F12*H12+G12*I12)*(1+J12)</f>
        <v>6.89</v>
      </c>
      <c r="L12" s="243" t="s">
        <v>202</v>
      </c>
      <c r="M12" s="76" t="s">
        <v>203</v>
      </c>
      <c r="N12" s="79">
        <v>2</v>
      </c>
      <c r="O12" s="31" t="s">
        <v>204</v>
      </c>
      <c r="P12" t="s">
        <v>9</v>
      </c>
      <c r="Q12">
        <v>2.12</v>
      </c>
      <c r="R12">
        <v>4.7699999999999996</v>
      </c>
      <c r="S12">
        <v>1</v>
      </c>
      <c r="T12">
        <v>1</v>
      </c>
      <c r="U12">
        <v>0</v>
      </c>
      <c r="V12" s="24">
        <f t="shared" ref="V12:V19" si="7">(Q12*S12+R12*T12)*(1+U12)</f>
        <v>6.89</v>
      </c>
      <c r="W12" s="243" t="s">
        <v>202</v>
      </c>
      <c r="X12" s="76" t="s">
        <v>203</v>
      </c>
      <c r="Y12" s="79">
        <v>2</v>
      </c>
      <c r="Z12" s="31" t="s">
        <v>204</v>
      </c>
      <c r="AA12" t="s">
        <v>9</v>
      </c>
      <c r="AB12">
        <v>2.12</v>
      </c>
      <c r="AC12">
        <v>4.7699999999999996</v>
      </c>
      <c r="AD12">
        <v>1</v>
      </c>
      <c r="AE12">
        <v>1</v>
      </c>
      <c r="AF12">
        <v>0</v>
      </c>
      <c r="AG12" s="24">
        <f t="shared" ref="AG12:AG19" si="8">(AB12*AD12+AC12*AE12)*(1+AF12)</f>
        <v>6.89</v>
      </c>
      <c r="AH12" s="243" t="s">
        <v>202</v>
      </c>
      <c r="AI12" s="76" t="s">
        <v>203</v>
      </c>
      <c r="AJ12" s="79">
        <v>2</v>
      </c>
      <c r="AK12" s="31" t="s">
        <v>204</v>
      </c>
      <c r="AL12" t="s">
        <v>9</v>
      </c>
      <c r="AM12">
        <v>2.12</v>
      </c>
      <c r="AN12">
        <v>4.7699999999999996</v>
      </c>
      <c r="AO12">
        <v>1</v>
      </c>
      <c r="AP12">
        <v>1</v>
      </c>
      <c r="AQ12">
        <v>0</v>
      </c>
      <c r="AR12" s="24">
        <f t="shared" ref="AR12:AR17" si="9">(AM12*AO12+AN12*AP12)*(1+AQ12)</f>
        <v>6.89</v>
      </c>
      <c r="AS12" s="243" t="s">
        <v>202</v>
      </c>
      <c r="AT12" s="76" t="s">
        <v>203</v>
      </c>
      <c r="AU12" s="79">
        <v>2</v>
      </c>
      <c r="AV12" s="31" t="s">
        <v>204</v>
      </c>
      <c r="AW12" t="s">
        <v>9</v>
      </c>
      <c r="AX12">
        <v>2.12</v>
      </c>
      <c r="AY12">
        <v>4.7699999999999996</v>
      </c>
      <c r="AZ12">
        <v>1</v>
      </c>
      <c r="BA12">
        <v>1</v>
      </c>
      <c r="BB12">
        <v>0</v>
      </c>
      <c r="BC12" s="24">
        <f t="shared" ref="BC12:BC17" si="10">(AX12*AZ12+AY12*BA12)*(1+BB12)</f>
        <v>6.89</v>
      </c>
      <c r="BD12" s="243"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x14ac:dyDescent="0.3">
      <c r="A13" s="243"/>
      <c r="B13" s="48" t="s">
        <v>203</v>
      </c>
      <c r="C13" s="48"/>
      <c r="D13" s="31" t="s">
        <v>205</v>
      </c>
      <c r="E13" t="s">
        <v>51</v>
      </c>
      <c r="F13">
        <v>0.13</v>
      </c>
      <c r="G13">
        <v>1.1100000000000001</v>
      </c>
      <c r="H13">
        <v>1</v>
      </c>
      <c r="I13">
        <v>1</v>
      </c>
      <c r="J13">
        <v>0</v>
      </c>
      <c r="K13" s="24">
        <f t="shared" si="6"/>
        <v>1.2400000000000002</v>
      </c>
      <c r="L13" s="243"/>
      <c r="M13" s="76" t="s">
        <v>203</v>
      </c>
      <c r="N13" s="79"/>
      <c r="O13" s="31" t="s">
        <v>205</v>
      </c>
      <c r="P13" t="s">
        <v>51</v>
      </c>
      <c r="Q13">
        <v>0.13</v>
      </c>
      <c r="R13">
        <v>1.1100000000000001</v>
      </c>
      <c r="S13">
        <v>1</v>
      </c>
      <c r="T13">
        <v>1</v>
      </c>
      <c r="U13">
        <v>0</v>
      </c>
      <c r="V13" s="24">
        <f t="shared" si="7"/>
        <v>1.2400000000000002</v>
      </c>
      <c r="W13" s="243"/>
      <c r="X13" s="76" t="s">
        <v>203</v>
      </c>
      <c r="Y13" s="79"/>
      <c r="Z13" s="31" t="s">
        <v>205</v>
      </c>
      <c r="AA13" t="s">
        <v>51</v>
      </c>
      <c r="AB13">
        <v>0.13</v>
      </c>
      <c r="AC13">
        <v>1.1100000000000001</v>
      </c>
      <c r="AD13">
        <v>1</v>
      </c>
      <c r="AE13">
        <v>1</v>
      </c>
      <c r="AF13">
        <v>0</v>
      </c>
      <c r="AG13" s="24">
        <f t="shared" si="8"/>
        <v>1.2400000000000002</v>
      </c>
      <c r="AH13" s="243"/>
      <c r="AI13" s="76" t="s">
        <v>203</v>
      </c>
      <c r="AJ13" s="79"/>
      <c r="AK13" s="31" t="s">
        <v>205</v>
      </c>
      <c r="AL13" t="s">
        <v>51</v>
      </c>
      <c r="AM13">
        <v>0.13</v>
      </c>
      <c r="AN13">
        <v>1.1100000000000001</v>
      </c>
      <c r="AO13">
        <v>1</v>
      </c>
      <c r="AP13">
        <v>1</v>
      </c>
      <c r="AQ13">
        <v>0</v>
      </c>
      <c r="AR13" s="24">
        <f t="shared" si="9"/>
        <v>1.2400000000000002</v>
      </c>
      <c r="AS13" s="243"/>
      <c r="AT13" s="76" t="s">
        <v>203</v>
      </c>
      <c r="AU13" s="79"/>
      <c r="AV13" s="31" t="s">
        <v>205</v>
      </c>
      <c r="AW13" t="s">
        <v>51</v>
      </c>
      <c r="AX13">
        <v>0.13</v>
      </c>
      <c r="AY13">
        <v>1.1100000000000001</v>
      </c>
      <c r="AZ13">
        <v>1</v>
      </c>
      <c r="BA13">
        <v>1</v>
      </c>
      <c r="BB13">
        <v>0</v>
      </c>
      <c r="BC13" s="24">
        <f t="shared" si="10"/>
        <v>1.2400000000000002</v>
      </c>
      <c r="BD13" s="243"/>
      <c r="BE13" s="76" t="s">
        <v>203</v>
      </c>
      <c r="BF13" s="79"/>
      <c r="BG13" s="31" t="s">
        <v>205</v>
      </c>
      <c r="BH13" t="s">
        <v>51</v>
      </c>
      <c r="BI13">
        <v>0.13</v>
      </c>
      <c r="BJ13">
        <v>1.1100000000000001</v>
      </c>
      <c r="BK13">
        <v>1</v>
      </c>
      <c r="BL13">
        <v>1</v>
      </c>
      <c r="BM13">
        <v>0</v>
      </c>
      <c r="BN13" s="24">
        <f t="shared" si="11"/>
        <v>1.2400000000000002</v>
      </c>
    </row>
    <row r="14" spans="1:66" ht="35.25" customHeight="1" x14ac:dyDescent="0.3">
      <c r="A14" s="243"/>
      <c r="B14" s="48" t="s">
        <v>203</v>
      </c>
      <c r="C14" s="48"/>
      <c r="D14" s="31" t="s">
        <v>210</v>
      </c>
      <c r="E14" t="s">
        <v>83</v>
      </c>
      <c r="F14">
        <v>1.4</v>
      </c>
      <c r="G14">
        <v>0.94</v>
      </c>
      <c r="H14">
        <v>1</v>
      </c>
      <c r="I14">
        <v>1</v>
      </c>
      <c r="J14">
        <v>0</v>
      </c>
      <c r="K14" s="24">
        <f t="shared" si="6"/>
        <v>2.34</v>
      </c>
      <c r="L14" s="243"/>
      <c r="M14" s="76" t="s">
        <v>203</v>
      </c>
      <c r="N14" s="79"/>
      <c r="O14" s="31" t="s">
        <v>210</v>
      </c>
      <c r="P14" t="s">
        <v>83</v>
      </c>
      <c r="Q14">
        <v>1.4</v>
      </c>
      <c r="R14">
        <v>0.94</v>
      </c>
      <c r="S14">
        <v>1</v>
      </c>
      <c r="T14">
        <v>1</v>
      </c>
      <c r="U14">
        <v>0</v>
      </c>
      <c r="V14" s="24">
        <f t="shared" si="7"/>
        <v>2.34</v>
      </c>
      <c r="W14" s="243"/>
      <c r="X14" s="76" t="s">
        <v>203</v>
      </c>
      <c r="Y14" s="79"/>
      <c r="Z14" s="31" t="s">
        <v>210</v>
      </c>
      <c r="AA14" t="s">
        <v>83</v>
      </c>
      <c r="AB14">
        <v>1.4</v>
      </c>
      <c r="AC14">
        <v>0.94</v>
      </c>
      <c r="AD14">
        <v>1</v>
      </c>
      <c r="AE14">
        <v>1</v>
      </c>
      <c r="AF14">
        <v>0</v>
      </c>
      <c r="AG14" s="24">
        <f t="shared" si="8"/>
        <v>2.34</v>
      </c>
      <c r="AH14" s="243"/>
      <c r="AI14" s="76" t="s">
        <v>203</v>
      </c>
      <c r="AJ14" s="79"/>
      <c r="AK14" s="31" t="s">
        <v>210</v>
      </c>
      <c r="AL14" t="s">
        <v>83</v>
      </c>
      <c r="AM14">
        <v>1.4</v>
      </c>
      <c r="AN14">
        <v>0.94</v>
      </c>
      <c r="AO14">
        <v>1</v>
      </c>
      <c r="AP14">
        <v>1</v>
      </c>
      <c r="AQ14">
        <v>0</v>
      </c>
      <c r="AR14" s="24">
        <f t="shared" si="9"/>
        <v>2.34</v>
      </c>
      <c r="AS14" s="243"/>
      <c r="AT14" s="76" t="s">
        <v>203</v>
      </c>
      <c r="AU14" s="79"/>
      <c r="AV14" s="31" t="s">
        <v>210</v>
      </c>
      <c r="AW14" t="s">
        <v>83</v>
      </c>
      <c r="AX14">
        <v>1.4</v>
      </c>
      <c r="AY14">
        <v>0.94</v>
      </c>
      <c r="AZ14">
        <v>1</v>
      </c>
      <c r="BA14">
        <v>1</v>
      </c>
      <c r="BB14">
        <v>0</v>
      </c>
      <c r="BC14" s="24">
        <f t="shared" si="10"/>
        <v>2.34</v>
      </c>
      <c r="BD14" s="243"/>
      <c r="BE14" s="76" t="s">
        <v>203</v>
      </c>
      <c r="BF14" s="79"/>
      <c r="BG14" s="31" t="s">
        <v>210</v>
      </c>
      <c r="BH14" t="s">
        <v>83</v>
      </c>
      <c r="BI14">
        <v>1.4</v>
      </c>
      <c r="BJ14">
        <v>0.94</v>
      </c>
      <c r="BK14">
        <v>1</v>
      </c>
      <c r="BL14">
        <v>1</v>
      </c>
      <c r="BM14">
        <v>0</v>
      </c>
      <c r="BN14" s="24">
        <f t="shared" si="11"/>
        <v>2.34</v>
      </c>
    </row>
    <row r="15" spans="1:66" ht="33" customHeight="1" x14ac:dyDescent="0.3">
      <c r="A15" s="243"/>
      <c r="B15" s="48" t="s">
        <v>203</v>
      </c>
      <c r="C15" s="48"/>
      <c r="D15" s="31" t="s">
        <v>207</v>
      </c>
      <c r="E15" t="s">
        <v>206</v>
      </c>
      <c r="F15">
        <v>2.73</v>
      </c>
      <c r="G15">
        <v>0.76</v>
      </c>
      <c r="H15">
        <v>1</v>
      </c>
      <c r="I15">
        <v>1</v>
      </c>
      <c r="J15">
        <v>0</v>
      </c>
      <c r="K15" s="24">
        <f t="shared" si="6"/>
        <v>3.49</v>
      </c>
      <c r="L15" s="243"/>
      <c r="M15" s="76" t="s">
        <v>203</v>
      </c>
      <c r="N15" s="79"/>
      <c r="O15" s="31" t="s">
        <v>207</v>
      </c>
      <c r="P15" t="s">
        <v>206</v>
      </c>
      <c r="Q15">
        <v>2.73</v>
      </c>
      <c r="R15">
        <v>0.76</v>
      </c>
      <c r="S15">
        <v>1</v>
      </c>
      <c r="T15">
        <v>1</v>
      </c>
      <c r="U15">
        <v>0</v>
      </c>
      <c r="V15" s="24">
        <f t="shared" si="7"/>
        <v>3.49</v>
      </c>
      <c r="W15" s="243"/>
      <c r="X15" s="76" t="s">
        <v>203</v>
      </c>
      <c r="Y15" s="79"/>
      <c r="Z15" s="31" t="s">
        <v>207</v>
      </c>
      <c r="AA15" t="s">
        <v>206</v>
      </c>
      <c r="AB15">
        <v>2.73</v>
      </c>
      <c r="AC15">
        <v>0.76</v>
      </c>
      <c r="AD15">
        <v>1</v>
      </c>
      <c r="AE15">
        <v>1</v>
      </c>
      <c r="AF15">
        <v>0</v>
      </c>
      <c r="AG15" s="24">
        <f t="shared" si="8"/>
        <v>3.49</v>
      </c>
      <c r="AH15" s="243"/>
      <c r="AI15" s="76" t="s">
        <v>203</v>
      </c>
      <c r="AJ15" s="79"/>
      <c r="AK15" s="31" t="s">
        <v>207</v>
      </c>
      <c r="AL15" t="s">
        <v>206</v>
      </c>
      <c r="AM15">
        <v>2.73</v>
      </c>
      <c r="AN15">
        <v>0.76</v>
      </c>
      <c r="AO15">
        <v>1</v>
      </c>
      <c r="AP15">
        <v>1</v>
      </c>
      <c r="AQ15">
        <v>0</v>
      </c>
      <c r="AR15" s="24">
        <f t="shared" si="9"/>
        <v>3.49</v>
      </c>
      <c r="AS15" s="243"/>
      <c r="AT15" s="76" t="s">
        <v>203</v>
      </c>
      <c r="AU15" s="79"/>
      <c r="AV15" s="31" t="s">
        <v>207</v>
      </c>
      <c r="AW15" t="s">
        <v>206</v>
      </c>
      <c r="AX15">
        <v>2.73</v>
      </c>
      <c r="AY15">
        <v>0.76</v>
      </c>
      <c r="AZ15">
        <v>1</v>
      </c>
      <c r="BA15">
        <v>1</v>
      </c>
      <c r="BB15">
        <v>0</v>
      </c>
      <c r="BC15" s="24">
        <f t="shared" si="10"/>
        <v>3.49</v>
      </c>
      <c r="BD15" s="243"/>
      <c r="BE15" s="76" t="s">
        <v>203</v>
      </c>
      <c r="BF15" s="79"/>
      <c r="BG15" s="31" t="s">
        <v>207</v>
      </c>
      <c r="BH15" t="s">
        <v>206</v>
      </c>
      <c r="BI15">
        <v>2.73</v>
      </c>
      <c r="BJ15">
        <v>0.76</v>
      </c>
      <c r="BK15">
        <v>1</v>
      </c>
      <c r="BL15">
        <v>1</v>
      </c>
      <c r="BM15">
        <v>0</v>
      </c>
      <c r="BN15" s="24">
        <f t="shared" si="11"/>
        <v>3.49</v>
      </c>
    </row>
    <row r="16" spans="1:66" ht="33" customHeight="1" x14ac:dyDescent="0.3">
      <c r="A16" s="243"/>
      <c r="B16" s="48" t="s">
        <v>203</v>
      </c>
      <c r="C16" s="48"/>
      <c r="D16" s="31" t="s">
        <v>208</v>
      </c>
      <c r="E16" t="s">
        <v>209</v>
      </c>
      <c r="F16">
        <v>0.14000000000000001</v>
      </c>
      <c r="G16">
        <v>0.08</v>
      </c>
      <c r="H16">
        <v>1</v>
      </c>
      <c r="I16">
        <v>1</v>
      </c>
      <c r="J16">
        <v>0</v>
      </c>
      <c r="K16" s="24">
        <f t="shared" si="6"/>
        <v>0.22000000000000003</v>
      </c>
      <c r="L16" s="243"/>
      <c r="M16" s="76" t="s">
        <v>203</v>
      </c>
      <c r="N16" s="79"/>
      <c r="O16" s="31" t="s">
        <v>208</v>
      </c>
      <c r="P16" t="s">
        <v>209</v>
      </c>
      <c r="Q16">
        <v>0.14000000000000001</v>
      </c>
      <c r="R16">
        <v>0.08</v>
      </c>
      <c r="S16">
        <v>1</v>
      </c>
      <c r="T16">
        <v>1</v>
      </c>
      <c r="U16">
        <v>0</v>
      </c>
      <c r="V16" s="24">
        <f t="shared" si="7"/>
        <v>0.22000000000000003</v>
      </c>
      <c r="W16" s="243"/>
      <c r="X16" s="76" t="s">
        <v>203</v>
      </c>
      <c r="Y16" s="79"/>
      <c r="Z16" s="31" t="s">
        <v>208</v>
      </c>
      <c r="AA16" t="s">
        <v>209</v>
      </c>
      <c r="AB16">
        <v>0.14000000000000001</v>
      </c>
      <c r="AC16">
        <v>0.08</v>
      </c>
      <c r="AD16">
        <v>1</v>
      </c>
      <c r="AE16">
        <v>1</v>
      </c>
      <c r="AF16">
        <v>0</v>
      </c>
      <c r="AG16" s="24">
        <f t="shared" si="8"/>
        <v>0.22000000000000003</v>
      </c>
      <c r="AH16" s="243"/>
      <c r="AI16" s="76" t="s">
        <v>203</v>
      </c>
      <c r="AJ16" s="79"/>
      <c r="AK16" s="31" t="s">
        <v>208</v>
      </c>
      <c r="AL16" t="s">
        <v>209</v>
      </c>
      <c r="AM16">
        <v>0.14000000000000001</v>
      </c>
      <c r="AN16">
        <v>0.08</v>
      </c>
      <c r="AO16">
        <v>1</v>
      </c>
      <c r="AP16">
        <v>1</v>
      </c>
      <c r="AQ16">
        <v>0</v>
      </c>
      <c r="AR16" s="24">
        <f t="shared" si="9"/>
        <v>0.22000000000000003</v>
      </c>
      <c r="AS16" s="243"/>
      <c r="AT16" s="76" t="s">
        <v>203</v>
      </c>
      <c r="AU16" s="79"/>
      <c r="AV16" s="31" t="s">
        <v>208</v>
      </c>
      <c r="AW16" t="s">
        <v>209</v>
      </c>
      <c r="AX16">
        <v>0.14000000000000001</v>
      </c>
      <c r="AY16">
        <v>0.08</v>
      </c>
      <c r="AZ16">
        <v>1</v>
      </c>
      <c r="BA16">
        <v>1</v>
      </c>
      <c r="BB16">
        <v>0</v>
      </c>
      <c r="BC16" s="24">
        <f t="shared" si="10"/>
        <v>0.22000000000000003</v>
      </c>
      <c r="BD16" s="243"/>
      <c r="BE16" s="76" t="s">
        <v>203</v>
      </c>
      <c r="BF16" s="79"/>
      <c r="BG16" s="31" t="s">
        <v>208</v>
      </c>
      <c r="BH16" t="s">
        <v>209</v>
      </c>
      <c r="BI16">
        <v>0.14000000000000001</v>
      </c>
      <c r="BJ16">
        <v>0.08</v>
      </c>
      <c r="BK16">
        <v>1</v>
      </c>
      <c r="BL16">
        <v>1</v>
      </c>
      <c r="BM16">
        <v>0</v>
      </c>
      <c r="BN16" s="24">
        <f t="shared" si="11"/>
        <v>0.22000000000000003</v>
      </c>
    </row>
    <row r="17" spans="1:66" ht="30.75" customHeight="1" x14ac:dyDescent="0.3">
      <c r="A17" s="243"/>
      <c r="B17" s="20" t="s">
        <v>114</v>
      </c>
      <c r="C17" s="74"/>
      <c r="D17" s="36" t="s">
        <v>59</v>
      </c>
      <c r="E17" s="19" t="s">
        <v>9</v>
      </c>
      <c r="F17" s="19">
        <v>1.1299999999999999</v>
      </c>
      <c r="G17" s="19">
        <v>0.41</v>
      </c>
      <c r="H17">
        <v>1</v>
      </c>
      <c r="I17">
        <v>1</v>
      </c>
      <c r="J17">
        <v>0.253</v>
      </c>
      <c r="K17" s="24">
        <f t="shared" si="6"/>
        <v>1.9296199999999999</v>
      </c>
      <c r="L17" s="243"/>
      <c r="M17" s="20" t="s">
        <v>115</v>
      </c>
      <c r="N17" s="81"/>
      <c r="O17" s="31" t="s">
        <v>137</v>
      </c>
      <c r="P17" t="s">
        <v>9</v>
      </c>
      <c r="Q17">
        <v>1.58</v>
      </c>
      <c r="R17">
        <v>0.41</v>
      </c>
      <c r="S17">
        <v>1</v>
      </c>
      <c r="T17">
        <v>1</v>
      </c>
      <c r="U17">
        <v>0.221</v>
      </c>
      <c r="V17" s="24">
        <f t="shared" si="7"/>
        <v>2.4297900000000001</v>
      </c>
      <c r="W17" s="243"/>
      <c r="X17" s="63">
        <v>72113101940</v>
      </c>
      <c r="Y17" s="81"/>
      <c r="Z17" s="31" t="s">
        <v>59</v>
      </c>
      <c r="AA17" t="s">
        <v>9</v>
      </c>
      <c r="AB17">
        <v>1.1299999999999999</v>
      </c>
      <c r="AC17">
        <v>0.41</v>
      </c>
      <c r="AD17">
        <v>2</v>
      </c>
      <c r="AE17">
        <v>1.25</v>
      </c>
      <c r="AF17">
        <v>0.253</v>
      </c>
      <c r="AG17" s="24">
        <f t="shared" si="8"/>
        <v>3.4739425000000002</v>
      </c>
      <c r="AH17" s="243"/>
      <c r="AI17" s="76">
        <v>72113101940</v>
      </c>
      <c r="AJ17" s="81"/>
      <c r="AK17" s="31" t="s">
        <v>59</v>
      </c>
      <c r="AL17" t="s">
        <v>9</v>
      </c>
      <c r="AM17">
        <v>1.1299999999999999</v>
      </c>
      <c r="AN17">
        <v>0.41</v>
      </c>
      <c r="AO17">
        <v>2</v>
      </c>
      <c r="AP17">
        <v>1.25</v>
      </c>
      <c r="AQ17">
        <v>0.253</v>
      </c>
      <c r="AR17" s="24">
        <f t="shared" si="9"/>
        <v>3.4739425000000002</v>
      </c>
      <c r="AS17" s="243"/>
      <c r="AT17" s="76">
        <v>72113101940</v>
      </c>
      <c r="AU17" s="81"/>
      <c r="AV17" s="31" t="s">
        <v>59</v>
      </c>
      <c r="AW17" t="s">
        <v>9</v>
      </c>
      <c r="AX17">
        <v>1.1299999999999999</v>
      </c>
      <c r="AY17">
        <v>0.41</v>
      </c>
      <c r="AZ17">
        <v>2</v>
      </c>
      <c r="BA17">
        <v>1.25</v>
      </c>
      <c r="BB17">
        <v>0.253</v>
      </c>
      <c r="BC17" s="24">
        <f t="shared" si="10"/>
        <v>3.4739425000000002</v>
      </c>
      <c r="BD17" s="243"/>
      <c r="BE17" s="20" t="s">
        <v>115</v>
      </c>
      <c r="BF17" s="81"/>
      <c r="BG17" s="31" t="s">
        <v>137</v>
      </c>
      <c r="BH17" t="s">
        <v>9</v>
      </c>
      <c r="BI17">
        <v>1.58</v>
      </c>
      <c r="BJ17">
        <v>0.41</v>
      </c>
      <c r="BK17">
        <v>1.75</v>
      </c>
      <c r="BL17">
        <v>1.33</v>
      </c>
      <c r="BM17">
        <v>0.221</v>
      </c>
      <c r="BN17" s="24">
        <f t="shared" si="11"/>
        <v>4.0418763000000002</v>
      </c>
    </row>
    <row r="18" spans="1:66" ht="30" customHeight="1" x14ac:dyDescent="0.3">
      <c r="A18" s="243"/>
      <c r="B18" s="48" t="s">
        <v>212</v>
      </c>
      <c r="D18" s="31" t="s">
        <v>211</v>
      </c>
      <c r="E18" t="s">
        <v>82</v>
      </c>
      <c r="F18">
        <v>0.16</v>
      </c>
      <c r="G18">
        <v>0.13</v>
      </c>
      <c r="H18">
        <v>1</v>
      </c>
      <c r="I18">
        <v>1</v>
      </c>
      <c r="J18">
        <v>0</v>
      </c>
      <c r="K18" s="24">
        <f t="shared" si="6"/>
        <v>0.29000000000000004</v>
      </c>
      <c r="L18" s="243"/>
      <c r="M18" s="76" t="s">
        <v>212</v>
      </c>
      <c r="O18" s="31" t="s">
        <v>211</v>
      </c>
      <c r="P18" t="s">
        <v>82</v>
      </c>
      <c r="Q18">
        <v>0.16</v>
      </c>
      <c r="R18">
        <v>0.13</v>
      </c>
      <c r="S18">
        <v>1</v>
      </c>
      <c r="T18">
        <v>1</v>
      </c>
      <c r="U18">
        <v>0</v>
      </c>
      <c r="V18" s="24">
        <f t="shared" si="7"/>
        <v>0.29000000000000004</v>
      </c>
      <c r="W18" s="243"/>
      <c r="X18" s="76" t="s">
        <v>212</v>
      </c>
      <c r="Z18" s="31" t="s">
        <v>211</v>
      </c>
      <c r="AA18" t="s">
        <v>82</v>
      </c>
      <c r="AB18">
        <v>0.16</v>
      </c>
      <c r="AC18">
        <v>0.13</v>
      </c>
      <c r="AD18">
        <v>1</v>
      </c>
      <c r="AE18">
        <v>1</v>
      </c>
      <c r="AF18">
        <v>0</v>
      </c>
      <c r="AG18" s="24">
        <f t="shared" si="8"/>
        <v>0.29000000000000004</v>
      </c>
      <c r="AH18" s="243"/>
      <c r="AI18" s="76" t="s">
        <v>212</v>
      </c>
      <c r="AK18" s="31" t="s">
        <v>211</v>
      </c>
      <c r="AL18" t="s">
        <v>82</v>
      </c>
      <c r="AM18">
        <v>0.16</v>
      </c>
      <c r="AN18">
        <v>0.13</v>
      </c>
      <c r="AO18">
        <v>1</v>
      </c>
      <c r="AP18">
        <v>1</v>
      </c>
      <c r="AQ18">
        <v>0</v>
      </c>
      <c r="AR18" s="24">
        <f>(AM18*AO18+AN18*AP18)*(1+AQ18)</f>
        <v>0.29000000000000004</v>
      </c>
      <c r="AS18" s="243"/>
      <c r="AT18" s="76" t="s">
        <v>212</v>
      </c>
      <c r="AV18" s="31" t="s">
        <v>211</v>
      </c>
      <c r="AW18" t="s">
        <v>82</v>
      </c>
      <c r="AX18">
        <v>0.16</v>
      </c>
      <c r="AY18">
        <v>0.13</v>
      </c>
      <c r="AZ18">
        <v>1</v>
      </c>
      <c r="BA18">
        <v>1</v>
      </c>
      <c r="BB18">
        <v>0</v>
      </c>
      <c r="BC18" s="24">
        <f>(AX18*AZ18+AY18*BA18)*(1+BB18)</f>
        <v>0.29000000000000004</v>
      </c>
      <c r="BD18" s="243"/>
      <c r="BE18" s="76" t="s">
        <v>212</v>
      </c>
      <c r="BG18" s="31" t="s">
        <v>211</v>
      </c>
      <c r="BH18" t="s">
        <v>82</v>
      </c>
      <c r="BI18">
        <v>0.16</v>
      </c>
      <c r="BJ18">
        <v>0.13</v>
      </c>
      <c r="BK18">
        <v>1.5</v>
      </c>
      <c r="BL18">
        <v>1</v>
      </c>
      <c r="BM18">
        <v>0</v>
      </c>
      <c r="BN18" s="24">
        <f t="shared" si="11"/>
        <v>0.37</v>
      </c>
    </row>
    <row r="19" spans="1:66" ht="30" customHeight="1" x14ac:dyDescent="0.3">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x14ac:dyDescent="0.3">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9" max="59" width="36.6640625" customWidth="1"/>
    <col min="63" max="66" width="8.6640625" customWidth="1"/>
  </cols>
  <sheetData>
    <row r="1" spans="1:66" ht="21" x14ac:dyDescent="0.4">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 x14ac:dyDescent="0.3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3">
      <c r="A4" s="243" t="s">
        <v>265</v>
      </c>
      <c r="B4" s="79" t="s">
        <v>255</v>
      </c>
      <c r="C4" s="79">
        <v>1</v>
      </c>
      <c r="D4" s="31" t="s">
        <v>256</v>
      </c>
      <c r="E4" t="s">
        <v>9</v>
      </c>
      <c r="F4">
        <v>2.64</v>
      </c>
      <c r="G4">
        <v>1.02</v>
      </c>
      <c r="H4">
        <v>1</v>
      </c>
      <c r="I4">
        <v>1</v>
      </c>
      <c r="J4">
        <v>0</v>
      </c>
      <c r="K4" s="24">
        <f t="shared" ref="K4:K9" si="0">(F4*H4+G4*I4)*(1+J4)</f>
        <v>3.66</v>
      </c>
      <c r="L4" s="243" t="s">
        <v>265</v>
      </c>
      <c r="M4" s="79" t="s">
        <v>255</v>
      </c>
      <c r="N4" s="79">
        <v>1</v>
      </c>
      <c r="O4" s="31" t="s">
        <v>256</v>
      </c>
      <c r="P4" t="s">
        <v>9</v>
      </c>
      <c r="Q4">
        <v>2.64</v>
      </c>
      <c r="R4">
        <v>1.02</v>
      </c>
      <c r="S4">
        <v>1</v>
      </c>
      <c r="T4">
        <v>1</v>
      </c>
      <c r="U4">
        <v>0</v>
      </c>
      <c r="V4" s="24">
        <f t="shared" ref="V4:V10" si="1">(Q4*S4+R4*T4)*(1+U4)</f>
        <v>3.66</v>
      </c>
      <c r="W4" s="243" t="s">
        <v>265</v>
      </c>
      <c r="X4" s="79" t="s">
        <v>255</v>
      </c>
      <c r="Y4" s="79">
        <v>1</v>
      </c>
      <c r="Z4" s="31" t="s">
        <v>256</v>
      </c>
      <c r="AA4" t="s">
        <v>9</v>
      </c>
      <c r="AB4">
        <v>2.64</v>
      </c>
      <c r="AC4">
        <v>1.02</v>
      </c>
      <c r="AD4">
        <v>1</v>
      </c>
      <c r="AE4">
        <v>1</v>
      </c>
      <c r="AF4">
        <v>0</v>
      </c>
      <c r="AG4" s="24">
        <f t="shared" ref="AG4:AG10" si="2">(AB4*AD4+AC4*AE4)*(1+AF4)</f>
        <v>3.66</v>
      </c>
      <c r="AH4" s="243" t="s">
        <v>265</v>
      </c>
      <c r="AI4" s="79" t="s">
        <v>255</v>
      </c>
      <c r="AJ4" s="79">
        <v>1</v>
      </c>
      <c r="AK4" s="31" t="s">
        <v>256</v>
      </c>
      <c r="AL4" t="s">
        <v>9</v>
      </c>
      <c r="AM4">
        <v>2.64</v>
      </c>
      <c r="AN4">
        <v>1.02</v>
      </c>
      <c r="AO4">
        <v>1</v>
      </c>
      <c r="AP4">
        <v>1</v>
      </c>
      <c r="AQ4">
        <v>0</v>
      </c>
      <c r="AR4" s="24">
        <f t="shared" ref="AR4:AR10" si="3">(AM4*AO4+AN4*AP4)*(1+AQ4)</f>
        <v>3.66</v>
      </c>
      <c r="AS4" s="243" t="s">
        <v>265</v>
      </c>
      <c r="AT4" s="79" t="s">
        <v>255</v>
      </c>
      <c r="AU4" s="79">
        <v>1</v>
      </c>
      <c r="AV4" s="31" t="s">
        <v>256</v>
      </c>
      <c r="AW4" t="s">
        <v>9</v>
      </c>
      <c r="AX4">
        <v>2.64</v>
      </c>
      <c r="AY4">
        <v>1.02</v>
      </c>
      <c r="AZ4">
        <v>1</v>
      </c>
      <c r="BA4">
        <v>1</v>
      </c>
      <c r="BB4">
        <v>0</v>
      </c>
      <c r="BC4" s="24">
        <f t="shared" ref="BC4:BC10" si="4">(AX4*AZ4+AY4*BA4)*(1+BB4)</f>
        <v>3.66</v>
      </c>
      <c r="BD4" s="243" t="s">
        <v>265</v>
      </c>
      <c r="BE4" s="79" t="s">
        <v>255</v>
      </c>
      <c r="BF4" s="79">
        <v>1</v>
      </c>
      <c r="BG4" s="31" t="s">
        <v>256</v>
      </c>
      <c r="BH4" t="s">
        <v>9</v>
      </c>
      <c r="BI4">
        <v>2.64</v>
      </c>
      <c r="BJ4">
        <v>1.02</v>
      </c>
      <c r="BK4">
        <v>1</v>
      </c>
      <c r="BL4">
        <v>1</v>
      </c>
      <c r="BM4">
        <v>0</v>
      </c>
      <c r="BN4" s="24">
        <f>(BI4*BK4+BJ4*BL4)*(1+BM4)</f>
        <v>3.66</v>
      </c>
    </row>
    <row r="5" spans="1:66" ht="28.8" x14ac:dyDescent="0.3">
      <c r="A5" s="243"/>
      <c r="B5" s="78">
        <v>61623100205</v>
      </c>
      <c r="C5" s="78"/>
      <c r="D5" s="31" t="s">
        <v>257</v>
      </c>
      <c r="E5" s="31" t="s">
        <v>9</v>
      </c>
      <c r="F5" s="31">
        <v>0.91</v>
      </c>
      <c r="G5" s="31">
        <v>0.39</v>
      </c>
      <c r="H5" s="31">
        <v>1</v>
      </c>
      <c r="I5" s="31">
        <v>1</v>
      </c>
      <c r="J5" s="31">
        <v>0.27</v>
      </c>
      <c r="K5" s="82">
        <f t="shared" si="0"/>
        <v>1.651</v>
      </c>
      <c r="L5" s="243"/>
      <c r="M5" s="78">
        <v>61623100205</v>
      </c>
      <c r="N5" s="78"/>
      <c r="O5" s="31" t="s">
        <v>257</v>
      </c>
      <c r="P5" s="31" t="s">
        <v>9</v>
      </c>
      <c r="Q5" s="31">
        <v>0.91</v>
      </c>
      <c r="R5" s="31">
        <v>0.39</v>
      </c>
      <c r="S5" s="31">
        <v>1</v>
      </c>
      <c r="T5" s="31">
        <v>1</v>
      </c>
      <c r="U5" s="31">
        <v>0.27</v>
      </c>
      <c r="V5" s="82">
        <f t="shared" si="1"/>
        <v>1.651</v>
      </c>
      <c r="W5" s="243"/>
      <c r="X5" s="78">
        <v>61623100205</v>
      </c>
      <c r="Y5" s="78"/>
      <c r="Z5" s="31" t="s">
        <v>257</v>
      </c>
      <c r="AA5" s="31" t="s">
        <v>9</v>
      </c>
      <c r="AB5" s="31">
        <v>0.91</v>
      </c>
      <c r="AC5" s="31">
        <v>0.39</v>
      </c>
      <c r="AD5" s="31">
        <v>1</v>
      </c>
      <c r="AE5" s="31">
        <v>1</v>
      </c>
      <c r="AF5" s="31">
        <v>0.27</v>
      </c>
      <c r="AG5" s="82">
        <f t="shared" si="2"/>
        <v>1.651</v>
      </c>
      <c r="AH5" s="243"/>
      <c r="AI5" s="78">
        <v>61623100205</v>
      </c>
      <c r="AJ5" s="78"/>
      <c r="AK5" s="31" t="s">
        <v>257</v>
      </c>
      <c r="AL5" s="31" t="s">
        <v>9</v>
      </c>
      <c r="AM5" s="31">
        <v>0.91</v>
      </c>
      <c r="AN5" s="31">
        <v>0.39</v>
      </c>
      <c r="AO5" s="31">
        <v>1</v>
      </c>
      <c r="AP5" s="31">
        <v>1</v>
      </c>
      <c r="AQ5" s="31">
        <v>0.27</v>
      </c>
      <c r="AR5" s="82">
        <f t="shared" si="3"/>
        <v>1.651</v>
      </c>
      <c r="AS5" s="243"/>
      <c r="AT5" s="78">
        <v>61623100205</v>
      </c>
      <c r="AU5" s="78"/>
      <c r="AV5" s="31" t="s">
        <v>257</v>
      </c>
      <c r="AW5" s="31" t="s">
        <v>9</v>
      </c>
      <c r="AX5" s="31">
        <v>0.91</v>
      </c>
      <c r="AY5" s="31">
        <v>0.39</v>
      </c>
      <c r="AZ5" s="31">
        <v>1</v>
      </c>
      <c r="BA5" s="31">
        <v>1</v>
      </c>
      <c r="BB5" s="31">
        <v>0.27</v>
      </c>
      <c r="BC5" s="82">
        <f t="shared" si="4"/>
        <v>1.651</v>
      </c>
      <c r="BD5" s="243"/>
      <c r="BE5" s="78">
        <v>61623100205</v>
      </c>
      <c r="BF5" s="78"/>
      <c r="BG5" s="31" t="s">
        <v>257</v>
      </c>
      <c r="BH5" s="31" t="s">
        <v>9</v>
      </c>
      <c r="BI5" s="31">
        <v>0.91</v>
      </c>
      <c r="BJ5" s="31">
        <v>0.39</v>
      </c>
      <c r="BK5" s="31">
        <v>1</v>
      </c>
      <c r="BL5" s="31">
        <v>1</v>
      </c>
      <c r="BM5" s="31">
        <v>0.27</v>
      </c>
      <c r="BN5" s="82">
        <f>(BI5*BK5+BJ5*BL5)*(1+BM5)</f>
        <v>1.651</v>
      </c>
    </row>
    <row r="6" spans="1:66" x14ac:dyDescent="0.3">
      <c r="A6" s="243"/>
      <c r="B6" s="79">
        <v>72610100700</v>
      </c>
      <c r="C6" s="79"/>
      <c r="D6" s="31" t="s">
        <v>12</v>
      </c>
      <c r="E6" t="s">
        <v>9</v>
      </c>
      <c r="F6">
        <v>2.5000000000000001E-2</v>
      </c>
      <c r="G6">
        <v>8.2000000000000003E-2</v>
      </c>
      <c r="H6">
        <v>1</v>
      </c>
      <c r="I6">
        <v>1</v>
      </c>
      <c r="J6">
        <v>0.54300000000000004</v>
      </c>
      <c r="K6" s="24">
        <f t="shared" si="0"/>
        <v>0.16510100000000003</v>
      </c>
      <c r="L6" s="243"/>
      <c r="M6" s="79">
        <v>72610100700</v>
      </c>
      <c r="N6" s="79"/>
      <c r="O6" s="31" t="s">
        <v>12</v>
      </c>
      <c r="P6" t="s">
        <v>9</v>
      </c>
      <c r="Q6">
        <v>2.5000000000000001E-2</v>
      </c>
      <c r="R6">
        <v>8.2000000000000003E-2</v>
      </c>
      <c r="S6">
        <v>1</v>
      </c>
      <c r="T6">
        <v>1</v>
      </c>
      <c r="U6">
        <v>0.54300000000000004</v>
      </c>
      <c r="V6" s="24">
        <f t="shared" si="1"/>
        <v>0.16510100000000003</v>
      </c>
      <c r="W6" s="243"/>
      <c r="X6" s="79">
        <v>72610100700</v>
      </c>
      <c r="Y6" s="79"/>
      <c r="Z6" s="31" t="s">
        <v>12</v>
      </c>
      <c r="AA6" t="s">
        <v>9</v>
      </c>
      <c r="AB6">
        <v>2.5000000000000001E-2</v>
      </c>
      <c r="AC6">
        <v>8.2000000000000003E-2</v>
      </c>
      <c r="AD6">
        <v>1</v>
      </c>
      <c r="AE6">
        <v>1</v>
      </c>
      <c r="AF6">
        <v>0.54300000000000004</v>
      </c>
      <c r="AG6" s="24">
        <f t="shared" si="2"/>
        <v>0.16510100000000003</v>
      </c>
      <c r="AH6" s="243"/>
      <c r="AI6" s="79">
        <v>72610100700</v>
      </c>
      <c r="AJ6" s="79"/>
      <c r="AK6" s="31" t="s">
        <v>12</v>
      </c>
      <c r="AL6" t="s">
        <v>9</v>
      </c>
      <c r="AM6">
        <v>2.5000000000000001E-2</v>
      </c>
      <c r="AN6">
        <v>8.2000000000000003E-2</v>
      </c>
      <c r="AO6">
        <v>1</v>
      </c>
      <c r="AP6">
        <v>1</v>
      </c>
      <c r="AQ6">
        <v>0.54300000000000004</v>
      </c>
      <c r="AR6" s="24">
        <f t="shared" si="3"/>
        <v>0.16510100000000003</v>
      </c>
      <c r="AS6" s="243"/>
      <c r="AT6" s="79">
        <v>72610100700</v>
      </c>
      <c r="AU6" s="79"/>
      <c r="AV6" s="31" t="s">
        <v>12</v>
      </c>
      <c r="AW6" t="s">
        <v>9</v>
      </c>
      <c r="AX6">
        <v>2.5000000000000001E-2</v>
      </c>
      <c r="AY6">
        <v>8.2000000000000003E-2</v>
      </c>
      <c r="AZ6">
        <v>1</v>
      </c>
      <c r="BA6">
        <v>1</v>
      </c>
      <c r="BB6">
        <v>0.54300000000000004</v>
      </c>
      <c r="BC6" s="24">
        <f t="shared" si="4"/>
        <v>0.16510100000000003</v>
      </c>
      <c r="BD6" s="243"/>
      <c r="BE6" s="79">
        <v>72610100700</v>
      </c>
      <c r="BF6" s="79"/>
      <c r="BG6" s="31" t="s">
        <v>12</v>
      </c>
      <c r="BH6" t="s">
        <v>9</v>
      </c>
      <c r="BI6">
        <v>2.5000000000000001E-2</v>
      </c>
      <c r="BJ6">
        <v>8.2000000000000003E-2</v>
      </c>
      <c r="BK6">
        <v>1</v>
      </c>
      <c r="BL6">
        <v>1</v>
      </c>
      <c r="BM6">
        <v>0.54300000000000004</v>
      </c>
      <c r="BN6" s="24">
        <f>(BI6*BK6+BJ6*BL6)*(1+BM6)</f>
        <v>0.16510100000000003</v>
      </c>
    </row>
    <row r="7" spans="1:66" ht="28.8" x14ac:dyDescent="0.3">
      <c r="A7" s="243"/>
      <c r="B7" s="79">
        <v>72116102210</v>
      </c>
      <c r="C7" s="79"/>
      <c r="D7" s="31" t="s">
        <v>141</v>
      </c>
      <c r="E7" t="s">
        <v>9</v>
      </c>
      <c r="F7">
        <v>0.73</v>
      </c>
      <c r="G7">
        <v>0.6</v>
      </c>
      <c r="H7">
        <v>1</v>
      </c>
      <c r="I7">
        <v>1</v>
      </c>
      <c r="J7">
        <v>0.36</v>
      </c>
      <c r="K7" s="24">
        <f t="shared" si="0"/>
        <v>1.8088</v>
      </c>
      <c r="L7" s="243"/>
      <c r="M7" s="79">
        <v>72116102210</v>
      </c>
      <c r="N7" s="79"/>
      <c r="O7" s="31" t="s">
        <v>141</v>
      </c>
      <c r="P7" t="s">
        <v>9</v>
      </c>
      <c r="Q7">
        <v>0.73</v>
      </c>
      <c r="R7">
        <v>0.6</v>
      </c>
      <c r="S7">
        <v>1</v>
      </c>
      <c r="T7">
        <v>1</v>
      </c>
      <c r="U7">
        <v>0.36</v>
      </c>
      <c r="V7" s="24">
        <f t="shared" si="1"/>
        <v>1.8088</v>
      </c>
      <c r="W7" s="243"/>
      <c r="X7" s="79">
        <v>72116102210</v>
      </c>
      <c r="Y7" s="79"/>
      <c r="Z7" s="31" t="s">
        <v>141</v>
      </c>
      <c r="AA7" t="s">
        <v>9</v>
      </c>
      <c r="AB7">
        <v>0.73</v>
      </c>
      <c r="AC7">
        <v>0.6</v>
      </c>
      <c r="AD7">
        <v>1</v>
      </c>
      <c r="AE7">
        <v>1</v>
      </c>
      <c r="AF7">
        <v>0.36</v>
      </c>
      <c r="AG7" s="24">
        <f t="shared" si="2"/>
        <v>1.8088</v>
      </c>
      <c r="AH7" s="243"/>
      <c r="AI7" s="79">
        <v>72116102210</v>
      </c>
      <c r="AJ7" s="79"/>
      <c r="AK7" s="31" t="s">
        <v>141</v>
      </c>
      <c r="AL7" t="s">
        <v>9</v>
      </c>
      <c r="AM7">
        <v>0.73</v>
      </c>
      <c r="AN7">
        <v>0.6</v>
      </c>
      <c r="AO7">
        <v>1</v>
      </c>
      <c r="AP7">
        <v>1</v>
      </c>
      <c r="AQ7">
        <v>0.36</v>
      </c>
      <c r="AR7" s="24">
        <f t="shared" si="3"/>
        <v>1.8088</v>
      </c>
      <c r="AS7" s="243"/>
      <c r="AT7" s="79">
        <v>72116102210</v>
      </c>
      <c r="AU7" s="79"/>
      <c r="AV7" s="31" t="s">
        <v>141</v>
      </c>
      <c r="AW7" t="s">
        <v>9</v>
      </c>
      <c r="AX7">
        <v>0.73</v>
      </c>
      <c r="AY7">
        <v>0.6</v>
      </c>
      <c r="AZ7">
        <v>1</v>
      </c>
      <c r="BA7">
        <v>1</v>
      </c>
      <c r="BB7">
        <v>0.36</v>
      </c>
      <c r="BC7" s="24">
        <f t="shared" si="4"/>
        <v>1.8088</v>
      </c>
      <c r="BD7" s="243"/>
      <c r="BE7" s="79">
        <v>72129100360</v>
      </c>
      <c r="BF7" s="79"/>
      <c r="BG7" s="31" t="s">
        <v>264</v>
      </c>
      <c r="BH7" t="s">
        <v>9</v>
      </c>
      <c r="BI7">
        <v>3.15</v>
      </c>
      <c r="BJ7">
        <v>1.39</v>
      </c>
      <c r="BK7">
        <v>1.1499999999999999</v>
      </c>
      <c r="BL7">
        <v>1</v>
      </c>
      <c r="BM7">
        <v>0.21</v>
      </c>
      <c r="BN7" s="24">
        <f>(BI7*BK7+BJ7*BL7)*(1+BM7)</f>
        <v>6.0651249999999992</v>
      </c>
    </row>
    <row r="8" spans="1:66" ht="28.8" x14ac:dyDescent="0.3">
      <c r="A8" s="243"/>
      <c r="B8" s="79">
        <v>72510103000</v>
      </c>
      <c r="C8" s="79"/>
      <c r="D8" s="31" t="s">
        <v>14</v>
      </c>
      <c r="E8" t="s">
        <v>9</v>
      </c>
      <c r="F8">
        <v>0.16</v>
      </c>
      <c r="G8">
        <v>0.08</v>
      </c>
      <c r="H8">
        <v>1</v>
      </c>
      <c r="I8">
        <v>1</v>
      </c>
      <c r="J8">
        <v>0.28999999999999998</v>
      </c>
      <c r="K8" s="24">
        <f t="shared" si="0"/>
        <v>0.30959999999999999</v>
      </c>
      <c r="L8" s="243"/>
      <c r="M8" s="79">
        <v>72113101610</v>
      </c>
      <c r="O8" s="31" t="s">
        <v>262</v>
      </c>
      <c r="P8" t="s">
        <v>9</v>
      </c>
      <c r="Q8">
        <v>0.31</v>
      </c>
      <c r="R8">
        <v>0.38</v>
      </c>
      <c r="S8">
        <v>1</v>
      </c>
      <c r="T8">
        <v>1</v>
      </c>
      <c r="U8">
        <v>0.40500000000000003</v>
      </c>
      <c r="V8" s="24">
        <f t="shared" si="1"/>
        <v>0.96944999999999992</v>
      </c>
      <c r="W8" s="243"/>
      <c r="X8" s="79">
        <v>72113101610</v>
      </c>
      <c r="Z8" s="31" t="s">
        <v>262</v>
      </c>
      <c r="AA8" t="s">
        <v>9</v>
      </c>
      <c r="AB8">
        <v>0.31</v>
      </c>
      <c r="AC8">
        <v>0.38</v>
      </c>
      <c r="AD8">
        <v>1</v>
      </c>
      <c r="AE8">
        <v>1</v>
      </c>
      <c r="AF8">
        <v>0.40500000000000003</v>
      </c>
      <c r="AG8" s="24">
        <f t="shared" si="2"/>
        <v>0.96944999999999992</v>
      </c>
      <c r="AH8" s="243"/>
      <c r="AI8" s="79">
        <v>72113101650</v>
      </c>
      <c r="AK8" s="31" t="s">
        <v>263</v>
      </c>
      <c r="AL8" t="s">
        <v>9</v>
      </c>
      <c r="AM8">
        <v>0.59</v>
      </c>
      <c r="AN8">
        <v>0.41</v>
      </c>
      <c r="AO8">
        <v>1</v>
      </c>
      <c r="AP8">
        <v>1</v>
      </c>
      <c r="AQ8">
        <v>0.34</v>
      </c>
      <c r="AR8" s="24">
        <f t="shared" si="3"/>
        <v>1.34</v>
      </c>
      <c r="AS8" s="243"/>
      <c r="AT8" s="79">
        <v>72113101650</v>
      </c>
      <c r="AV8" s="31" t="s">
        <v>263</v>
      </c>
      <c r="AW8" t="s">
        <v>9</v>
      </c>
      <c r="AX8">
        <v>0.59</v>
      </c>
      <c r="AY8">
        <v>0.41</v>
      </c>
      <c r="AZ8">
        <v>1</v>
      </c>
      <c r="BA8">
        <v>1</v>
      </c>
      <c r="BB8">
        <v>0.34</v>
      </c>
      <c r="BC8" s="24">
        <f t="shared" si="4"/>
        <v>1.34</v>
      </c>
      <c r="BD8" s="243"/>
      <c r="BE8" s="79"/>
      <c r="BG8" s="31"/>
      <c r="BN8" s="24"/>
    </row>
    <row r="9" spans="1:66" ht="28.8" x14ac:dyDescent="0.3">
      <c r="A9" s="243"/>
      <c r="B9" s="20" t="s">
        <v>260</v>
      </c>
      <c r="C9" s="81"/>
      <c r="D9" s="36" t="s">
        <v>261</v>
      </c>
      <c r="E9" s="19" t="s">
        <v>9</v>
      </c>
      <c r="F9" s="19">
        <v>1.9</v>
      </c>
      <c r="G9" s="19">
        <v>1.1000000000000001</v>
      </c>
      <c r="H9">
        <v>1</v>
      </c>
      <c r="I9">
        <v>1</v>
      </c>
      <c r="J9">
        <v>0.31</v>
      </c>
      <c r="K9" s="24">
        <f t="shared" si="0"/>
        <v>3.93</v>
      </c>
      <c r="L9" s="243"/>
      <c r="M9" s="79">
        <v>72510103000</v>
      </c>
      <c r="N9" s="79"/>
      <c r="O9" s="31" t="s">
        <v>14</v>
      </c>
      <c r="P9" t="s">
        <v>9</v>
      </c>
      <c r="Q9">
        <v>0.16</v>
      </c>
      <c r="R9">
        <v>0.08</v>
      </c>
      <c r="S9">
        <v>1</v>
      </c>
      <c r="T9">
        <v>1</v>
      </c>
      <c r="U9">
        <v>0.28999999999999998</v>
      </c>
      <c r="V9" s="24">
        <f t="shared" si="1"/>
        <v>0.30959999999999999</v>
      </c>
      <c r="W9" s="243"/>
      <c r="X9" s="79">
        <v>72510103000</v>
      </c>
      <c r="Y9" s="79"/>
      <c r="Z9" s="31" t="s">
        <v>14</v>
      </c>
      <c r="AA9" t="s">
        <v>9</v>
      </c>
      <c r="AB9">
        <v>0.16</v>
      </c>
      <c r="AC9">
        <v>0.08</v>
      </c>
      <c r="AD9">
        <v>1</v>
      </c>
      <c r="AE9">
        <v>1</v>
      </c>
      <c r="AF9">
        <v>0.28999999999999998</v>
      </c>
      <c r="AG9" s="24">
        <f t="shared" si="2"/>
        <v>0.30959999999999999</v>
      </c>
      <c r="AH9" s="243"/>
      <c r="AI9" s="79">
        <v>72510103000</v>
      </c>
      <c r="AJ9" s="79"/>
      <c r="AK9" s="31" t="s">
        <v>14</v>
      </c>
      <c r="AL9" t="s">
        <v>9</v>
      </c>
      <c r="AM9">
        <v>0.16</v>
      </c>
      <c r="AN9">
        <v>0.08</v>
      </c>
      <c r="AO9">
        <v>1</v>
      </c>
      <c r="AP9">
        <v>1</v>
      </c>
      <c r="AQ9">
        <v>0.28999999999999998</v>
      </c>
      <c r="AR9" s="24">
        <f t="shared" si="3"/>
        <v>0.30959999999999999</v>
      </c>
      <c r="AS9" s="243"/>
      <c r="AT9" s="79">
        <v>72510103000</v>
      </c>
      <c r="AU9" s="79"/>
      <c r="AV9" s="31" t="s">
        <v>14</v>
      </c>
      <c r="AW9" t="s">
        <v>9</v>
      </c>
      <c r="AX9">
        <v>0.16</v>
      </c>
      <c r="AY9">
        <v>0.08</v>
      </c>
      <c r="AZ9">
        <v>1</v>
      </c>
      <c r="BA9">
        <v>1</v>
      </c>
      <c r="BB9">
        <v>0.28999999999999998</v>
      </c>
      <c r="BC9" s="24">
        <f t="shared" si="4"/>
        <v>0.30959999999999999</v>
      </c>
      <c r="BD9" s="243"/>
      <c r="BE9" s="79">
        <v>72510103000</v>
      </c>
      <c r="BF9" s="79"/>
      <c r="BG9" s="31" t="s">
        <v>14</v>
      </c>
      <c r="BH9" t="s">
        <v>9</v>
      </c>
      <c r="BI9">
        <v>0.16</v>
      </c>
      <c r="BJ9">
        <v>0.08</v>
      </c>
      <c r="BK9">
        <v>1</v>
      </c>
      <c r="BL9">
        <v>1</v>
      </c>
      <c r="BM9">
        <v>0.28999999999999998</v>
      </c>
      <c r="BN9" s="24">
        <f>(BI9*BK9+BJ9*BL9)*(1+BM9)</f>
        <v>0.30959999999999999</v>
      </c>
    </row>
    <row r="10" spans="1:66" ht="28.8" x14ac:dyDescent="0.3">
      <c r="A10" s="243"/>
      <c r="B10" s="79"/>
      <c r="D10" s="31"/>
      <c r="K10" s="24"/>
      <c r="L10" s="243"/>
      <c r="M10" s="20" t="s">
        <v>260</v>
      </c>
      <c r="N10" s="81"/>
      <c r="O10" s="36" t="s">
        <v>261</v>
      </c>
      <c r="P10" s="19" t="s">
        <v>9</v>
      </c>
      <c r="Q10" s="19">
        <v>1.9</v>
      </c>
      <c r="R10" s="19">
        <v>1.1000000000000001</v>
      </c>
      <c r="S10">
        <v>1</v>
      </c>
      <c r="T10">
        <v>1</v>
      </c>
      <c r="U10">
        <v>0.31</v>
      </c>
      <c r="V10" s="24">
        <f t="shared" si="1"/>
        <v>3.93</v>
      </c>
      <c r="W10" s="243"/>
      <c r="X10" s="20" t="s">
        <v>260</v>
      </c>
      <c r="Y10" s="81"/>
      <c r="Z10" s="36" t="s">
        <v>261</v>
      </c>
      <c r="AA10" s="19" t="s">
        <v>9</v>
      </c>
      <c r="AB10" s="19">
        <v>1.9</v>
      </c>
      <c r="AC10" s="19">
        <v>1.1000000000000001</v>
      </c>
      <c r="AD10">
        <v>1</v>
      </c>
      <c r="AE10">
        <v>1</v>
      </c>
      <c r="AF10">
        <v>0.31</v>
      </c>
      <c r="AG10" s="24">
        <f t="shared" si="2"/>
        <v>3.93</v>
      </c>
      <c r="AH10" s="243"/>
      <c r="AI10" s="20" t="s">
        <v>260</v>
      </c>
      <c r="AJ10" s="81"/>
      <c r="AK10" s="36" t="s">
        <v>261</v>
      </c>
      <c r="AL10" s="19" t="s">
        <v>9</v>
      </c>
      <c r="AM10" s="19">
        <v>1.9</v>
      </c>
      <c r="AN10" s="19">
        <v>1.1000000000000001</v>
      </c>
      <c r="AO10">
        <v>1</v>
      </c>
      <c r="AP10">
        <v>1</v>
      </c>
      <c r="AQ10">
        <v>0.31</v>
      </c>
      <c r="AR10" s="24">
        <f t="shared" si="3"/>
        <v>3.93</v>
      </c>
      <c r="AS10" s="243"/>
      <c r="AT10" s="20" t="s">
        <v>260</v>
      </c>
      <c r="AU10" s="81"/>
      <c r="AV10" s="36" t="s">
        <v>261</v>
      </c>
      <c r="AW10" s="19" t="s">
        <v>9</v>
      </c>
      <c r="AX10" s="19">
        <v>1.9</v>
      </c>
      <c r="AY10" s="19">
        <v>1.1000000000000001</v>
      </c>
      <c r="AZ10">
        <v>1</v>
      </c>
      <c r="BA10">
        <v>1</v>
      </c>
      <c r="BB10">
        <v>0.31</v>
      </c>
      <c r="BC10" s="24">
        <f t="shared" si="4"/>
        <v>3.93</v>
      </c>
      <c r="BD10" s="243"/>
      <c r="BE10" s="20" t="s">
        <v>260</v>
      </c>
      <c r="BF10" s="81"/>
      <c r="BG10" s="36" t="s">
        <v>261</v>
      </c>
      <c r="BH10" s="19" t="s">
        <v>9</v>
      </c>
      <c r="BI10" s="19">
        <v>1.9</v>
      </c>
      <c r="BJ10" s="19">
        <v>1.1000000000000001</v>
      </c>
      <c r="BK10">
        <v>1</v>
      </c>
      <c r="BL10">
        <v>1</v>
      </c>
      <c r="BM10">
        <v>0.31</v>
      </c>
      <c r="BN10" s="24">
        <f>(BI10*BK10+BJ10*BL10)*(1+BM10)</f>
        <v>3.93</v>
      </c>
    </row>
    <row r="11" spans="1:66" x14ac:dyDescent="0.3">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3">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3">
      <c r="A14" s="243" t="s">
        <v>266</v>
      </c>
      <c r="B14" s="79" t="s">
        <v>258</v>
      </c>
      <c r="C14" s="79">
        <v>2</v>
      </c>
      <c r="D14" s="31" t="s">
        <v>259</v>
      </c>
      <c r="E14" t="s">
        <v>9</v>
      </c>
      <c r="F14">
        <v>1.06</v>
      </c>
      <c r="G14">
        <v>0.76</v>
      </c>
      <c r="H14">
        <v>1</v>
      </c>
      <c r="I14">
        <v>1</v>
      </c>
      <c r="J14">
        <v>0</v>
      </c>
      <c r="K14" s="24">
        <f t="shared" ref="K14:K19" si="5">(F14*H14+G14*I14)*(1+J14)</f>
        <v>1.82</v>
      </c>
      <c r="L14" s="243" t="s">
        <v>266</v>
      </c>
      <c r="M14" s="79" t="s">
        <v>258</v>
      </c>
      <c r="N14" s="79">
        <v>2</v>
      </c>
      <c r="O14" s="31" t="s">
        <v>259</v>
      </c>
      <c r="P14" t="s">
        <v>9</v>
      </c>
      <c r="Q14">
        <v>1.06</v>
      </c>
      <c r="R14">
        <v>0.76</v>
      </c>
      <c r="S14">
        <v>1</v>
      </c>
      <c r="T14">
        <v>1</v>
      </c>
      <c r="U14">
        <v>0</v>
      </c>
      <c r="V14" s="24">
        <f t="shared" ref="V14:V20" si="6">(Q14*S14+R14*T14)*(1+U14)</f>
        <v>1.82</v>
      </c>
      <c r="W14" s="243" t="s">
        <v>266</v>
      </c>
      <c r="X14" s="79" t="s">
        <v>258</v>
      </c>
      <c r="Y14" s="79">
        <v>2</v>
      </c>
      <c r="Z14" s="31" t="s">
        <v>259</v>
      </c>
      <c r="AA14" t="s">
        <v>9</v>
      </c>
      <c r="AB14">
        <v>1.06</v>
      </c>
      <c r="AC14">
        <v>0.76</v>
      </c>
      <c r="AD14">
        <v>1</v>
      </c>
      <c r="AE14">
        <v>1</v>
      </c>
      <c r="AF14">
        <v>0</v>
      </c>
      <c r="AG14" s="24">
        <f t="shared" ref="AG14:AG20" si="7">(AB14*AD14+AC14*AE14)*(1+AF14)</f>
        <v>1.82</v>
      </c>
      <c r="AH14" s="243" t="s">
        <v>266</v>
      </c>
      <c r="AI14" s="79" t="s">
        <v>258</v>
      </c>
      <c r="AJ14" s="79">
        <v>2</v>
      </c>
      <c r="AK14" s="31" t="s">
        <v>259</v>
      </c>
      <c r="AL14" t="s">
        <v>9</v>
      </c>
      <c r="AM14">
        <v>1.06</v>
      </c>
      <c r="AN14">
        <v>0.76</v>
      </c>
      <c r="AO14">
        <v>1</v>
      </c>
      <c r="AP14">
        <v>1</v>
      </c>
      <c r="AQ14">
        <v>0</v>
      </c>
      <c r="AR14" s="24">
        <f t="shared" ref="AR14:AR20" si="8">(AM14*AO14+AN14*AP14)*(1+AQ14)</f>
        <v>1.82</v>
      </c>
      <c r="AS14" s="243" t="s">
        <v>266</v>
      </c>
      <c r="AT14" s="79" t="s">
        <v>255</v>
      </c>
      <c r="AU14" s="79">
        <v>1</v>
      </c>
      <c r="AV14" s="31" t="s">
        <v>256</v>
      </c>
      <c r="AW14" t="s">
        <v>9</v>
      </c>
      <c r="AX14">
        <v>2.64</v>
      </c>
      <c r="AY14">
        <v>1.02</v>
      </c>
      <c r="AZ14">
        <v>1</v>
      </c>
      <c r="BA14">
        <v>1</v>
      </c>
      <c r="BB14">
        <v>0</v>
      </c>
      <c r="BC14" s="24">
        <f t="shared" ref="BC14:BC20" si="9">(AX14*AZ14+AY14*BA14)*(1+BB14)</f>
        <v>3.66</v>
      </c>
      <c r="BD14" s="243" t="s">
        <v>266</v>
      </c>
      <c r="BE14" s="79" t="s">
        <v>258</v>
      </c>
      <c r="BF14" s="79">
        <v>2</v>
      </c>
      <c r="BG14" s="31" t="s">
        <v>259</v>
      </c>
      <c r="BH14" t="s">
        <v>9</v>
      </c>
      <c r="BI14">
        <v>1.06</v>
      </c>
      <c r="BJ14">
        <v>0.76</v>
      </c>
      <c r="BK14">
        <v>1</v>
      </c>
      <c r="BL14">
        <v>1</v>
      </c>
      <c r="BM14">
        <v>0</v>
      </c>
      <c r="BN14" s="24">
        <f>(BI14*BK14+BJ14*BL14)*(1+BM14)</f>
        <v>1.82</v>
      </c>
    </row>
    <row r="15" spans="1:66" ht="28.8" x14ac:dyDescent="0.3">
      <c r="A15" s="243"/>
      <c r="B15" s="78">
        <v>61623100205</v>
      </c>
      <c r="C15" s="78"/>
      <c r="D15" s="31" t="s">
        <v>257</v>
      </c>
      <c r="E15" s="31" t="s">
        <v>9</v>
      </c>
      <c r="F15" s="31">
        <v>0.91</v>
      </c>
      <c r="G15" s="31">
        <v>0.39</v>
      </c>
      <c r="H15" s="31">
        <v>1</v>
      </c>
      <c r="I15" s="31">
        <v>1</v>
      </c>
      <c r="J15" s="31">
        <v>0.27</v>
      </c>
      <c r="K15" s="82">
        <f t="shared" si="5"/>
        <v>1.651</v>
      </c>
      <c r="L15" s="243"/>
      <c r="M15" s="78">
        <v>61623100205</v>
      </c>
      <c r="N15" s="78"/>
      <c r="O15" s="31" t="s">
        <v>257</v>
      </c>
      <c r="P15" s="31" t="s">
        <v>9</v>
      </c>
      <c r="Q15" s="31">
        <v>0.91</v>
      </c>
      <c r="R15" s="31">
        <v>0.39</v>
      </c>
      <c r="S15" s="31">
        <v>1</v>
      </c>
      <c r="T15" s="31">
        <v>1</v>
      </c>
      <c r="U15" s="31">
        <v>0.27</v>
      </c>
      <c r="V15" s="82">
        <f t="shared" si="6"/>
        <v>1.651</v>
      </c>
      <c r="W15" s="243"/>
      <c r="X15" s="78">
        <v>61623100205</v>
      </c>
      <c r="Y15" s="78"/>
      <c r="Z15" s="31" t="s">
        <v>257</v>
      </c>
      <c r="AA15" s="31" t="s">
        <v>9</v>
      </c>
      <c r="AB15" s="31">
        <v>0.91</v>
      </c>
      <c r="AC15" s="31">
        <v>0.39</v>
      </c>
      <c r="AD15" s="31">
        <v>1</v>
      </c>
      <c r="AE15" s="31">
        <v>1</v>
      </c>
      <c r="AF15" s="31">
        <v>0.27</v>
      </c>
      <c r="AG15" s="82">
        <f t="shared" si="7"/>
        <v>1.651</v>
      </c>
      <c r="AH15" s="243"/>
      <c r="AI15" s="78">
        <v>61623100205</v>
      </c>
      <c r="AJ15" s="78"/>
      <c r="AK15" s="31" t="s">
        <v>257</v>
      </c>
      <c r="AL15" s="31" t="s">
        <v>9</v>
      </c>
      <c r="AM15" s="31">
        <v>0.91</v>
      </c>
      <c r="AN15" s="31">
        <v>0.39</v>
      </c>
      <c r="AO15" s="31">
        <v>1</v>
      </c>
      <c r="AP15" s="31">
        <v>1</v>
      </c>
      <c r="AQ15" s="31">
        <v>0.27</v>
      </c>
      <c r="AR15" s="82">
        <f t="shared" si="8"/>
        <v>1.651</v>
      </c>
      <c r="AS15" s="243"/>
      <c r="AT15" s="78">
        <v>61623100205</v>
      </c>
      <c r="AU15" s="78"/>
      <c r="AV15" s="31" t="s">
        <v>257</v>
      </c>
      <c r="AW15" s="31" t="s">
        <v>9</v>
      </c>
      <c r="AX15" s="31">
        <v>0.91</v>
      </c>
      <c r="AY15" s="31">
        <v>0.39</v>
      </c>
      <c r="AZ15" s="31">
        <v>1</v>
      </c>
      <c r="BA15" s="31">
        <v>1</v>
      </c>
      <c r="BB15" s="31">
        <v>0.27</v>
      </c>
      <c r="BC15" s="82">
        <f t="shared" si="9"/>
        <v>1.651</v>
      </c>
      <c r="BD15" s="243"/>
      <c r="BE15" s="78">
        <v>61623100205</v>
      </c>
      <c r="BF15" s="78"/>
      <c r="BG15" s="31" t="s">
        <v>257</v>
      </c>
      <c r="BH15" s="31" t="s">
        <v>9</v>
      </c>
      <c r="BI15" s="31">
        <v>0.91</v>
      </c>
      <c r="BJ15" s="31">
        <v>0.39</v>
      </c>
      <c r="BK15" s="31">
        <v>1</v>
      </c>
      <c r="BL15" s="31">
        <v>1</v>
      </c>
      <c r="BM15" s="31">
        <v>0.27</v>
      </c>
      <c r="BN15" s="82">
        <f>(BI15*BK15+BJ15*BL15)*(1+BM15)</f>
        <v>1.651</v>
      </c>
    </row>
    <row r="16" spans="1:66" x14ac:dyDescent="0.3">
      <c r="A16" s="243"/>
      <c r="B16" s="79">
        <v>72610100700</v>
      </c>
      <c r="C16" s="79"/>
      <c r="D16" s="31" t="s">
        <v>12</v>
      </c>
      <c r="E16" t="s">
        <v>9</v>
      </c>
      <c r="F16">
        <v>2.5000000000000001E-2</v>
      </c>
      <c r="G16">
        <v>8.2000000000000003E-2</v>
      </c>
      <c r="H16">
        <v>1</v>
      </c>
      <c r="I16">
        <v>1</v>
      </c>
      <c r="J16">
        <v>0.54300000000000004</v>
      </c>
      <c r="K16" s="24">
        <f t="shared" si="5"/>
        <v>0.16510100000000003</v>
      </c>
      <c r="L16" s="243"/>
      <c r="M16" s="79">
        <v>72610100700</v>
      </c>
      <c r="N16" s="79"/>
      <c r="O16" s="31" t="s">
        <v>12</v>
      </c>
      <c r="P16" t="s">
        <v>9</v>
      </c>
      <c r="Q16">
        <v>2.5000000000000001E-2</v>
      </c>
      <c r="R16">
        <v>8.2000000000000003E-2</v>
      </c>
      <c r="S16">
        <v>1</v>
      </c>
      <c r="T16">
        <v>1</v>
      </c>
      <c r="U16">
        <v>0.54300000000000004</v>
      </c>
      <c r="V16" s="24">
        <f t="shared" si="6"/>
        <v>0.16510100000000003</v>
      </c>
      <c r="W16" s="243"/>
      <c r="X16" s="79">
        <v>72610100700</v>
      </c>
      <c r="Y16" s="79"/>
      <c r="Z16" s="31" t="s">
        <v>12</v>
      </c>
      <c r="AA16" t="s">
        <v>9</v>
      </c>
      <c r="AB16">
        <v>2.5000000000000001E-2</v>
      </c>
      <c r="AC16">
        <v>8.2000000000000003E-2</v>
      </c>
      <c r="AD16">
        <v>1</v>
      </c>
      <c r="AE16">
        <v>1</v>
      </c>
      <c r="AF16">
        <v>0.54300000000000004</v>
      </c>
      <c r="AG16" s="24">
        <f t="shared" si="7"/>
        <v>0.16510100000000003</v>
      </c>
      <c r="AH16" s="243"/>
      <c r="AI16" s="79">
        <v>72610100700</v>
      </c>
      <c r="AJ16" s="79"/>
      <c r="AK16" s="31" t="s">
        <v>12</v>
      </c>
      <c r="AL16" t="s">
        <v>9</v>
      </c>
      <c r="AM16">
        <v>2.5000000000000001E-2</v>
      </c>
      <c r="AN16">
        <v>8.2000000000000003E-2</v>
      </c>
      <c r="AO16">
        <v>1</v>
      </c>
      <c r="AP16">
        <v>1</v>
      </c>
      <c r="AQ16">
        <v>0.54300000000000004</v>
      </c>
      <c r="AR16" s="24">
        <f t="shared" si="8"/>
        <v>0.16510100000000003</v>
      </c>
      <c r="AS16" s="243"/>
      <c r="AT16" s="79">
        <v>72610100700</v>
      </c>
      <c r="AU16" s="79"/>
      <c r="AV16" s="31" t="s">
        <v>12</v>
      </c>
      <c r="AW16" t="s">
        <v>9</v>
      </c>
      <c r="AX16">
        <v>2.5000000000000001E-2</v>
      </c>
      <c r="AY16">
        <v>8.2000000000000003E-2</v>
      </c>
      <c r="AZ16">
        <v>1</v>
      </c>
      <c r="BA16">
        <v>1</v>
      </c>
      <c r="BB16">
        <v>0.54300000000000004</v>
      </c>
      <c r="BC16" s="24">
        <f t="shared" si="9"/>
        <v>0.16510100000000003</v>
      </c>
      <c r="BD16" s="243"/>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28.8" x14ac:dyDescent="0.3">
      <c r="A17" s="243"/>
      <c r="B17" s="79">
        <v>72116102210</v>
      </c>
      <c r="C17" s="79"/>
      <c r="D17" s="31" t="s">
        <v>141</v>
      </c>
      <c r="E17" t="s">
        <v>9</v>
      </c>
      <c r="F17">
        <v>0.73</v>
      </c>
      <c r="G17">
        <v>0.6</v>
      </c>
      <c r="H17">
        <v>1</v>
      </c>
      <c r="I17">
        <v>1</v>
      </c>
      <c r="J17">
        <v>0.36</v>
      </c>
      <c r="K17" s="24">
        <f t="shared" si="5"/>
        <v>1.8088</v>
      </c>
      <c r="L17" s="243"/>
      <c r="M17" s="79">
        <v>72116102210</v>
      </c>
      <c r="N17" s="79"/>
      <c r="O17" s="31" t="s">
        <v>141</v>
      </c>
      <c r="P17" t="s">
        <v>9</v>
      </c>
      <c r="Q17">
        <v>0.73</v>
      </c>
      <c r="R17">
        <v>0.6</v>
      </c>
      <c r="S17">
        <v>1</v>
      </c>
      <c r="T17">
        <v>1</v>
      </c>
      <c r="U17">
        <v>0.36</v>
      </c>
      <c r="V17" s="24">
        <f t="shared" si="6"/>
        <v>1.8088</v>
      </c>
      <c r="W17" s="243"/>
      <c r="X17" s="79">
        <v>72116102210</v>
      </c>
      <c r="Y17" s="79"/>
      <c r="Z17" s="31" t="s">
        <v>141</v>
      </c>
      <c r="AA17" t="s">
        <v>9</v>
      </c>
      <c r="AB17">
        <v>0.73</v>
      </c>
      <c r="AC17">
        <v>0.6</v>
      </c>
      <c r="AD17">
        <v>1</v>
      </c>
      <c r="AE17">
        <v>1</v>
      </c>
      <c r="AF17">
        <v>0.36</v>
      </c>
      <c r="AG17" s="24">
        <f t="shared" si="7"/>
        <v>1.8088</v>
      </c>
      <c r="AH17" s="243"/>
      <c r="AI17" s="79">
        <v>72116102210</v>
      </c>
      <c r="AJ17" s="79"/>
      <c r="AK17" s="31" t="s">
        <v>141</v>
      </c>
      <c r="AL17" t="s">
        <v>9</v>
      </c>
      <c r="AM17">
        <v>0.73</v>
      </c>
      <c r="AN17">
        <v>0.6</v>
      </c>
      <c r="AO17">
        <v>1</v>
      </c>
      <c r="AP17">
        <v>1</v>
      </c>
      <c r="AQ17">
        <v>0.36</v>
      </c>
      <c r="AR17" s="24">
        <f t="shared" si="8"/>
        <v>1.8088</v>
      </c>
      <c r="AS17" s="243"/>
      <c r="AT17" s="79">
        <v>72116102210</v>
      </c>
      <c r="AU17" s="79"/>
      <c r="AV17" s="31" t="s">
        <v>141</v>
      </c>
      <c r="AW17" t="s">
        <v>9</v>
      </c>
      <c r="AX17">
        <v>0.73</v>
      </c>
      <c r="AY17">
        <v>0.6</v>
      </c>
      <c r="AZ17">
        <v>1</v>
      </c>
      <c r="BA17">
        <v>1</v>
      </c>
      <c r="BB17">
        <v>0.36</v>
      </c>
      <c r="BC17" s="24">
        <f t="shared" si="9"/>
        <v>1.8088</v>
      </c>
      <c r="BD17" s="243"/>
      <c r="BE17" s="79">
        <v>72129100360</v>
      </c>
      <c r="BF17" s="79"/>
      <c r="BG17" s="31" t="s">
        <v>264</v>
      </c>
      <c r="BH17" t="s">
        <v>9</v>
      </c>
      <c r="BI17">
        <v>3.15</v>
      </c>
      <c r="BJ17">
        <v>1.39</v>
      </c>
      <c r="BK17">
        <v>1.1499999999999999</v>
      </c>
      <c r="BL17">
        <v>1</v>
      </c>
      <c r="BM17">
        <v>0.21</v>
      </c>
      <c r="BN17" s="24">
        <f>(BI17*BK17+BJ17*BL17)*(1+BM17)</f>
        <v>6.0651249999999992</v>
      </c>
    </row>
    <row r="18" spans="1:66" ht="28.8" x14ac:dyDescent="0.3">
      <c r="A18" s="243"/>
      <c r="B18" s="79">
        <v>72510103000</v>
      </c>
      <c r="C18" s="79"/>
      <c r="D18" s="31" t="s">
        <v>14</v>
      </c>
      <c r="E18" t="s">
        <v>9</v>
      </c>
      <c r="F18">
        <v>0.16</v>
      </c>
      <c r="G18">
        <v>0.08</v>
      </c>
      <c r="H18">
        <v>1</v>
      </c>
      <c r="I18">
        <v>1</v>
      </c>
      <c r="J18">
        <v>0.28999999999999998</v>
      </c>
      <c r="K18" s="24">
        <f t="shared" si="5"/>
        <v>0.30959999999999999</v>
      </c>
      <c r="L18" s="243"/>
      <c r="M18" s="79">
        <v>72113101610</v>
      </c>
      <c r="O18" s="31" t="s">
        <v>262</v>
      </c>
      <c r="P18" t="s">
        <v>9</v>
      </c>
      <c r="Q18">
        <v>0.31</v>
      </c>
      <c r="R18">
        <v>0.38</v>
      </c>
      <c r="S18">
        <v>1</v>
      </c>
      <c r="T18">
        <v>1</v>
      </c>
      <c r="U18">
        <v>0.40500000000000003</v>
      </c>
      <c r="V18" s="24">
        <f t="shared" si="6"/>
        <v>0.96944999999999992</v>
      </c>
      <c r="W18" s="243"/>
      <c r="X18" s="79">
        <v>72113101610</v>
      </c>
      <c r="Z18" s="31" t="s">
        <v>262</v>
      </c>
      <c r="AA18" t="s">
        <v>9</v>
      </c>
      <c r="AB18">
        <v>0.31</v>
      </c>
      <c r="AC18">
        <v>0.38</v>
      </c>
      <c r="AD18">
        <v>1</v>
      </c>
      <c r="AE18">
        <v>1</v>
      </c>
      <c r="AF18">
        <v>0.40500000000000003</v>
      </c>
      <c r="AG18" s="24">
        <f t="shared" si="7"/>
        <v>0.96944999999999992</v>
      </c>
      <c r="AH18" s="243"/>
      <c r="AI18" s="79">
        <v>72113101650</v>
      </c>
      <c r="AK18" s="31" t="s">
        <v>263</v>
      </c>
      <c r="AL18" t="s">
        <v>9</v>
      </c>
      <c r="AM18">
        <v>0.59</v>
      </c>
      <c r="AN18">
        <v>0.41</v>
      </c>
      <c r="AO18">
        <v>1</v>
      </c>
      <c r="AP18">
        <v>1</v>
      </c>
      <c r="AQ18">
        <v>0.34</v>
      </c>
      <c r="AR18" s="24">
        <f t="shared" si="8"/>
        <v>1.34</v>
      </c>
      <c r="AS18" s="243"/>
      <c r="AT18" s="79">
        <v>72113101650</v>
      </c>
      <c r="AV18" s="31" t="s">
        <v>263</v>
      </c>
      <c r="AW18" t="s">
        <v>9</v>
      </c>
      <c r="AX18">
        <v>0.59</v>
      </c>
      <c r="AY18">
        <v>0.41</v>
      </c>
      <c r="AZ18">
        <v>1</v>
      </c>
      <c r="BA18">
        <v>1</v>
      </c>
      <c r="BB18">
        <v>0.34</v>
      </c>
      <c r="BC18" s="24">
        <f t="shared" si="9"/>
        <v>1.34</v>
      </c>
      <c r="BD18" s="243"/>
      <c r="BE18" s="79"/>
      <c r="BG18" s="31"/>
      <c r="BN18" s="24"/>
    </row>
    <row r="19" spans="1:66" ht="28.8" x14ac:dyDescent="0.3">
      <c r="A19" s="243"/>
      <c r="B19" s="20" t="s">
        <v>260</v>
      </c>
      <c r="C19" s="81"/>
      <c r="D19" s="36" t="s">
        <v>261</v>
      </c>
      <c r="E19" s="19" t="s">
        <v>9</v>
      </c>
      <c r="F19" s="19">
        <v>1.9</v>
      </c>
      <c r="G19" s="19">
        <v>1.1000000000000001</v>
      </c>
      <c r="H19">
        <v>1</v>
      </c>
      <c r="I19">
        <v>1</v>
      </c>
      <c r="J19">
        <v>0.31</v>
      </c>
      <c r="K19" s="24">
        <f t="shared" si="5"/>
        <v>3.93</v>
      </c>
      <c r="L19" s="243"/>
      <c r="M19" s="79">
        <v>72510103000</v>
      </c>
      <c r="N19" s="79"/>
      <c r="O19" s="31" t="s">
        <v>14</v>
      </c>
      <c r="P19" t="s">
        <v>9</v>
      </c>
      <c r="Q19">
        <v>0.16</v>
      </c>
      <c r="R19">
        <v>0.08</v>
      </c>
      <c r="S19">
        <v>1</v>
      </c>
      <c r="T19">
        <v>1</v>
      </c>
      <c r="U19">
        <v>0.28999999999999998</v>
      </c>
      <c r="V19" s="24">
        <f t="shared" si="6"/>
        <v>0.30959999999999999</v>
      </c>
      <c r="W19" s="243"/>
      <c r="X19" s="79">
        <v>72510103000</v>
      </c>
      <c r="Y19" s="79"/>
      <c r="Z19" s="31" t="s">
        <v>14</v>
      </c>
      <c r="AA19" t="s">
        <v>9</v>
      </c>
      <c r="AB19">
        <v>0.16</v>
      </c>
      <c r="AC19">
        <v>0.08</v>
      </c>
      <c r="AD19">
        <v>1</v>
      </c>
      <c r="AE19">
        <v>1</v>
      </c>
      <c r="AF19">
        <v>0.28999999999999998</v>
      </c>
      <c r="AG19" s="24">
        <f t="shared" si="7"/>
        <v>0.30959999999999999</v>
      </c>
      <c r="AH19" s="243"/>
      <c r="AI19" s="79">
        <v>72510103000</v>
      </c>
      <c r="AJ19" s="79"/>
      <c r="AK19" s="31" t="s">
        <v>14</v>
      </c>
      <c r="AL19" t="s">
        <v>9</v>
      </c>
      <c r="AM19">
        <v>0.16</v>
      </c>
      <c r="AN19">
        <v>0.08</v>
      </c>
      <c r="AO19">
        <v>1</v>
      </c>
      <c r="AP19">
        <v>1</v>
      </c>
      <c r="AQ19">
        <v>0.28999999999999998</v>
      </c>
      <c r="AR19" s="24">
        <f t="shared" si="8"/>
        <v>0.30959999999999999</v>
      </c>
      <c r="AS19" s="243"/>
      <c r="AT19" s="79">
        <v>72510103000</v>
      </c>
      <c r="AU19" s="79"/>
      <c r="AV19" s="31" t="s">
        <v>14</v>
      </c>
      <c r="AW19" t="s">
        <v>9</v>
      </c>
      <c r="AX19">
        <v>0.16</v>
      </c>
      <c r="AY19">
        <v>0.08</v>
      </c>
      <c r="AZ19">
        <v>1</v>
      </c>
      <c r="BA19">
        <v>1</v>
      </c>
      <c r="BB19">
        <v>0.28999999999999998</v>
      </c>
      <c r="BC19" s="24">
        <f t="shared" si="9"/>
        <v>0.30959999999999999</v>
      </c>
      <c r="BD19" s="243"/>
      <c r="BE19" s="79">
        <v>72510103000</v>
      </c>
      <c r="BF19" s="79"/>
      <c r="BG19" s="31" t="s">
        <v>14</v>
      </c>
      <c r="BH19" t="s">
        <v>9</v>
      </c>
      <c r="BI19">
        <v>0.16</v>
      </c>
      <c r="BJ19">
        <v>0.08</v>
      </c>
      <c r="BK19">
        <v>1</v>
      </c>
      <c r="BL19">
        <v>1</v>
      </c>
      <c r="BM19">
        <v>0.28999999999999998</v>
      </c>
      <c r="BN19" s="24">
        <f>(BI19*BK19+BJ19*BL19)*(1+BM19)</f>
        <v>0.30959999999999999</v>
      </c>
    </row>
    <row r="20" spans="1:66" ht="28.8" x14ac:dyDescent="0.3">
      <c r="A20" s="243"/>
      <c r="B20" s="79"/>
      <c r="D20" s="31"/>
      <c r="K20" s="24"/>
      <c r="L20" s="243"/>
      <c r="M20" s="20" t="s">
        <v>260</v>
      </c>
      <c r="N20" s="81"/>
      <c r="O20" s="36" t="s">
        <v>261</v>
      </c>
      <c r="P20" s="19" t="s">
        <v>9</v>
      </c>
      <c r="Q20" s="19">
        <v>1.9</v>
      </c>
      <c r="R20" s="19">
        <v>1.1000000000000001</v>
      </c>
      <c r="S20">
        <v>1</v>
      </c>
      <c r="T20">
        <v>1</v>
      </c>
      <c r="U20">
        <v>0.31</v>
      </c>
      <c r="V20" s="24">
        <f t="shared" si="6"/>
        <v>3.93</v>
      </c>
      <c r="W20" s="243"/>
      <c r="X20" s="20" t="s">
        <v>260</v>
      </c>
      <c r="Y20" s="81"/>
      <c r="Z20" s="36" t="s">
        <v>261</v>
      </c>
      <c r="AA20" s="19" t="s">
        <v>9</v>
      </c>
      <c r="AB20" s="19">
        <v>1.9</v>
      </c>
      <c r="AC20" s="19">
        <v>1.1000000000000001</v>
      </c>
      <c r="AD20">
        <v>1</v>
      </c>
      <c r="AE20">
        <v>1</v>
      </c>
      <c r="AF20">
        <v>0.31</v>
      </c>
      <c r="AG20" s="24">
        <f t="shared" si="7"/>
        <v>3.93</v>
      </c>
      <c r="AH20" s="243"/>
      <c r="AI20" s="20" t="s">
        <v>260</v>
      </c>
      <c r="AJ20" s="81"/>
      <c r="AK20" s="36" t="s">
        <v>261</v>
      </c>
      <c r="AL20" s="19" t="s">
        <v>9</v>
      </c>
      <c r="AM20" s="19">
        <v>1.9</v>
      </c>
      <c r="AN20" s="19">
        <v>1.1000000000000001</v>
      </c>
      <c r="AO20">
        <v>1</v>
      </c>
      <c r="AP20">
        <v>1</v>
      </c>
      <c r="AQ20">
        <v>0.31</v>
      </c>
      <c r="AR20" s="24">
        <f t="shared" si="8"/>
        <v>3.93</v>
      </c>
      <c r="AS20" s="243"/>
      <c r="AT20" s="20" t="s">
        <v>260</v>
      </c>
      <c r="AU20" s="81"/>
      <c r="AV20" s="36" t="s">
        <v>261</v>
      </c>
      <c r="AW20" s="19" t="s">
        <v>9</v>
      </c>
      <c r="AX20" s="19">
        <v>1.9</v>
      </c>
      <c r="AY20" s="19">
        <v>1.1000000000000001</v>
      </c>
      <c r="AZ20">
        <v>1</v>
      </c>
      <c r="BA20">
        <v>1</v>
      </c>
      <c r="BB20">
        <v>0.31</v>
      </c>
      <c r="BC20" s="24">
        <f t="shared" si="9"/>
        <v>3.93</v>
      </c>
      <c r="BD20" s="243"/>
      <c r="BE20" s="20" t="s">
        <v>260</v>
      </c>
      <c r="BF20" s="81"/>
      <c r="BG20" s="36" t="s">
        <v>261</v>
      </c>
      <c r="BH20" s="19" t="s">
        <v>9</v>
      </c>
      <c r="BI20" s="19">
        <v>1.9</v>
      </c>
      <c r="BJ20" s="19">
        <v>1.1000000000000001</v>
      </c>
      <c r="BK20">
        <v>1</v>
      </c>
      <c r="BL20">
        <v>1</v>
      </c>
      <c r="BM20">
        <v>0.31</v>
      </c>
      <c r="BN20" s="24">
        <f>(BI20*BK20+BJ20*BL20)*(1+BM20)</f>
        <v>3.93</v>
      </c>
    </row>
    <row r="21" spans="1:66" x14ac:dyDescent="0.3">
      <c r="A21" s="243"/>
      <c r="B21" s="79"/>
      <c r="D21" s="31"/>
      <c r="K21" s="24"/>
      <c r="L21" s="243"/>
      <c r="M21" s="79"/>
      <c r="O21" s="31"/>
      <c r="V21" s="24"/>
      <c r="W21" s="243"/>
      <c r="X21" s="79"/>
      <c r="Z21" s="31"/>
      <c r="AG21" s="24"/>
      <c r="AH21" s="243"/>
      <c r="AI21" s="79"/>
      <c r="AK21" s="31"/>
      <c r="AR21" s="24"/>
      <c r="AS21" s="243"/>
      <c r="AT21" s="79"/>
      <c r="AV21" s="31"/>
      <c r="BC21" s="24"/>
      <c r="BD21" s="243"/>
      <c r="BE21" s="79"/>
      <c r="BG21" s="31"/>
      <c r="BN21" s="24"/>
    </row>
    <row r="22" spans="1:66" x14ac:dyDescent="0.3">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style="27" customWidth="1"/>
    <col min="36" max="36" width="6.6640625" style="27" customWidth="1"/>
    <col min="37" max="37" width="36.6640625" style="27" customWidth="1"/>
    <col min="38" max="38" width="6.6640625" style="27" customWidth="1"/>
    <col min="39" max="43" width="8.6640625" style="27" customWidth="1"/>
    <col min="44" max="44" width="8.6640625" style="19" customWidth="1"/>
    <col min="45" max="46" width="15.6640625" style="19" customWidth="1"/>
    <col min="47" max="47" width="6.6640625" style="19" customWidth="1"/>
    <col min="48" max="48" width="36.6640625" style="19" customWidth="1"/>
    <col min="49" max="49" width="6.6640625" style="19" customWidth="1"/>
    <col min="50" max="55" width="8.6640625" style="19" customWidth="1"/>
    <col min="56" max="57" width="15.6640625" style="19" customWidth="1"/>
    <col min="58" max="58" width="6.6640625" style="19" customWidth="1"/>
    <col min="59" max="59" width="36.6640625" style="19" customWidth="1"/>
    <col min="60" max="60" width="6.6640625" style="19" customWidth="1"/>
    <col min="61" max="66" width="8.6640625" style="19" customWidth="1"/>
  </cols>
  <sheetData>
    <row r="1" spans="1:66" ht="21" x14ac:dyDescent="0.4">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 x14ac:dyDescent="0.3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3">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3">
      <c r="A4" s="243" t="s">
        <v>179</v>
      </c>
      <c r="B4" s="41" t="s">
        <v>178</v>
      </c>
      <c r="C4" s="41">
        <v>1</v>
      </c>
      <c r="D4" s="31" t="s">
        <v>180</v>
      </c>
      <c r="E4" t="s">
        <v>6</v>
      </c>
      <c r="F4">
        <v>0.01</v>
      </c>
      <c r="G4">
        <v>0.09</v>
      </c>
      <c r="H4">
        <v>1</v>
      </c>
      <c r="I4">
        <v>1</v>
      </c>
      <c r="J4">
        <v>0</v>
      </c>
      <c r="K4" s="24">
        <f t="shared" ref="K4:K14" si="0">(F4*H4+G4*I4)*(1+J4)</f>
        <v>9.9999999999999992E-2</v>
      </c>
      <c r="L4" s="243" t="s">
        <v>179</v>
      </c>
      <c r="M4" s="75" t="s">
        <v>178</v>
      </c>
      <c r="N4" s="75">
        <v>1</v>
      </c>
      <c r="O4" s="31" t="s">
        <v>180</v>
      </c>
      <c r="P4" t="s">
        <v>6</v>
      </c>
      <c r="Q4">
        <v>0.01</v>
      </c>
      <c r="R4">
        <v>0.09</v>
      </c>
      <c r="S4">
        <v>1</v>
      </c>
      <c r="T4">
        <v>1</v>
      </c>
      <c r="U4">
        <v>0</v>
      </c>
      <c r="V4" s="24">
        <f t="shared" ref="V4:V14" si="1">(Q4*S4+R4*T4)*(1+U4)</f>
        <v>9.9999999999999992E-2</v>
      </c>
      <c r="W4" s="243" t="s">
        <v>179</v>
      </c>
      <c r="X4" s="75" t="s">
        <v>178</v>
      </c>
      <c r="Y4" s="75">
        <v>1</v>
      </c>
      <c r="Z4" s="31" t="s">
        <v>180</v>
      </c>
      <c r="AA4" t="s">
        <v>6</v>
      </c>
      <c r="AB4">
        <v>0.01</v>
      </c>
      <c r="AC4">
        <v>0.09</v>
      </c>
      <c r="AD4">
        <v>1</v>
      </c>
      <c r="AE4">
        <v>1</v>
      </c>
      <c r="AF4">
        <v>0</v>
      </c>
      <c r="AG4" s="24">
        <f t="shared" ref="AG4:AG14" si="2">(AB4*AD4+AC4*AE4)*(1+AF4)</f>
        <v>9.9999999999999992E-2</v>
      </c>
      <c r="AH4" s="243" t="s">
        <v>179</v>
      </c>
      <c r="AI4" s="75" t="s">
        <v>178</v>
      </c>
      <c r="AJ4" s="75">
        <v>1</v>
      </c>
      <c r="AK4" s="31" t="s">
        <v>180</v>
      </c>
      <c r="AL4" t="s">
        <v>6</v>
      </c>
      <c r="AM4">
        <v>0.01</v>
      </c>
      <c r="AN4">
        <v>0.09</v>
      </c>
      <c r="AO4">
        <v>1</v>
      </c>
      <c r="AP4">
        <v>1</v>
      </c>
      <c r="AQ4">
        <v>0</v>
      </c>
      <c r="AR4" s="24">
        <f t="shared" ref="AR4:AR14" si="3">(AM4*AO4+AN4*AP4)*(1+AQ4)</f>
        <v>9.9999999999999992E-2</v>
      </c>
      <c r="AS4" s="243" t="s">
        <v>179</v>
      </c>
      <c r="AT4" s="75" t="s">
        <v>178</v>
      </c>
      <c r="AU4" s="75">
        <v>1</v>
      </c>
      <c r="AV4" s="31" t="s">
        <v>180</v>
      </c>
      <c r="AW4" t="s">
        <v>6</v>
      </c>
      <c r="AX4">
        <v>0.01</v>
      </c>
      <c r="AY4">
        <v>0.09</v>
      </c>
      <c r="AZ4">
        <v>1</v>
      </c>
      <c r="BA4">
        <v>1</v>
      </c>
      <c r="BB4">
        <v>0</v>
      </c>
      <c r="BC4" s="24">
        <f t="shared" ref="BC4:BC14" si="4">(AX4*AZ4+AY4*BA4)*(1+BB4)</f>
        <v>9.9999999999999992E-2</v>
      </c>
      <c r="BD4" s="243" t="s">
        <v>179</v>
      </c>
      <c r="BE4" s="75" t="s">
        <v>178</v>
      </c>
      <c r="BF4" s="75">
        <v>1</v>
      </c>
      <c r="BG4" s="31" t="s">
        <v>180</v>
      </c>
      <c r="BH4" t="s">
        <v>6</v>
      </c>
      <c r="BI4">
        <v>0.01</v>
      </c>
      <c r="BJ4">
        <v>0.09</v>
      </c>
      <c r="BK4">
        <v>1</v>
      </c>
      <c r="BL4">
        <v>1</v>
      </c>
      <c r="BM4">
        <v>0</v>
      </c>
      <c r="BN4" s="24">
        <f t="shared" ref="BN4:BN14" si="5">(BI4*BK4+BJ4*BL4)*(1+BM4)</f>
        <v>9.9999999999999992E-2</v>
      </c>
    </row>
    <row r="5" spans="1:66" x14ac:dyDescent="0.3">
      <c r="A5" s="244"/>
      <c r="B5" s="41" t="s">
        <v>178</v>
      </c>
      <c r="C5" s="42"/>
      <c r="D5" t="s">
        <v>181</v>
      </c>
      <c r="E5" t="s">
        <v>6</v>
      </c>
      <c r="F5">
        <v>0.1</v>
      </c>
      <c r="G5">
        <v>0.3</v>
      </c>
      <c r="H5">
        <v>1</v>
      </c>
      <c r="I5">
        <v>1</v>
      </c>
      <c r="J5">
        <v>0</v>
      </c>
      <c r="K5" s="24">
        <f t="shared" si="0"/>
        <v>0.4</v>
      </c>
      <c r="L5" s="244"/>
      <c r="M5" s="75" t="s">
        <v>178</v>
      </c>
      <c r="N5" s="76"/>
      <c r="O5" t="s">
        <v>181</v>
      </c>
      <c r="P5" t="s">
        <v>6</v>
      </c>
      <c r="Q5">
        <v>0.1</v>
      </c>
      <c r="R5">
        <v>0.3</v>
      </c>
      <c r="S5">
        <v>1</v>
      </c>
      <c r="T5">
        <v>1</v>
      </c>
      <c r="U5">
        <v>0</v>
      </c>
      <c r="V5" s="24">
        <f t="shared" si="1"/>
        <v>0.4</v>
      </c>
      <c r="W5" s="244"/>
      <c r="X5" s="75" t="s">
        <v>178</v>
      </c>
      <c r="Y5" s="76"/>
      <c r="Z5" t="s">
        <v>181</v>
      </c>
      <c r="AA5" t="s">
        <v>6</v>
      </c>
      <c r="AB5">
        <v>0.1</v>
      </c>
      <c r="AC5">
        <v>0.3</v>
      </c>
      <c r="AD5">
        <v>1</v>
      </c>
      <c r="AE5">
        <v>1</v>
      </c>
      <c r="AF5">
        <v>0</v>
      </c>
      <c r="AG5" s="24">
        <f t="shared" si="2"/>
        <v>0.4</v>
      </c>
      <c r="AH5" s="244"/>
      <c r="AI5" s="75" t="s">
        <v>178</v>
      </c>
      <c r="AJ5" s="76"/>
      <c r="AK5" t="s">
        <v>181</v>
      </c>
      <c r="AL5" t="s">
        <v>6</v>
      </c>
      <c r="AM5">
        <v>0.1</v>
      </c>
      <c r="AN5">
        <v>0.3</v>
      </c>
      <c r="AO5">
        <v>1</v>
      </c>
      <c r="AP5">
        <v>1</v>
      </c>
      <c r="AQ5">
        <v>0</v>
      </c>
      <c r="AR5" s="24">
        <f t="shared" si="3"/>
        <v>0.4</v>
      </c>
      <c r="AS5" s="244"/>
      <c r="AT5" s="75" t="s">
        <v>178</v>
      </c>
      <c r="AU5" s="76"/>
      <c r="AV5" t="s">
        <v>181</v>
      </c>
      <c r="AW5" t="s">
        <v>6</v>
      </c>
      <c r="AX5">
        <v>0.1</v>
      </c>
      <c r="AY5">
        <v>0.3</v>
      </c>
      <c r="AZ5">
        <v>1</v>
      </c>
      <c r="BA5">
        <v>1</v>
      </c>
      <c r="BB5">
        <v>0</v>
      </c>
      <c r="BC5" s="24">
        <f t="shared" si="4"/>
        <v>0.4</v>
      </c>
      <c r="BD5" s="244"/>
      <c r="BE5" s="75" t="s">
        <v>178</v>
      </c>
      <c r="BF5" s="76"/>
      <c r="BG5" t="s">
        <v>181</v>
      </c>
      <c r="BH5" t="s">
        <v>6</v>
      </c>
      <c r="BI5">
        <v>0.1</v>
      </c>
      <c r="BJ5">
        <v>0.3</v>
      </c>
      <c r="BK5">
        <v>1</v>
      </c>
      <c r="BL5">
        <v>1</v>
      </c>
      <c r="BM5">
        <v>0</v>
      </c>
      <c r="BN5" s="24">
        <f t="shared" si="5"/>
        <v>0.4</v>
      </c>
    </row>
    <row r="6" spans="1:66" x14ac:dyDescent="0.3">
      <c r="A6" s="244"/>
      <c r="B6" s="41" t="s">
        <v>178</v>
      </c>
      <c r="C6" s="42"/>
      <c r="D6" t="s">
        <v>182</v>
      </c>
      <c r="E6" t="s">
        <v>9</v>
      </c>
      <c r="F6">
        <v>0.23</v>
      </c>
      <c r="G6">
        <v>0.41</v>
      </c>
      <c r="H6">
        <v>1</v>
      </c>
      <c r="I6">
        <v>1</v>
      </c>
      <c r="J6">
        <v>0</v>
      </c>
      <c r="K6" s="24">
        <f t="shared" si="0"/>
        <v>0.64</v>
      </c>
      <c r="L6" s="244"/>
      <c r="M6" s="75" t="s">
        <v>178</v>
      </c>
      <c r="N6" s="76"/>
      <c r="O6" t="s">
        <v>182</v>
      </c>
      <c r="P6" t="s">
        <v>9</v>
      </c>
      <c r="Q6">
        <v>0.23</v>
      </c>
      <c r="R6">
        <v>0.41</v>
      </c>
      <c r="S6">
        <v>1</v>
      </c>
      <c r="T6">
        <v>1</v>
      </c>
      <c r="U6">
        <v>0</v>
      </c>
      <c r="V6" s="24">
        <f t="shared" si="1"/>
        <v>0.64</v>
      </c>
      <c r="W6" s="244"/>
      <c r="X6" s="75" t="s">
        <v>178</v>
      </c>
      <c r="Y6" s="76"/>
      <c r="Z6" t="s">
        <v>182</v>
      </c>
      <c r="AA6" t="s">
        <v>9</v>
      </c>
      <c r="AB6">
        <v>0.23</v>
      </c>
      <c r="AC6">
        <v>0.41</v>
      </c>
      <c r="AD6">
        <v>1</v>
      </c>
      <c r="AE6">
        <v>1</v>
      </c>
      <c r="AF6">
        <v>0</v>
      </c>
      <c r="AG6" s="24">
        <f t="shared" si="2"/>
        <v>0.64</v>
      </c>
      <c r="AH6" s="244"/>
      <c r="AI6" s="75" t="s">
        <v>178</v>
      </c>
      <c r="AJ6" s="76"/>
      <c r="AK6" t="s">
        <v>182</v>
      </c>
      <c r="AL6" t="s">
        <v>9</v>
      </c>
      <c r="AM6">
        <v>0.23</v>
      </c>
      <c r="AN6">
        <v>0.41</v>
      </c>
      <c r="AO6">
        <v>1</v>
      </c>
      <c r="AP6">
        <v>1</v>
      </c>
      <c r="AQ6">
        <v>0</v>
      </c>
      <c r="AR6" s="24">
        <f t="shared" si="3"/>
        <v>0.64</v>
      </c>
      <c r="AS6" s="244"/>
      <c r="AT6" s="75" t="s">
        <v>178</v>
      </c>
      <c r="AU6" s="76"/>
      <c r="AV6" t="s">
        <v>182</v>
      </c>
      <c r="AW6" t="s">
        <v>9</v>
      </c>
      <c r="AX6">
        <v>0.23</v>
      </c>
      <c r="AY6">
        <v>0.41</v>
      </c>
      <c r="AZ6">
        <v>1</v>
      </c>
      <c r="BA6">
        <v>1</v>
      </c>
      <c r="BB6">
        <v>0</v>
      </c>
      <c r="BC6" s="24">
        <f t="shared" si="4"/>
        <v>0.64</v>
      </c>
      <c r="BD6" s="244"/>
      <c r="BE6" s="75" t="s">
        <v>178</v>
      </c>
      <c r="BF6" s="76"/>
      <c r="BG6" t="s">
        <v>182</v>
      </c>
      <c r="BH6" t="s">
        <v>9</v>
      </c>
      <c r="BI6">
        <v>0.23</v>
      </c>
      <c r="BJ6">
        <v>0.41</v>
      </c>
      <c r="BK6">
        <v>1</v>
      </c>
      <c r="BL6">
        <v>1</v>
      </c>
      <c r="BM6">
        <v>0</v>
      </c>
      <c r="BN6" s="24">
        <f t="shared" si="5"/>
        <v>0.64</v>
      </c>
    </row>
    <row r="7" spans="1:66" ht="43.2" x14ac:dyDescent="0.3">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x14ac:dyDescent="0.3">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x14ac:dyDescent="0.3">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28.8" x14ac:dyDescent="0.3">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x14ac:dyDescent="0.3">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x14ac:dyDescent="0.3">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x14ac:dyDescent="0.3">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x14ac:dyDescent="0.3">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x14ac:dyDescent="0.3">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x14ac:dyDescent="0.3">
      <c r="AH16"/>
      <c r="AI16"/>
      <c r="AJ16"/>
      <c r="AK16"/>
      <c r="AL16"/>
      <c r="AM16"/>
      <c r="AN16"/>
      <c r="AO16"/>
      <c r="AP16"/>
      <c r="AQ16"/>
      <c r="AR16"/>
      <c r="AS16"/>
      <c r="AT16"/>
      <c r="AU16"/>
      <c r="AV16"/>
      <c r="AW16"/>
      <c r="AX16"/>
      <c r="AY16"/>
      <c r="AZ16"/>
      <c r="BA16"/>
      <c r="BB16"/>
      <c r="BC16"/>
    </row>
    <row r="17" spans="34:43" x14ac:dyDescent="0.3">
      <c r="AH17" s="19"/>
      <c r="AI17" s="19"/>
      <c r="AJ17" s="19"/>
      <c r="AK17" s="19"/>
      <c r="AL17" s="19"/>
      <c r="AM17" s="19"/>
      <c r="AN17" s="19"/>
      <c r="AO17" s="19"/>
      <c r="AP17" s="19"/>
      <c r="AQ17" s="19"/>
    </row>
    <row r="18" spans="34:43" x14ac:dyDescent="0.3">
      <c r="AH18" s="19"/>
      <c r="AI18" s="19"/>
      <c r="AJ18" s="19"/>
      <c r="AK18" s="19"/>
      <c r="AL18" s="19"/>
      <c r="AM18" s="19"/>
      <c r="AN18" s="19"/>
      <c r="AO18" s="19"/>
      <c r="AP18" s="19"/>
      <c r="AQ18" s="19"/>
    </row>
    <row r="19" spans="34:43" x14ac:dyDescent="0.3">
      <c r="AH19" s="19"/>
      <c r="AI19" s="19"/>
      <c r="AJ19" s="19"/>
      <c r="AK19" s="19"/>
      <c r="AL19" s="19"/>
      <c r="AM19" s="19"/>
      <c r="AN19" s="19"/>
      <c r="AO19" s="19"/>
      <c r="AP19" s="19"/>
      <c r="AQ19" s="19"/>
    </row>
    <row r="20" spans="34:43" x14ac:dyDescent="0.3">
      <c r="AH20" s="19"/>
      <c r="AI20" s="19"/>
      <c r="AJ20" s="19"/>
      <c r="AK20" s="19"/>
      <c r="AL20" s="19"/>
      <c r="AM20" s="19"/>
      <c r="AN20" s="19"/>
      <c r="AO20" s="19"/>
      <c r="AP20" s="19"/>
      <c r="AQ20" s="19"/>
    </row>
    <row r="21" spans="34:43" x14ac:dyDescent="0.3">
      <c r="AH21" s="19"/>
      <c r="AI21" s="19"/>
      <c r="AJ21" s="19"/>
      <c r="AK21" s="19"/>
      <c r="AL21" s="19"/>
      <c r="AM21" s="19"/>
      <c r="AN21" s="19"/>
      <c r="AO21" s="19"/>
      <c r="AP21" s="19"/>
      <c r="AQ21" s="19"/>
    </row>
    <row r="22" spans="34:43" x14ac:dyDescent="0.3">
      <c r="AH22" s="19"/>
      <c r="AI22" s="19"/>
      <c r="AJ22" s="19"/>
      <c r="AK22" s="19"/>
      <c r="AL22" s="19"/>
      <c r="AM22" s="19"/>
      <c r="AN22" s="19"/>
      <c r="AO22" s="19"/>
      <c r="AP22" s="19"/>
      <c r="AQ22" s="19"/>
    </row>
    <row r="23" spans="34:43" x14ac:dyDescent="0.3">
      <c r="AH23" s="19"/>
      <c r="AI23" s="19"/>
      <c r="AJ23" s="19"/>
      <c r="AK23" s="19"/>
      <c r="AL23" s="19"/>
      <c r="AM23" s="19"/>
      <c r="AN23" s="19"/>
      <c r="AO23" s="19"/>
      <c r="AP23" s="19"/>
      <c r="AQ23" s="19"/>
    </row>
    <row r="24" spans="34:43" x14ac:dyDescent="0.3">
      <c r="AH24" s="19"/>
      <c r="AI24" s="19"/>
      <c r="AJ24" s="19"/>
      <c r="AK24" s="19"/>
      <c r="AL24" s="19"/>
      <c r="AM24" s="19"/>
      <c r="AN24" s="19"/>
      <c r="AO24" s="19"/>
      <c r="AP24" s="19"/>
      <c r="AQ24" s="19"/>
    </row>
    <row r="25" spans="34:43" x14ac:dyDescent="0.3">
      <c r="AH25" s="19"/>
      <c r="AI25" s="19"/>
      <c r="AJ25" s="19"/>
      <c r="AK25" s="19"/>
      <c r="AL25" s="19"/>
      <c r="AM25" s="19"/>
      <c r="AN25" s="19"/>
      <c r="AO25" s="19"/>
      <c r="AP25" s="19"/>
      <c r="AQ25" s="19"/>
    </row>
    <row r="26" spans="34:43" x14ac:dyDescent="0.3">
      <c r="AH26" s="19"/>
      <c r="AI26" s="19"/>
      <c r="AJ26" s="19"/>
      <c r="AK26" s="19"/>
      <c r="AL26" s="19"/>
      <c r="AM26" s="19"/>
      <c r="AN26" s="19"/>
      <c r="AO26" s="19"/>
      <c r="AP26" s="19"/>
      <c r="AQ26" s="19"/>
    </row>
    <row r="27" spans="34:43" x14ac:dyDescent="0.3">
      <c r="AH27" s="19"/>
      <c r="AI27" s="19"/>
      <c r="AJ27" s="19"/>
      <c r="AK27" s="19"/>
      <c r="AL27" s="19"/>
      <c r="AM27" s="19"/>
      <c r="AN27" s="19"/>
      <c r="AO27" s="19"/>
      <c r="AP27" s="19"/>
      <c r="AQ27" s="19"/>
    </row>
    <row r="28" spans="34:43" x14ac:dyDescent="0.3">
      <c r="AH28" s="19"/>
      <c r="AI28" s="19"/>
      <c r="AJ28" s="19"/>
      <c r="AK28" s="19"/>
      <c r="AL28" s="19"/>
      <c r="AM28" s="19"/>
      <c r="AN28" s="19"/>
      <c r="AO28" s="19"/>
      <c r="AP28" s="19"/>
      <c r="AQ28" s="19"/>
    </row>
    <row r="29" spans="34:43" x14ac:dyDescent="0.3">
      <c r="AH29" s="19"/>
      <c r="AI29" s="19"/>
      <c r="AJ29" s="19"/>
      <c r="AK29" s="19"/>
      <c r="AL29" s="19"/>
      <c r="AM29" s="19"/>
      <c r="AN29" s="19"/>
      <c r="AO29" s="19"/>
      <c r="AP29" s="19"/>
      <c r="AQ29" s="19"/>
    </row>
    <row r="30" spans="34:43" x14ac:dyDescent="0.3">
      <c r="AH30" s="19"/>
      <c r="AI30" s="19"/>
      <c r="AJ30" s="19"/>
      <c r="AK30" s="19"/>
      <c r="AL30" s="19"/>
      <c r="AM30" s="19"/>
      <c r="AN30" s="19"/>
      <c r="AO30" s="19"/>
      <c r="AP30" s="19"/>
      <c r="AQ30" s="19"/>
    </row>
    <row r="31" spans="34:43" x14ac:dyDescent="0.3">
      <c r="AH31" s="19"/>
      <c r="AI31" s="19"/>
      <c r="AJ31" s="19"/>
      <c r="AK31" s="19"/>
      <c r="AL31" s="19"/>
      <c r="AM31" s="19"/>
      <c r="AN31" s="19"/>
      <c r="AO31" s="19"/>
      <c r="AP31" s="19"/>
      <c r="AQ31" s="19"/>
    </row>
    <row r="32" spans="34:43" x14ac:dyDescent="0.3">
      <c r="AH32" s="19"/>
      <c r="AI32" s="19"/>
      <c r="AJ32" s="19"/>
      <c r="AK32" s="19"/>
      <c r="AL32" s="19"/>
      <c r="AM32" s="19"/>
      <c r="AN32" s="19"/>
      <c r="AO32" s="19"/>
      <c r="AP32" s="19"/>
      <c r="AQ32" s="19"/>
    </row>
    <row r="33" spans="34:43" x14ac:dyDescent="0.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4.4" x14ac:dyDescent="0.3"/>
  <cols>
    <col min="1" max="2" width="15.6640625" customWidth="1"/>
    <col min="3" max="3" width="6.6640625" customWidth="1"/>
    <col min="4" max="4" width="36.6640625" customWidth="1"/>
    <col min="5" max="5" width="6.6640625" customWidth="1"/>
    <col min="6" max="9" width="8.6640625" customWidth="1"/>
    <col min="10" max="11" width="15.6640625" customWidth="1"/>
    <col min="12" max="12" width="6.6640625" customWidth="1"/>
    <col min="13" max="13" width="36.6640625" customWidth="1"/>
    <col min="14" max="14" width="6.6640625" customWidth="1"/>
    <col min="15" max="18" width="8.6640625" customWidth="1"/>
    <col min="19" max="20" width="15.6640625" customWidth="1"/>
    <col min="21" max="21" width="6.6640625" customWidth="1"/>
    <col min="22" max="22" width="36.6640625" customWidth="1"/>
    <col min="23" max="23" width="6.6640625" customWidth="1"/>
    <col min="24" max="27" width="8.6640625" customWidth="1"/>
    <col min="28" max="29" width="15.6640625" customWidth="1"/>
    <col min="30" max="30" width="6.6640625" customWidth="1"/>
    <col min="31" max="31" width="36.6640625" customWidth="1"/>
    <col min="32" max="32" width="6.6640625" customWidth="1"/>
    <col min="33" max="36" width="8.6640625" customWidth="1"/>
    <col min="37" max="38" width="15.6640625" customWidth="1"/>
    <col min="39" max="39" width="6.6640625" customWidth="1"/>
    <col min="40" max="40" width="36.6640625" customWidth="1"/>
    <col min="41" max="41" width="6.6640625" customWidth="1"/>
    <col min="42" max="45" width="8.6640625" customWidth="1"/>
    <col min="46" max="47" width="15.6640625" style="19" customWidth="1"/>
    <col min="48" max="48" width="6.6640625" style="19" customWidth="1"/>
    <col min="49" max="49" width="36.6640625" style="19" customWidth="1"/>
    <col min="50" max="50" width="6.6640625" style="19" customWidth="1"/>
    <col min="51" max="54" width="8.6640625" style="19" customWidth="1"/>
  </cols>
  <sheetData>
    <row r="1" spans="1:54" ht="21" x14ac:dyDescent="0.4">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 x14ac:dyDescent="0.3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3">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3">
      <c r="A4" s="243" t="s">
        <v>66</v>
      </c>
      <c r="B4" s="8"/>
      <c r="C4" s="4">
        <v>1</v>
      </c>
      <c r="D4" s="1" t="s">
        <v>36</v>
      </c>
      <c r="E4" s="1" t="s">
        <v>37</v>
      </c>
      <c r="F4" s="1">
        <v>0</v>
      </c>
      <c r="G4" s="1">
        <v>0</v>
      </c>
      <c r="H4" s="31"/>
      <c r="I4" s="1">
        <v>0</v>
      </c>
      <c r="J4" s="243" t="s">
        <v>66</v>
      </c>
      <c r="K4" s="29"/>
      <c r="L4" s="29">
        <v>1</v>
      </c>
      <c r="M4" s="31" t="s">
        <v>36</v>
      </c>
      <c r="N4" s="31" t="s">
        <v>37</v>
      </c>
      <c r="O4" s="31">
        <v>0</v>
      </c>
      <c r="P4" s="31">
        <v>0</v>
      </c>
      <c r="Q4" s="31"/>
      <c r="R4" s="31">
        <v>0</v>
      </c>
      <c r="S4" s="243" t="s">
        <v>66</v>
      </c>
      <c r="T4" s="29"/>
      <c r="U4" s="29">
        <v>1</v>
      </c>
      <c r="V4" s="31" t="s">
        <v>36</v>
      </c>
      <c r="W4" s="31" t="s">
        <v>37</v>
      </c>
      <c r="X4" s="31">
        <v>0</v>
      </c>
      <c r="Y4" s="31">
        <v>0</v>
      </c>
      <c r="Z4" s="31"/>
      <c r="AA4" s="31">
        <v>0</v>
      </c>
      <c r="AB4" s="243" t="s">
        <v>66</v>
      </c>
      <c r="AC4" s="29"/>
      <c r="AD4" s="29">
        <v>1</v>
      </c>
      <c r="AE4" s="31" t="s">
        <v>36</v>
      </c>
      <c r="AF4" s="31" t="s">
        <v>37</v>
      </c>
      <c r="AG4" s="31">
        <v>0</v>
      </c>
      <c r="AH4" s="31">
        <v>0</v>
      </c>
      <c r="AI4" s="31"/>
      <c r="AJ4" s="31">
        <v>0</v>
      </c>
      <c r="AK4" s="243" t="s">
        <v>66</v>
      </c>
      <c r="AL4" s="29"/>
      <c r="AM4" s="29">
        <v>1</v>
      </c>
      <c r="AN4" s="31" t="s">
        <v>36</v>
      </c>
      <c r="AO4" s="31" t="s">
        <v>37</v>
      </c>
      <c r="AP4" s="31">
        <v>0</v>
      </c>
      <c r="AQ4" s="31">
        <v>0</v>
      </c>
      <c r="AR4" s="31"/>
      <c r="AS4" s="31">
        <v>0</v>
      </c>
      <c r="AT4" s="245" t="s">
        <v>66</v>
      </c>
      <c r="AU4" s="80"/>
      <c r="AV4" s="80">
        <v>1</v>
      </c>
      <c r="AW4" s="36" t="s">
        <v>36</v>
      </c>
      <c r="AX4" s="36" t="s">
        <v>37</v>
      </c>
      <c r="AY4" s="36">
        <v>0</v>
      </c>
      <c r="AZ4" s="36">
        <v>0</v>
      </c>
      <c r="BA4" s="36"/>
      <c r="BB4" s="36">
        <v>0</v>
      </c>
    </row>
    <row r="5" spans="1:54" ht="28.8" x14ac:dyDescent="0.3">
      <c r="A5" s="243"/>
      <c r="B5" s="8" t="s">
        <v>146</v>
      </c>
      <c r="C5" s="4"/>
      <c r="D5" s="1" t="s">
        <v>147</v>
      </c>
      <c r="E5" s="1" t="s">
        <v>9</v>
      </c>
      <c r="F5" s="1">
        <v>18.850000000000001</v>
      </c>
      <c r="G5" s="1">
        <v>13.1</v>
      </c>
      <c r="H5" s="31">
        <v>0</v>
      </c>
      <c r="I5" s="24">
        <f>(F5+G5)*(1+H5)</f>
        <v>31.950000000000003</v>
      </c>
      <c r="J5" s="243"/>
      <c r="K5" s="29" t="s">
        <v>146</v>
      </c>
      <c r="L5" s="29"/>
      <c r="M5" s="31" t="s">
        <v>147</v>
      </c>
      <c r="N5" s="31" t="s">
        <v>9</v>
      </c>
      <c r="O5" s="31">
        <v>18.850000000000001</v>
      </c>
      <c r="P5" s="31">
        <v>13.1</v>
      </c>
      <c r="Q5" s="31">
        <v>0</v>
      </c>
      <c r="R5" s="24">
        <f>(O5+P5)*(1+Q5)</f>
        <v>31.950000000000003</v>
      </c>
      <c r="S5" s="243"/>
      <c r="T5" s="29" t="s">
        <v>146</v>
      </c>
      <c r="U5" s="29"/>
      <c r="V5" s="31" t="s">
        <v>147</v>
      </c>
      <c r="W5" s="31" t="s">
        <v>9</v>
      </c>
      <c r="X5" s="31">
        <v>18.850000000000001</v>
      </c>
      <c r="Y5" s="31">
        <v>13.1</v>
      </c>
      <c r="Z5" s="31">
        <v>0</v>
      </c>
      <c r="AA5" s="24">
        <f>(X5+Y5)*(1+Z5)</f>
        <v>31.950000000000003</v>
      </c>
      <c r="AB5" s="243"/>
      <c r="AC5" s="29" t="s">
        <v>146</v>
      </c>
      <c r="AD5" s="29"/>
      <c r="AE5" s="31" t="s">
        <v>147</v>
      </c>
      <c r="AF5" s="31" t="s">
        <v>9</v>
      </c>
      <c r="AG5" s="31">
        <v>18.850000000000001</v>
      </c>
      <c r="AH5" s="31">
        <v>13.1</v>
      </c>
      <c r="AI5" s="31">
        <v>0</v>
      </c>
      <c r="AJ5" s="24">
        <f>(AG5+AH5)*(1+AI5)</f>
        <v>31.950000000000003</v>
      </c>
      <c r="AK5" s="243"/>
      <c r="AL5" s="29" t="s">
        <v>146</v>
      </c>
      <c r="AM5" s="29"/>
      <c r="AN5" s="31" t="s">
        <v>147</v>
      </c>
      <c r="AO5" s="31" t="s">
        <v>9</v>
      </c>
      <c r="AP5" s="31">
        <v>18.850000000000001</v>
      </c>
      <c r="AQ5" s="31">
        <v>13.1</v>
      </c>
      <c r="AR5" s="31">
        <v>0</v>
      </c>
      <c r="AS5" s="24">
        <f>(AP5+AQ5)*(1+AR5)</f>
        <v>31.950000000000003</v>
      </c>
      <c r="AT5" s="245"/>
      <c r="AU5" s="80" t="s">
        <v>146</v>
      </c>
      <c r="AV5" s="80"/>
      <c r="AW5" s="36" t="s">
        <v>147</v>
      </c>
      <c r="AX5" s="36" t="s">
        <v>9</v>
      </c>
      <c r="AY5" s="36">
        <v>18.850000000000001</v>
      </c>
      <c r="AZ5" s="36">
        <v>13.1</v>
      </c>
      <c r="BA5" s="36">
        <v>0</v>
      </c>
      <c r="BB5" s="77">
        <f>(AY5+AZ5)*(1+BA5)</f>
        <v>31.950000000000003</v>
      </c>
    </row>
    <row r="6" spans="1:54" x14ac:dyDescent="0.3">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x14ac:dyDescent="0.3">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3">
      <c r="A8" s="243" t="s">
        <v>154</v>
      </c>
      <c r="B8" s="8"/>
      <c r="C8" s="4">
        <v>2</v>
      </c>
      <c r="D8" t="s">
        <v>36</v>
      </c>
      <c r="E8" t="s">
        <v>37</v>
      </c>
      <c r="F8">
        <v>0</v>
      </c>
      <c r="G8">
        <v>0</v>
      </c>
      <c r="I8">
        <v>0</v>
      </c>
      <c r="J8" s="243" t="s">
        <v>154</v>
      </c>
      <c r="K8" s="29"/>
      <c r="L8" s="29">
        <v>2</v>
      </c>
      <c r="M8" t="s">
        <v>36</v>
      </c>
      <c r="N8" t="s">
        <v>37</v>
      </c>
      <c r="O8">
        <v>0</v>
      </c>
      <c r="P8">
        <v>0</v>
      </c>
      <c r="R8">
        <v>0</v>
      </c>
      <c r="S8" s="243" t="s">
        <v>154</v>
      </c>
      <c r="T8" s="29"/>
      <c r="U8" s="29">
        <v>2</v>
      </c>
      <c r="V8" t="s">
        <v>36</v>
      </c>
      <c r="W8" t="s">
        <v>37</v>
      </c>
      <c r="X8">
        <v>0</v>
      </c>
      <c r="Y8">
        <v>0</v>
      </c>
      <c r="AA8">
        <v>0</v>
      </c>
      <c r="AB8" s="243" t="s">
        <v>154</v>
      </c>
      <c r="AC8" s="29"/>
      <c r="AD8" s="29">
        <v>2</v>
      </c>
      <c r="AE8" t="s">
        <v>36</v>
      </c>
      <c r="AF8" t="s">
        <v>37</v>
      </c>
      <c r="AG8">
        <v>0</v>
      </c>
      <c r="AH8">
        <v>0</v>
      </c>
      <c r="AJ8">
        <v>0</v>
      </c>
      <c r="AK8" s="243" t="s">
        <v>154</v>
      </c>
      <c r="AL8" s="29"/>
      <c r="AM8" s="29">
        <v>2</v>
      </c>
      <c r="AN8" t="s">
        <v>36</v>
      </c>
      <c r="AO8" t="s">
        <v>37</v>
      </c>
      <c r="AP8">
        <v>0</v>
      </c>
      <c r="AQ8">
        <v>0</v>
      </c>
      <c r="AS8">
        <v>0</v>
      </c>
      <c r="AT8" s="245" t="s">
        <v>154</v>
      </c>
      <c r="AU8" s="80"/>
      <c r="AV8" s="80">
        <v>2</v>
      </c>
      <c r="AW8" s="19" t="s">
        <v>36</v>
      </c>
      <c r="AX8" s="19" t="s">
        <v>37</v>
      </c>
      <c r="AY8" s="19">
        <v>0</v>
      </c>
      <c r="AZ8" s="19">
        <v>0</v>
      </c>
      <c r="BB8" s="19">
        <v>0</v>
      </c>
    </row>
    <row r="9" spans="1:54" x14ac:dyDescent="0.3">
      <c r="A9" s="244"/>
      <c r="B9" s="9" t="s">
        <v>156</v>
      </c>
      <c r="C9" s="5"/>
      <c r="D9" s="1" t="s">
        <v>155</v>
      </c>
      <c r="E9" t="s">
        <v>9</v>
      </c>
      <c r="F9">
        <v>43.45</v>
      </c>
      <c r="G9">
        <v>6.02</v>
      </c>
      <c r="H9">
        <v>0</v>
      </c>
      <c r="I9" s="24">
        <f>(F9+G9)*(1+H9)</f>
        <v>49.47</v>
      </c>
      <c r="J9" s="244"/>
      <c r="K9" s="30" t="s">
        <v>156</v>
      </c>
      <c r="L9" s="30"/>
      <c r="M9" s="31" t="s">
        <v>155</v>
      </c>
      <c r="N9" t="s">
        <v>9</v>
      </c>
      <c r="O9">
        <v>43.45</v>
      </c>
      <c r="P9">
        <v>6.02</v>
      </c>
      <c r="Q9">
        <v>0</v>
      </c>
      <c r="R9" s="24">
        <f>(O9+P9)*(1+Q9)</f>
        <v>49.47</v>
      </c>
      <c r="S9" s="244"/>
      <c r="T9" s="30" t="s">
        <v>156</v>
      </c>
      <c r="U9" s="30"/>
      <c r="V9" s="31" t="s">
        <v>155</v>
      </c>
      <c r="W9" t="s">
        <v>9</v>
      </c>
      <c r="X9">
        <v>43.45</v>
      </c>
      <c r="Y9">
        <v>6.02</v>
      </c>
      <c r="Z9">
        <v>0</v>
      </c>
      <c r="AA9" s="24">
        <f>(X9+Y9)*(1+Z9)</f>
        <v>49.47</v>
      </c>
      <c r="AB9" s="244"/>
      <c r="AC9" s="30" t="s">
        <v>156</v>
      </c>
      <c r="AD9" s="30"/>
      <c r="AE9" s="31" t="s">
        <v>155</v>
      </c>
      <c r="AF9" t="s">
        <v>9</v>
      </c>
      <c r="AG9">
        <v>43.45</v>
      </c>
      <c r="AH9">
        <v>6.02</v>
      </c>
      <c r="AI9">
        <v>0</v>
      </c>
      <c r="AJ9" s="24">
        <f>(AG9+AH9)*(1+AI9)</f>
        <v>49.47</v>
      </c>
      <c r="AK9" s="244"/>
      <c r="AL9" s="30" t="s">
        <v>156</v>
      </c>
      <c r="AM9" s="30"/>
      <c r="AN9" s="31" t="s">
        <v>155</v>
      </c>
      <c r="AO9" t="s">
        <v>9</v>
      </c>
      <c r="AP9">
        <v>43.45</v>
      </c>
      <c r="AQ9">
        <v>6.02</v>
      </c>
      <c r="AR9">
        <v>0</v>
      </c>
      <c r="AS9" s="24">
        <f>(AP9+AQ9)*(1+AR9)</f>
        <v>49.47</v>
      </c>
      <c r="AT9" s="246"/>
      <c r="AU9" s="81" t="s">
        <v>156</v>
      </c>
      <c r="AV9" s="81"/>
      <c r="AW9" s="36" t="s">
        <v>155</v>
      </c>
      <c r="AX9" s="19" t="s">
        <v>9</v>
      </c>
      <c r="AY9" s="19">
        <v>43.45</v>
      </c>
      <c r="AZ9" s="19">
        <v>6.02</v>
      </c>
      <c r="BA9" s="19">
        <v>0</v>
      </c>
      <c r="BB9" s="77">
        <f>(AY9+AZ9)*(1+BA9)</f>
        <v>49.47</v>
      </c>
    </row>
    <row r="10" spans="1:54" x14ac:dyDescent="0.3">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x14ac:dyDescent="0.3">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3">
      <c r="A12" s="243" t="s">
        <v>150</v>
      </c>
      <c r="B12" s="8"/>
      <c r="C12" s="4">
        <v>3</v>
      </c>
      <c r="D12" t="s">
        <v>36</v>
      </c>
      <c r="E12" t="s">
        <v>37</v>
      </c>
      <c r="F12">
        <v>0</v>
      </c>
      <c r="G12">
        <v>0</v>
      </c>
      <c r="I12">
        <v>0</v>
      </c>
      <c r="J12" s="243" t="s">
        <v>150</v>
      </c>
      <c r="K12" s="29"/>
      <c r="L12" s="29">
        <v>3</v>
      </c>
      <c r="M12" t="s">
        <v>36</v>
      </c>
      <c r="N12" t="s">
        <v>37</v>
      </c>
      <c r="O12">
        <v>0</v>
      </c>
      <c r="P12">
        <v>0</v>
      </c>
      <c r="R12">
        <v>0</v>
      </c>
      <c r="S12" s="243" t="s">
        <v>150</v>
      </c>
      <c r="T12" s="29"/>
      <c r="U12" s="29">
        <v>3</v>
      </c>
      <c r="V12" t="s">
        <v>36</v>
      </c>
      <c r="W12" t="s">
        <v>37</v>
      </c>
      <c r="X12">
        <v>0</v>
      </c>
      <c r="Y12">
        <v>0</v>
      </c>
      <c r="AA12">
        <v>0</v>
      </c>
      <c r="AB12" s="243" t="s">
        <v>150</v>
      </c>
      <c r="AC12" s="29"/>
      <c r="AD12" s="29">
        <v>3</v>
      </c>
      <c r="AE12" t="s">
        <v>36</v>
      </c>
      <c r="AF12" t="s">
        <v>37</v>
      </c>
      <c r="AG12">
        <v>0</v>
      </c>
      <c r="AH12">
        <v>0</v>
      </c>
      <c r="AJ12">
        <v>0</v>
      </c>
      <c r="AK12" s="243" t="s">
        <v>150</v>
      </c>
      <c r="AL12" s="29"/>
      <c r="AM12" s="29">
        <v>3</v>
      </c>
      <c r="AN12" t="s">
        <v>36</v>
      </c>
      <c r="AO12" t="s">
        <v>37</v>
      </c>
      <c r="AP12">
        <v>0</v>
      </c>
      <c r="AQ12">
        <v>0</v>
      </c>
      <c r="AS12">
        <v>0</v>
      </c>
      <c r="AT12" s="245" t="s">
        <v>150</v>
      </c>
      <c r="AU12" s="80"/>
      <c r="AV12" s="80">
        <v>3</v>
      </c>
      <c r="AW12" s="19" t="s">
        <v>36</v>
      </c>
      <c r="AX12" s="19" t="s">
        <v>37</v>
      </c>
      <c r="AY12" s="19">
        <v>0</v>
      </c>
      <c r="AZ12" s="19">
        <v>0</v>
      </c>
      <c r="BB12" s="19">
        <v>0</v>
      </c>
    </row>
    <row r="13" spans="1:54" ht="28.8" x14ac:dyDescent="0.3">
      <c r="A13" s="244"/>
      <c r="B13" s="9" t="s">
        <v>148</v>
      </c>
      <c r="C13" s="5"/>
      <c r="D13" s="1" t="s">
        <v>149</v>
      </c>
      <c r="E13" t="s">
        <v>9</v>
      </c>
      <c r="F13">
        <v>106.39</v>
      </c>
      <c r="G13">
        <v>15.56</v>
      </c>
      <c r="H13">
        <v>0</v>
      </c>
      <c r="I13" s="24">
        <f>(F13+G13)*(1+H13)</f>
        <v>121.95</v>
      </c>
      <c r="J13" s="244"/>
      <c r="K13" s="30" t="s">
        <v>148</v>
      </c>
      <c r="L13" s="30"/>
      <c r="M13" s="31" t="s">
        <v>149</v>
      </c>
      <c r="N13" t="s">
        <v>9</v>
      </c>
      <c r="O13">
        <v>106.39</v>
      </c>
      <c r="P13">
        <v>15.56</v>
      </c>
      <c r="Q13">
        <v>0</v>
      </c>
      <c r="R13" s="24">
        <f>(O13+P13)*(1+Q13)</f>
        <v>121.95</v>
      </c>
      <c r="S13" s="244"/>
      <c r="T13" s="30" t="s">
        <v>148</v>
      </c>
      <c r="U13" s="30"/>
      <c r="V13" s="31" t="s">
        <v>149</v>
      </c>
      <c r="W13" t="s">
        <v>9</v>
      </c>
      <c r="X13">
        <v>106.39</v>
      </c>
      <c r="Y13">
        <v>15.56</v>
      </c>
      <c r="Z13">
        <v>0</v>
      </c>
      <c r="AA13" s="24">
        <f>(X13+Y13)*(1+Z13)</f>
        <v>121.95</v>
      </c>
      <c r="AB13" s="244"/>
      <c r="AC13" s="30" t="s">
        <v>148</v>
      </c>
      <c r="AD13" s="30"/>
      <c r="AE13" s="31" t="s">
        <v>149</v>
      </c>
      <c r="AF13" t="s">
        <v>9</v>
      </c>
      <c r="AG13">
        <v>106.39</v>
      </c>
      <c r="AH13">
        <v>15.56</v>
      </c>
      <c r="AI13">
        <v>0</v>
      </c>
      <c r="AJ13" s="24">
        <f>(AG13+AH13)*(1+AI13)</f>
        <v>121.95</v>
      </c>
      <c r="AK13" s="244"/>
      <c r="AL13" s="30" t="s">
        <v>148</v>
      </c>
      <c r="AM13" s="30"/>
      <c r="AN13" s="31" t="s">
        <v>149</v>
      </c>
      <c r="AO13" t="s">
        <v>9</v>
      </c>
      <c r="AP13">
        <v>106.39</v>
      </c>
      <c r="AQ13">
        <v>15.56</v>
      </c>
      <c r="AR13">
        <v>0</v>
      </c>
      <c r="AS13" s="24">
        <f>(AP13+AQ13)*(1+AR13)</f>
        <v>121.95</v>
      </c>
      <c r="AT13" s="246"/>
      <c r="AU13" s="81" t="s">
        <v>148</v>
      </c>
      <c r="AV13" s="81"/>
      <c r="AW13" s="36" t="s">
        <v>149</v>
      </c>
      <c r="AX13" s="19" t="s">
        <v>9</v>
      </c>
      <c r="AY13" s="19">
        <v>106.39</v>
      </c>
      <c r="AZ13" s="19">
        <v>15.56</v>
      </c>
      <c r="BA13" s="19">
        <v>0</v>
      </c>
      <c r="BB13" s="77">
        <f>(AY13+AZ13)*(1+BA13)</f>
        <v>121.95</v>
      </c>
    </row>
    <row r="14" spans="1:54" x14ac:dyDescent="0.3">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x14ac:dyDescent="0.3">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3">
      <c r="A16" s="243" t="s">
        <v>151</v>
      </c>
      <c r="B16" s="8"/>
      <c r="C16" s="4">
        <v>4</v>
      </c>
      <c r="D16" t="s">
        <v>36</v>
      </c>
      <c r="E16" t="s">
        <v>37</v>
      </c>
      <c r="F16">
        <v>0</v>
      </c>
      <c r="G16">
        <v>0</v>
      </c>
      <c r="I16">
        <v>0</v>
      </c>
      <c r="J16" s="243" t="s">
        <v>151</v>
      </c>
      <c r="K16" s="29"/>
      <c r="L16" s="29">
        <v>4</v>
      </c>
      <c r="M16" t="s">
        <v>36</v>
      </c>
      <c r="N16" t="s">
        <v>37</v>
      </c>
      <c r="O16">
        <v>0</v>
      </c>
      <c r="P16">
        <v>0</v>
      </c>
      <c r="R16">
        <v>0</v>
      </c>
      <c r="S16" s="243" t="s">
        <v>151</v>
      </c>
      <c r="T16" s="29"/>
      <c r="U16" s="29">
        <v>4</v>
      </c>
      <c r="V16" t="s">
        <v>36</v>
      </c>
      <c r="W16" t="s">
        <v>37</v>
      </c>
      <c r="X16">
        <v>0</v>
      </c>
      <c r="Y16">
        <v>0</v>
      </c>
      <c r="AA16">
        <v>0</v>
      </c>
      <c r="AB16" s="243" t="s">
        <v>151</v>
      </c>
      <c r="AC16" s="29"/>
      <c r="AD16" s="29">
        <v>4</v>
      </c>
      <c r="AE16" t="s">
        <v>36</v>
      </c>
      <c r="AF16" t="s">
        <v>37</v>
      </c>
      <c r="AG16">
        <v>0</v>
      </c>
      <c r="AH16">
        <v>0</v>
      </c>
      <c r="AJ16">
        <v>0</v>
      </c>
      <c r="AK16" s="243" t="s">
        <v>151</v>
      </c>
      <c r="AL16" s="29"/>
      <c r="AM16" s="29">
        <v>4</v>
      </c>
      <c r="AN16" t="s">
        <v>36</v>
      </c>
      <c r="AO16" t="s">
        <v>37</v>
      </c>
      <c r="AP16">
        <v>0</v>
      </c>
      <c r="AQ16">
        <v>0</v>
      </c>
      <c r="AS16">
        <v>0</v>
      </c>
      <c r="AT16" s="245" t="s">
        <v>151</v>
      </c>
      <c r="AU16" s="80"/>
      <c r="AV16" s="80">
        <v>4</v>
      </c>
      <c r="AW16" s="19" t="s">
        <v>36</v>
      </c>
      <c r="AX16" s="19" t="s">
        <v>37</v>
      </c>
      <c r="AY16" s="19">
        <v>0</v>
      </c>
      <c r="AZ16" s="19">
        <v>0</v>
      </c>
      <c r="BB16" s="19">
        <v>0</v>
      </c>
    </row>
    <row r="17" spans="1:54" ht="28.8" x14ac:dyDescent="0.3">
      <c r="A17" s="244"/>
      <c r="B17" s="9" t="s">
        <v>152</v>
      </c>
      <c r="C17" s="5"/>
      <c r="D17" s="1" t="s">
        <v>153</v>
      </c>
      <c r="E17" t="s">
        <v>9</v>
      </c>
      <c r="F17">
        <v>23.61</v>
      </c>
      <c r="G17">
        <v>2.5499999999999998</v>
      </c>
      <c r="H17">
        <v>0</v>
      </c>
      <c r="I17" s="24">
        <f>(F17+G17)*(1+H17)</f>
        <v>26.16</v>
      </c>
      <c r="J17" s="244"/>
      <c r="K17" s="30" t="s">
        <v>152</v>
      </c>
      <c r="L17" s="30"/>
      <c r="M17" s="31" t="s">
        <v>153</v>
      </c>
      <c r="N17" t="s">
        <v>9</v>
      </c>
      <c r="O17">
        <v>23.61</v>
      </c>
      <c r="P17">
        <v>2.5499999999999998</v>
      </c>
      <c r="Q17">
        <v>0</v>
      </c>
      <c r="R17" s="24">
        <f>(O17+P17)*(1+Q17)</f>
        <v>26.16</v>
      </c>
      <c r="S17" s="244"/>
      <c r="T17" s="30" t="s">
        <v>152</v>
      </c>
      <c r="U17" s="30"/>
      <c r="V17" s="31" t="s">
        <v>153</v>
      </c>
      <c r="W17" t="s">
        <v>9</v>
      </c>
      <c r="X17">
        <v>23.61</v>
      </c>
      <c r="Y17">
        <v>2.5499999999999998</v>
      </c>
      <c r="Z17">
        <v>0</v>
      </c>
      <c r="AA17" s="24">
        <f>(X17+Y17)*(1+Z17)</f>
        <v>26.16</v>
      </c>
      <c r="AB17" s="244"/>
      <c r="AC17" s="30" t="s">
        <v>152</v>
      </c>
      <c r="AD17" s="30"/>
      <c r="AE17" s="31" t="s">
        <v>153</v>
      </c>
      <c r="AF17" t="s">
        <v>9</v>
      </c>
      <c r="AG17">
        <v>23.61</v>
      </c>
      <c r="AH17">
        <v>2.5499999999999998</v>
      </c>
      <c r="AI17">
        <v>0</v>
      </c>
      <c r="AJ17" s="24">
        <f>(AG17+AH17)*(1+AI17)</f>
        <v>26.16</v>
      </c>
      <c r="AK17" s="244"/>
      <c r="AL17" s="30" t="s">
        <v>152</v>
      </c>
      <c r="AM17" s="30"/>
      <c r="AN17" s="31" t="s">
        <v>153</v>
      </c>
      <c r="AO17" t="s">
        <v>9</v>
      </c>
      <c r="AP17">
        <v>23.61</v>
      </c>
      <c r="AQ17">
        <v>2.5499999999999998</v>
      </c>
      <c r="AR17">
        <v>0</v>
      </c>
      <c r="AS17" s="24">
        <f>(AP17+AQ17)*(1+AR17)</f>
        <v>26.16</v>
      </c>
      <c r="AT17" s="246"/>
      <c r="AU17" s="81" t="s">
        <v>152</v>
      </c>
      <c r="AV17" s="81"/>
      <c r="AW17" s="36" t="s">
        <v>153</v>
      </c>
      <c r="AX17" s="19" t="s">
        <v>9</v>
      </c>
      <c r="AY17" s="19">
        <v>23.61</v>
      </c>
      <c r="AZ17" s="19">
        <v>2.5499999999999998</v>
      </c>
      <c r="BA17" s="19">
        <v>0</v>
      </c>
      <c r="BB17" s="77">
        <f>(AY17+AZ17)*(1+BA17)</f>
        <v>26.16</v>
      </c>
    </row>
    <row r="18" spans="1:54" x14ac:dyDescent="0.3">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x14ac:dyDescent="0.3">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3">
      <c r="A20" s="243" t="s">
        <v>69</v>
      </c>
      <c r="B20" s="8"/>
      <c r="C20" s="4">
        <v>5</v>
      </c>
      <c r="D20" t="s">
        <v>36</v>
      </c>
      <c r="E20" t="s">
        <v>37</v>
      </c>
      <c r="F20">
        <v>0</v>
      </c>
      <c r="G20">
        <v>0</v>
      </c>
      <c r="I20">
        <v>0</v>
      </c>
      <c r="J20" s="243" t="s">
        <v>69</v>
      </c>
      <c r="K20" s="29"/>
      <c r="L20" s="29">
        <v>5</v>
      </c>
      <c r="M20" t="s">
        <v>36</v>
      </c>
      <c r="N20" t="s">
        <v>37</v>
      </c>
      <c r="O20">
        <v>0</v>
      </c>
      <c r="P20">
        <v>0</v>
      </c>
      <c r="R20">
        <v>0</v>
      </c>
      <c r="S20" s="243" t="s">
        <v>69</v>
      </c>
      <c r="T20" s="29"/>
      <c r="U20" s="29">
        <v>5</v>
      </c>
      <c r="V20" t="s">
        <v>36</v>
      </c>
      <c r="W20" t="s">
        <v>37</v>
      </c>
      <c r="X20">
        <v>0</v>
      </c>
      <c r="Y20">
        <v>0</v>
      </c>
      <c r="AA20">
        <v>0</v>
      </c>
      <c r="AB20" s="243" t="s">
        <v>69</v>
      </c>
      <c r="AC20" s="29"/>
      <c r="AD20" s="29">
        <v>5</v>
      </c>
      <c r="AE20" t="s">
        <v>36</v>
      </c>
      <c r="AF20" t="s">
        <v>37</v>
      </c>
      <c r="AG20">
        <v>0</v>
      </c>
      <c r="AH20">
        <v>0</v>
      </c>
      <c r="AJ20">
        <v>0</v>
      </c>
      <c r="AK20" s="243" t="s">
        <v>69</v>
      </c>
      <c r="AL20" s="29"/>
      <c r="AM20" s="29">
        <v>5</v>
      </c>
      <c r="AN20" t="s">
        <v>36</v>
      </c>
      <c r="AO20" t="s">
        <v>37</v>
      </c>
      <c r="AP20">
        <v>0</v>
      </c>
      <c r="AQ20">
        <v>0</v>
      </c>
      <c r="AS20">
        <v>0</v>
      </c>
      <c r="AT20" s="245" t="s">
        <v>69</v>
      </c>
      <c r="AU20" s="80"/>
      <c r="AV20" s="80">
        <v>5</v>
      </c>
      <c r="AW20" s="19" t="s">
        <v>36</v>
      </c>
      <c r="AX20" s="19" t="s">
        <v>37</v>
      </c>
      <c r="AY20" s="19">
        <v>0</v>
      </c>
      <c r="AZ20" s="19">
        <v>0</v>
      </c>
      <c r="BB20" s="19">
        <v>0</v>
      </c>
    </row>
    <row r="21" spans="1:54" ht="28.8" x14ac:dyDescent="0.3">
      <c r="A21" s="244"/>
      <c r="B21" s="9" t="s">
        <v>157</v>
      </c>
      <c r="C21" s="5"/>
      <c r="D21" s="1" t="s">
        <v>70</v>
      </c>
      <c r="E21" t="s">
        <v>9</v>
      </c>
      <c r="F21">
        <v>28.33</v>
      </c>
      <c r="G21">
        <v>8.67</v>
      </c>
      <c r="H21">
        <v>0</v>
      </c>
      <c r="I21" s="24">
        <f>(F21+G21)*(1+H21)</f>
        <v>37</v>
      </c>
      <c r="J21" s="244"/>
      <c r="K21" s="30" t="s">
        <v>157</v>
      </c>
      <c r="L21" s="30"/>
      <c r="M21" s="31" t="s">
        <v>70</v>
      </c>
      <c r="N21" t="s">
        <v>9</v>
      </c>
      <c r="O21">
        <v>28.33</v>
      </c>
      <c r="P21">
        <v>8.67</v>
      </c>
      <c r="Q21">
        <v>0</v>
      </c>
      <c r="R21" s="24">
        <f>(O21+P21)*(1+Q21)</f>
        <v>37</v>
      </c>
      <c r="S21" s="244"/>
      <c r="T21" s="30" t="s">
        <v>157</v>
      </c>
      <c r="U21" s="30"/>
      <c r="V21" s="31" t="s">
        <v>70</v>
      </c>
      <c r="W21" t="s">
        <v>9</v>
      </c>
      <c r="X21">
        <v>28.33</v>
      </c>
      <c r="Y21">
        <v>8.67</v>
      </c>
      <c r="Z21">
        <v>0</v>
      </c>
      <c r="AA21" s="24">
        <f>(X21+Y21)*(1+Z21)</f>
        <v>37</v>
      </c>
      <c r="AB21" s="244"/>
      <c r="AC21" s="30" t="s">
        <v>157</v>
      </c>
      <c r="AD21" s="30"/>
      <c r="AE21" s="31" t="s">
        <v>70</v>
      </c>
      <c r="AF21" t="s">
        <v>9</v>
      </c>
      <c r="AG21">
        <v>28.33</v>
      </c>
      <c r="AH21">
        <v>8.67</v>
      </c>
      <c r="AI21">
        <v>0</v>
      </c>
      <c r="AJ21" s="24">
        <f>(AG21+AH21)*(1+AI21)</f>
        <v>37</v>
      </c>
      <c r="AK21" s="244"/>
      <c r="AL21" s="30" t="s">
        <v>157</v>
      </c>
      <c r="AM21" s="30"/>
      <c r="AN21" s="31" t="s">
        <v>70</v>
      </c>
      <c r="AO21" t="s">
        <v>9</v>
      </c>
      <c r="AP21">
        <v>28.33</v>
      </c>
      <c r="AQ21">
        <v>8.67</v>
      </c>
      <c r="AR21">
        <v>0</v>
      </c>
      <c r="AS21" s="24">
        <f>(AP21+AQ21)*(1+AR21)</f>
        <v>37</v>
      </c>
      <c r="AT21" s="246"/>
      <c r="AU21" s="81" t="s">
        <v>157</v>
      </c>
      <c r="AV21" s="81"/>
      <c r="AW21" s="36" t="s">
        <v>70</v>
      </c>
      <c r="AX21" s="19" t="s">
        <v>9</v>
      </c>
      <c r="AY21" s="19">
        <v>28.33</v>
      </c>
      <c r="AZ21" s="19">
        <v>8.67</v>
      </c>
      <c r="BA21" s="19">
        <v>0</v>
      </c>
      <c r="BB21" s="77">
        <f>(AY21+AZ21)*(1+BA21)</f>
        <v>37</v>
      </c>
    </row>
    <row r="22" spans="1:54" x14ac:dyDescent="0.3">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x14ac:dyDescent="0.3">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3">
      <c r="A24" s="243" t="s">
        <v>71</v>
      </c>
      <c r="B24" s="8"/>
      <c r="C24" s="4">
        <v>6</v>
      </c>
      <c r="D24" t="s">
        <v>36</v>
      </c>
      <c r="E24" t="s">
        <v>37</v>
      </c>
      <c r="F24">
        <v>0</v>
      </c>
      <c r="G24">
        <v>0</v>
      </c>
      <c r="I24">
        <v>0</v>
      </c>
      <c r="J24" s="243" t="s">
        <v>71</v>
      </c>
      <c r="K24" s="29"/>
      <c r="L24" s="29">
        <v>6</v>
      </c>
      <c r="M24" t="s">
        <v>36</v>
      </c>
      <c r="N24" t="s">
        <v>37</v>
      </c>
      <c r="O24">
        <v>0</v>
      </c>
      <c r="P24">
        <v>0</v>
      </c>
      <c r="R24">
        <v>0</v>
      </c>
      <c r="S24" s="243" t="s">
        <v>71</v>
      </c>
      <c r="T24" s="29"/>
      <c r="U24" s="29">
        <v>6</v>
      </c>
      <c r="V24" t="s">
        <v>36</v>
      </c>
      <c r="W24" t="s">
        <v>37</v>
      </c>
      <c r="X24">
        <v>0</v>
      </c>
      <c r="Y24">
        <v>0</v>
      </c>
      <c r="AA24">
        <v>0</v>
      </c>
      <c r="AB24" s="243" t="s">
        <v>71</v>
      </c>
      <c r="AC24" s="29"/>
      <c r="AD24" s="29">
        <v>6</v>
      </c>
      <c r="AE24" t="s">
        <v>36</v>
      </c>
      <c r="AF24" t="s">
        <v>37</v>
      </c>
      <c r="AG24">
        <v>0</v>
      </c>
      <c r="AH24">
        <v>0</v>
      </c>
      <c r="AJ24">
        <v>0</v>
      </c>
      <c r="AK24" s="243" t="s">
        <v>71</v>
      </c>
      <c r="AL24" s="29"/>
      <c r="AM24" s="29">
        <v>6</v>
      </c>
      <c r="AN24" t="s">
        <v>36</v>
      </c>
      <c r="AO24" t="s">
        <v>37</v>
      </c>
      <c r="AP24">
        <v>0</v>
      </c>
      <c r="AQ24">
        <v>0</v>
      </c>
      <c r="AS24">
        <v>0</v>
      </c>
      <c r="AT24" s="245" t="s">
        <v>71</v>
      </c>
      <c r="AU24" s="80"/>
      <c r="AV24" s="80">
        <v>6</v>
      </c>
      <c r="AW24" s="19" t="s">
        <v>36</v>
      </c>
      <c r="AX24" s="19" t="s">
        <v>37</v>
      </c>
      <c r="AY24" s="19">
        <v>0</v>
      </c>
      <c r="AZ24" s="19">
        <v>0</v>
      </c>
      <c r="BB24" s="19">
        <v>0</v>
      </c>
    </row>
    <row r="25" spans="1:54" ht="28.8" x14ac:dyDescent="0.3">
      <c r="A25" s="244"/>
      <c r="B25" s="9">
        <v>85313500160</v>
      </c>
      <c r="C25" s="5"/>
      <c r="D25" s="1" t="s">
        <v>72</v>
      </c>
      <c r="E25" t="s">
        <v>9</v>
      </c>
      <c r="F25">
        <v>21.97</v>
      </c>
      <c r="G25">
        <v>3.1</v>
      </c>
      <c r="H25">
        <v>0.17299999999999999</v>
      </c>
      <c r="I25" s="24">
        <f>(F25+G25)*(1+H25)</f>
        <v>29.407110000000003</v>
      </c>
      <c r="J25" s="244"/>
      <c r="K25" s="30">
        <v>85313500160</v>
      </c>
      <c r="L25" s="30"/>
      <c r="M25" s="31" t="s">
        <v>72</v>
      </c>
      <c r="N25" t="s">
        <v>9</v>
      </c>
      <c r="O25">
        <v>21.97</v>
      </c>
      <c r="P25">
        <v>3.1</v>
      </c>
      <c r="Q25">
        <v>0.17299999999999999</v>
      </c>
      <c r="R25" s="24">
        <f>(O25+P25)*(1+Q25)</f>
        <v>29.407110000000003</v>
      </c>
      <c r="S25" s="244"/>
      <c r="T25" s="30">
        <v>85313500160</v>
      </c>
      <c r="U25" s="30"/>
      <c r="V25" s="31" t="s">
        <v>72</v>
      </c>
      <c r="W25" t="s">
        <v>9</v>
      </c>
      <c r="X25">
        <v>21.97</v>
      </c>
      <c r="Y25">
        <v>3.1</v>
      </c>
      <c r="Z25">
        <v>0.17299999999999999</v>
      </c>
      <c r="AA25" s="24">
        <f>(X25+Y25)*(1+Z25)</f>
        <v>29.407110000000003</v>
      </c>
      <c r="AB25" s="244"/>
      <c r="AC25" s="30">
        <v>85313500160</v>
      </c>
      <c r="AD25" s="30"/>
      <c r="AE25" s="31" t="s">
        <v>72</v>
      </c>
      <c r="AF25" t="s">
        <v>9</v>
      </c>
      <c r="AG25">
        <v>21.97</v>
      </c>
      <c r="AH25">
        <v>3.1</v>
      </c>
      <c r="AI25">
        <v>0.17299999999999999</v>
      </c>
      <c r="AJ25" s="24">
        <f>(AG25+AH25)*(1+AI25)</f>
        <v>29.407110000000003</v>
      </c>
      <c r="AK25" s="244"/>
      <c r="AL25" s="30">
        <v>85313500160</v>
      </c>
      <c r="AM25" s="30"/>
      <c r="AN25" s="31" t="s">
        <v>72</v>
      </c>
      <c r="AO25" t="s">
        <v>9</v>
      </c>
      <c r="AP25">
        <v>21.97</v>
      </c>
      <c r="AQ25">
        <v>3.1</v>
      </c>
      <c r="AR25">
        <v>0.17299999999999999</v>
      </c>
      <c r="AS25" s="24">
        <f>(AP25+AQ25)*(1+AR25)</f>
        <v>29.407110000000003</v>
      </c>
      <c r="AT25" s="246"/>
      <c r="AU25" s="81">
        <v>85313500160</v>
      </c>
      <c r="AV25" s="81"/>
      <c r="AW25" s="36" t="s">
        <v>72</v>
      </c>
      <c r="AX25" s="19" t="s">
        <v>9</v>
      </c>
      <c r="AY25" s="19">
        <v>21.97</v>
      </c>
      <c r="AZ25" s="19">
        <v>3.1</v>
      </c>
      <c r="BA25" s="19">
        <v>0.17299999999999999</v>
      </c>
      <c r="BB25" s="77">
        <f>(AY25+AZ25)*(1+BA25)</f>
        <v>29.407110000000003</v>
      </c>
    </row>
    <row r="26" spans="1:54" x14ac:dyDescent="0.3">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x14ac:dyDescent="0.3">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3">
      <c r="A28" s="243" t="s">
        <v>100</v>
      </c>
      <c r="B28" s="8"/>
      <c r="C28" s="4">
        <v>7</v>
      </c>
      <c r="D28" t="s">
        <v>36</v>
      </c>
      <c r="E28" t="s">
        <v>37</v>
      </c>
      <c r="F28">
        <v>0</v>
      </c>
      <c r="G28">
        <v>0</v>
      </c>
      <c r="I28">
        <v>0</v>
      </c>
      <c r="J28" s="243" t="s">
        <v>100</v>
      </c>
      <c r="K28" s="29"/>
      <c r="L28" s="29">
        <v>7</v>
      </c>
      <c r="M28" t="s">
        <v>36</v>
      </c>
      <c r="N28" t="s">
        <v>37</v>
      </c>
      <c r="O28">
        <v>0</v>
      </c>
      <c r="P28">
        <v>0</v>
      </c>
      <c r="R28">
        <v>0</v>
      </c>
      <c r="S28" s="243" t="s">
        <v>100</v>
      </c>
      <c r="T28" s="29"/>
      <c r="U28" s="29">
        <v>7</v>
      </c>
      <c r="V28" t="s">
        <v>36</v>
      </c>
      <c r="W28" t="s">
        <v>37</v>
      </c>
      <c r="X28">
        <v>0</v>
      </c>
      <c r="Y28">
        <v>0</v>
      </c>
      <c r="AA28">
        <v>0</v>
      </c>
      <c r="AB28" s="243" t="s">
        <v>100</v>
      </c>
      <c r="AC28" s="29"/>
      <c r="AD28" s="29">
        <v>7</v>
      </c>
      <c r="AE28" t="s">
        <v>36</v>
      </c>
      <c r="AF28" t="s">
        <v>37</v>
      </c>
      <c r="AG28">
        <v>0</v>
      </c>
      <c r="AH28">
        <v>0</v>
      </c>
      <c r="AJ28">
        <v>0</v>
      </c>
      <c r="AK28" s="243" t="s">
        <v>100</v>
      </c>
      <c r="AL28" s="29"/>
      <c r="AM28" s="29">
        <v>7</v>
      </c>
      <c r="AN28" t="s">
        <v>36</v>
      </c>
      <c r="AO28" t="s">
        <v>37</v>
      </c>
      <c r="AP28">
        <v>0</v>
      </c>
      <c r="AQ28">
        <v>0</v>
      </c>
      <c r="AS28">
        <v>0</v>
      </c>
      <c r="AT28" s="245" t="s">
        <v>100</v>
      </c>
      <c r="AU28" s="80"/>
      <c r="AV28" s="80">
        <v>7</v>
      </c>
      <c r="AW28" s="19" t="s">
        <v>36</v>
      </c>
      <c r="AX28" s="19" t="s">
        <v>37</v>
      </c>
      <c r="AY28" s="19">
        <v>0</v>
      </c>
      <c r="AZ28" s="19">
        <v>0</v>
      </c>
      <c r="BB28" s="19">
        <v>0</v>
      </c>
    </row>
    <row r="29" spans="1:54" ht="28.8" x14ac:dyDescent="0.3">
      <c r="A29" s="244"/>
      <c r="B29" s="9" t="s">
        <v>101</v>
      </c>
      <c r="C29" s="5"/>
      <c r="D29" s="1" t="s">
        <v>99</v>
      </c>
      <c r="E29" t="s">
        <v>9</v>
      </c>
      <c r="F29">
        <v>39.380000000000003</v>
      </c>
      <c r="G29">
        <v>6.29</v>
      </c>
      <c r="H29">
        <v>0</v>
      </c>
      <c r="I29" s="24">
        <f>(F29+G29)*(1+H29)</f>
        <v>45.67</v>
      </c>
      <c r="J29" s="244"/>
      <c r="K29" s="30" t="s">
        <v>101</v>
      </c>
      <c r="L29" s="30"/>
      <c r="M29" s="31" t="s">
        <v>99</v>
      </c>
      <c r="N29" t="s">
        <v>9</v>
      </c>
      <c r="O29">
        <v>39.380000000000003</v>
      </c>
      <c r="P29">
        <v>6.29</v>
      </c>
      <c r="Q29">
        <v>0</v>
      </c>
      <c r="R29" s="24">
        <f>(O29+P29)*(1+Q29)</f>
        <v>45.67</v>
      </c>
      <c r="S29" s="244"/>
      <c r="T29" s="30" t="s">
        <v>101</v>
      </c>
      <c r="U29" s="30"/>
      <c r="V29" s="31" t="s">
        <v>99</v>
      </c>
      <c r="W29" t="s">
        <v>9</v>
      </c>
      <c r="X29">
        <v>39.380000000000003</v>
      </c>
      <c r="Y29">
        <v>6.29</v>
      </c>
      <c r="Z29">
        <v>0</v>
      </c>
      <c r="AA29" s="24">
        <f>(X29+Y29)*(1+Z29)</f>
        <v>45.67</v>
      </c>
      <c r="AB29" s="244"/>
      <c r="AC29" s="30" t="s">
        <v>101</v>
      </c>
      <c r="AD29" s="30"/>
      <c r="AE29" s="31" t="s">
        <v>99</v>
      </c>
      <c r="AF29" t="s">
        <v>9</v>
      </c>
      <c r="AG29">
        <v>39.380000000000003</v>
      </c>
      <c r="AH29">
        <v>6.29</v>
      </c>
      <c r="AI29">
        <v>0</v>
      </c>
      <c r="AJ29" s="24">
        <f>(AG29+AH29)*(1+AI29)</f>
        <v>45.67</v>
      </c>
      <c r="AK29" s="244"/>
      <c r="AL29" s="30" t="s">
        <v>101</v>
      </c>
      <c r="AM29" s="30"/>
      <c r="AN29" s="31" t="s">
        <v>99</v>
      </c>
      <c r="AO29" t="s">
        <v>9</v>
      </c>
      <c r="AP29">
        <v>39.380000000000003</v>
      </c>
      <c r="AQ29">
        <v>6.29</v>
      </c>
      <c r="AR29">
        <v>0</v>
      </c>
      <c r="AS29" s="24">
        <f>(AP29+AQ29)*(1+AR29)</f>
        <v>45.67</v>
      </c>
      <c r="AT29" s="246"/>
      <c r="AU29" s="81" t="s">
        <v>101</v>
      </c>
      <c r="AV29" s="81"/>
      <c r="AW29" s="36" t="s">
        <v>99</v>
      </c>
      <c r="AX29" s="19" t="s">
        <v>9</v>
      </c>
      <c r="AY29" s="19">
        <v>39.380000000000003</v>
      </c>
      <c r="AZ29" s="19">
        <v>6.29</v>
      </c>
      <c r="BA29" s="19">
        <v>0</v>
      </c>
      <c r="BB29" s="77">
        <f>(AY29+AZ29)*(1+BA29)</f>
        <v>45.67</v>
      </c>
    </row>
    <row r="30" spans="1:54" x14ac:dyDescent="0.3">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x14ac:dyDescent="0.3">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3">
      <c r="A32" s="243" t="s">
        <v>102</v>
      </c>
      <c r="B32" s="10"/>
      <c r="C32" s="10">
        <v>8</v>
      </c>
      <c r="D32" t="s">
        <v>36</v>
      </c>
      <c r="E32" t="s">
        <v>37</v>
      </c>
      <c r="F32">
        <v>0</v>
      </c>
      <c r="G32">
        <v>0</v>
      </c>
      <c r="I32">
        <v>0</v>
      </c>
      <c r="J32" s="243" t="s">
        <v>102</v>
      </c>
      <c r="K32" s="29"/>
      <c r="L32" s="29">
        <v>8</v>
      </c>
      <c r="M32" t="s">
        <v>36</v>
      </c>
      <c r="N32" t="s">
        <v>37</v>
      </c>
      <c r="O32">
        <v>0</v>
      </c>
      <c r="P32">
        <v>0</v>
      </c>
      <c r="R32">
        <v>0</v>
      </c>
      <c r="S32" s="243" t="s">
        <v>102</v>
      </c>
      <c r="T32" s="29"/>
      <c r="U32" s="29">
        <v>8</v>
      </c>
      <c r="V32" t="s">
        <v>36</v>
      </c>
      <c r="W32" t="s">
        <v>37</v>
      </c>
      <c r="X32">
        <v>0</v>
      </c>
      <c r="Y32">
        <v>0</v>
      </c>
      <c r="AA32">
        <v>0</v>
      </c>
      <c r="AB32" s="243" t="s">
        <v>102</v>
      </c>
      <c r="AC32" s="29"/>
      <c r="AD32" s="29">
        <v>8</v>
      </c>
      <c r="AE32" t="s">
        <v>36</v>
      </c>
      <c r="AF32" t="s">
        <v>37</v>
      </c>
      <c r="AG32">
        <v>0</v>
      </c>
      <c r="AH32">
        <v>0</v>
      </c>
      <c r="AJ32">
        <v>0</v>
      </c>
      <c r="AK32" s="243" t="s">
        <v>102</v>
      </c>
      <c r="AL32" s="29"/>
      <c r="AM32" s="29">
        <v>8</v>
      </c>
      <c r="AN32" t="s">
        <v>36</v>
      </c>
      <c r="AO32" t="s">
        <v>37</v>
      </c>
      <c r="AP32">
        <v>0</v>
      </c>
      <c r="AQ32">
        <v>0</v>
      </c>
      <c r="AS32">
        <v>0</v>
      </c>
      <c r="AT32" s="245" t="s">
        <v>102</v>
      </c>
      <c r="AU32" s="80"/>
      <c r="AV32" s="80">
        <v>8</v>
      </c>
      <c r="AW32" s="19" t="s">
        <v>36</v>
      </c>
      <c r="AX32" s="19" t="s">
        <v>37</v>
      </c>
      <c r="AY32" s="19">
        <v>0</v>
      </c>
      <c r="AZ32" s="19">
        <v>0</v>
      </c>
      <c r="BB32" s="19">
        <v>0</v>
      </c>
    </row>
    <row r="33" spans="1:54" x14ac:dyDescent="0.3">
      <c r="A33" s="244"/>
      <c r="B33" s="11" t="s">
        <v>144</v>
      </c>
      <c r="C33" s="11"/>
      <c r="D33" s="1" t="s">
        <v>145</v>
      </c>
      <c r="E33" t="s">
        <v>9</v>
      </c>
      <c r="F33">
        <v>31.79</v>
      </c>
      <c r="G33">
        <v>16.14</v>
      </c>
      <c r="H33">
        <v>0</v>
      </c>
      <c r="I33" s="24">
        <f>(F33+G33)*(1+H33)</f>
        <v>47.93</v>
      </c>
      <c r="J33" s="244"/>
      <c r="K33" s="30" t="s">
        <v>144</v>
      </c>
      <c r="L33" s="30"/>
      <c r="M33" s="31" t="s">
        <v>145</v>
      </c>
      <c r="N33" t="s">
        <v>9</v>
      </c>
      <c r="O33">
        <v>31.79</v>
      </c>
      <c r="P33">
        <v>16.14</v>
      </c>
      <c r="Q33">
        <v>0</v>
      </c>
      <c r="R33" s="24">
        <f>(O33+P33)*(1+Q33)</f>
        <v>47.93</v>
      </c>
      <c r="S33" s="244"/>
      <c r="T33" s="30" t="s">
        <v>144</v>
      </c>
      <c r="U33" s="30"/>
      <c r="V33" s="31" t="s">
        <v>145</v>
      </c>
      <c r="W33" t="s">
        <v>9</v>
      </c>
      <c r="X33">
        <v>31.79</v>
      </c>
      <c r="Y33">
        <v>16.14</v>
      </c>
      <c r="Z33">
        <v>0</v>
      </c>
      <c r="AA33" s="24">
        <f>(X33+Y33)*(1+Z33)</f>
        <v>47.93</v>
      </c>
      <c r="AB33" s="244"/>
      <c r="AC33" s="30" t="s">
        <v>144</v>
      </c>
      <c r="AD33" s="30"/>
      <c r="AE33" s="31" t="s">
        <v>145</v>
      </c>
      <c r="AF33" t="s">
        <v>9</v>
      </c>
      <c r="AG33">
        <v>31.79</v>
      </c>
      <c r="AH33">
        <v>16.14</v>
      </c>
      <c r="AI33">
        <v>0</v>
      </c>
      <c r="AJ33" s="24">
        <f>(AG33+AH33)*(1+AI33)</f>
        <v>47.93</v>
      </c>
      <c r="AK33" s="244"/>
      <c r="AL33" s="30" t="s">
        <v>144</v>
      </c>
      <c r="AM33" s="30"/>
      <c r="AN33" s="31" t="s">
        <v>145</v>
      </c>
      <c r="AO33" t="s">
        <v>9</v>
      </c>
      <c r="AP33">
        <v>31.79</v>
      </c>
      <c r="AQ33">
        <v>16.14</v>
      </c>
      <c r="AR33">
        <v>0</v>
      </c>
      <c r="AS33" s="24">
        <f>(AP33+AQ33)*(1+AR33)</f>
        <v>47.93</v>
      </c>
      <c r="AT33" s="246"/>
      <c r="AU33" s="81" t="s">
        <v>144</v>
      </c>
      <c r="AV33" s="81"/>
      <c r="AW33" s="36" t="s">
        <v>145</v>
      </c>
      <c r="AX33" s="19" t="s">
        <v>9</v>
      </c>
      <c r="AY33" s="19">
        <v>31.79</v>
      </c>
      <c r="AZ33" s="19">
        <v>16.14</v>
      </c>
      <c r="BA33" s="19">
        <v>0</v>
      </c>
      <c r="BB33" s="77">
        <f>(AY33+AZ33)*(1+BA33)</f>
        <v>47.93</v>
      </c>
    </row>
    <row r="34" spans="1:54" x14ac:dyDescent="0.3">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Lubun, Mike</cp:lastModifiedBy>
  <cp:lastPrinted>2018-08-28T14:31:17Z</cp:lastPrinted>
  <dcterms:created xsi:type="dcterms:W3CDTF">2016-11-04T13:22:44Z</dcterms:created>
  <dcterms:modified xsi:type="dcterms:W3CDTF">2018-11-06T20:22:30Z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